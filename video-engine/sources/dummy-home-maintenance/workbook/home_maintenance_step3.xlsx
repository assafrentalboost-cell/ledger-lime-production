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  <sheet name="Service Log" sheetId="2" state="visible" r:id="rId2"/>
  </sheets>
  <definedNames>
    <definedName name="_xlnm.Print_Area" localSheetId="0">'Plan'!$A$1:$F$18</definedName>
    <definedName name="_xlnm.Print_Area" localSheetId="1">'Service Log'!$A$1:$D$18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"/>
    <numFmt numFmtId="166" formatCode="0&quot; d&quot;"/>
  </numFmts>
  <fonts count="9">
    <font>
      <name val="Calibri"/>
      <family val="2"/>
      <color theme="1"/>
      <sz val="11"/>
      <scheme val="minor"/>
    </font>
    <font>
      <name val="Liberation Sans"/>
      <b val="1"/>
      <color rgb="001F4E5A"/>
      <sz val="16"/>
    </font>
    <font>
      <name val="Liberation Sans"/>
      <b val="1"/>
      <color rgb="00FFFFFF"/>
      <sz val="11"/>
    </font>
    <font>
      <name val="Liberation Sans"/>
      <color rgb="001E2A2E"/>
      <sz val="11"/>
    </font>
    <font>
      <name val="Liberation Sans"/>
      <b val="1"/>
      <color rgb="001F4E5A"/>
      <sz val="18"/>
    </font>
    <font>
      <name val="Liberation Sans"/>
      <color rgb="006B7280"/>
      <sz val="10"/>
    </font>
    <font>
      <name val="Liberation Sans"/>
      <b val="1"/>
      <color rgb="006B7280"/>
      <sz val="10"/>
    </font>
    <font>
      <name val="Liberation Sans"/>
      <b val="1"/>
      <color rgb="001F4E5A"/>
      <sz val="22"/>
    </font>
    <font>
      <name val="Liberation Sans"/>
      <b val="1"/>
      <color rgb="001E2A2E"/>
      <sz val="11"/>
    </font>
  </fonts>
  <fills count="4">
    <fill>
      <patternFill/>
    </fill>
    <fill>
      <patternFill patternType="gray125"/>
    </fill>
    <fill>
      <patternFill patternType="solid">
        <fgColor rgb="001F4E5A"/>
      </patternFill>
    </fill>
    <fill>
      <patternFill patternType="solid">
        <fgColor rgb="00F3EFE6"/>
      </patternFill>
    </fill>
  </fills>
  <borders count="3">
    <border>
      <left/>
      <right/>
      <top/>
      <bottom/>
      <diagonal/>
    </border>
    <border>
      <left style="thin">
        <color rgb="00D5D0C4"/>
      </left>
      <right style="thin">
        <color rgb="00D5D0C4"/>
      </right>
      <top style="thin">
        <color rgb="00D5D0C4"/>
      </top>
      <bottom style="thin">
        <color rgb="00D5D0C4"/>
      </bottom>
    </border>
    <border>
      <bottom style="thin">
        <color rgb="00D5D0C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3" borderId="0" pivotButton="0" quotePrefix="0" xfId="0"/>
    <xf numFmtId="0" fontId="0" fillId="3" borderId="0" pivotButton="0" quotePrefix="0" xfId="0"/>
    <xf numFmtId="0" fontId="7" fillId="3" borderId="0" pivotButton="0" quotePrefix="0" xfId="0"/>
    <xf numFmtId="9" fontId="7" fillId="3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166" fontId="3" fillId="0" borderId="2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1" fillId="0" borderId="0" pivotButton="0" quotePrefix="0" xfId="0"/>
    <xf numFmtId="164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5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b val="1"/>
        <color rgb="008E2A1F"/>
      </font>
      <fill>
        <patternFill patternType="solid">
          <fgColor rgb="00F6D8D3"/>
          <bgColor rgb="00F6D8D3"/>
        </patternFill>
      </fill>
    </dxf>
    <dxf>
      <font>
        <b val="1"/>
        <color rgb="007A5300"/>
      </font>
      <fill>
        <patternFill patternType="solid">
          <fgColor rgb="00FBEBC8"/>
          <bgColor rgb="00FBEBC8"/>
        </patternFill>
      </fill>
    </dxf>
    <dxf>
      <font>
        <b val="1"/>
        <color rgb="001F4E5A"/>
      </font>
      <fill>
        <patternFill patternType="solid">
          <fgColor rgb="00DCEBE7"/>
          <bgColor rgb="00DCEB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3" customWidth="1" min="4" max="4"/>
    <col width="13" customWidth="1" min="5" max="5"/>
    <col width="13" customWidth="1" min="6" max="6"/>
    <col width="3" customWidth="1" min="7" max="7"/>
  </cols>
  <sheetData>
    <row r="1">
      <c r="A1" s="1" t="inlineStr">
        <is>
          <t>Home Maintenance Planner</t>
        </is>
      </c>
    </row>
    <row r="2">
      <c r="A2" s="2" t="inlineStr">
        <is>
          <t>As of</t>
        </is>
      </c>
      <c r="B2" s="3" t="n">
        <v>46290</v>
      </c>
    </row>
    <row r="4">
      <c r="A4" s="4" t="inlineStr">
        <is>
          <t>Overdue</t>
        </is>
      </c>
      <c r="B4" s="5" t="n"/>
      <c r="C4" s="4" t="inlineStr">
        <is>
          <t>Due in 14 days</t>
        </is>
      </c>
      <c r="D4" s="5" t="n"/>
      <c r="E4" s="4" t="inlineStr">
        <is>
          <t>On Schedule</t>
        </is>
      </c>
      <c r="F4" s="5" t="n"/>
    </row>
    <row r="5" ht="34" customHeight="1">
      <c r="A5" s="6">
        <f>COUNTIF(F7:F18,"Overdue")</f>
        <v/>
      </c>
      <c r="B5" s="5" t="n"/>
      <c r="C5" s="6">
        <f>COUNTIF(F7:F18,"Due Soon")</f>
        <v/>
      </c>
      <c r="D5" s="5" t="n"/>
      <c r="E5" s="7">
        <f>COUNTIF(F7:F18,"Scheduled")/COUNTA(A7:A18)</f>
        <v/>
      </c>
      <c r="F5" s="5" t="n"/>
    </row>
    <row r="6" ht="22" customHeight="1">
      <c r="A6" s="8" t="inlineStr">
        <is>
          <t>Task</t>
        </is>
      </c>
      <c r="B6" s="8" t="inlineStr">
        <is>
          <t>Area</t>
        </is>
      </c>
      <c r="C6" s="8" t="inlineStr">
        <is>
          <t>Every</t>
        </is>
      </c>
      <c r="D6" s="8" t="inlineStr">
        <is>
          <t>Last Done</t>
        </is>
      </c>
      <c r="E6" s="8" t="inlineStr">
        <is>
          <t>Next Due</t>
        </is>
      </c>
      <c r="F6" s="8" t="inlineStr">
        <is>
          <t>Status</t>
        </is>
      </c>
    </row>
    <row r="7" ht="21" customHeight="1">
      <c r="A7" s="9" t="inlineStr">
        <is>
          <t>Replace HVAC filter</t>
        </is>
      </c>
      <c r="B7" s="10" t="inlineStr">
        <is>
          <t>HVAC</t>
        </is>
      </c>
      <c r="C7" s="11" t="n">
        <v>90</v>
      </c>
      <c r="D7" s="12">
        <f>SUMPRODUCT(MAX(('Service Log'!$B$4:$B$40=A7)*'Service Log'!$A$4:$A$40))</f>
        <v/>
      </c>
      <c r="E7" s="12">
        <f>D7+C7</f>
        <v/>
      </c>
      <c r="F7" s="13">
        <f>IF(E7&lt;$B$2,"Overdue",IF(E7-$B$2&lt;=14,"Due Soon","Scheduled"))</f>
        <v/>
      </c>
    </row>
    <row r="8" ht="21" customHeight="1">
      <c r="A8" s="9" t="inlineStr">
        <is>
          <t>Clean gutters</t>
        </is>
      </c>
      <c r="B8" s="10" t="inlineStr">
        <is>
          <t>Exterior</t>
        </is>
      </c>
      <c r="C8" s="11" t="n">
        <v>180</v>
      </c>
      <c r="D8" s="12">
        <f>SUMPRODUCT(MAX(('Service Log'!$B$4:$B$40=A8)*'Service Log'!$A$4:$A$40))</f>
        <v/>
      </c>
      <c r="E8" s="12">
        <f>D8+C8</f>
        <v/>
      </c>
      <c r="F8" s="13">
        <f>IF(E8&lt;$B$2,"Overdue",IF(E8-$B$2&lt;=14,"Due Soon","Scheduled"))</f>
        <v/>
      </c>
    </row>
    <row r="9" ht="21" customHeight="1">
      <c r="A9" s="9" t="inlineStr">
        <is>
          <t>Test smoke detectors</t>
        </is>
      </c>
      <c r="B9" s="10" t="inlineStr">
        <is>
          <t>Safety</t>
        </is>
      </c>
      <c r="C9" s="11" t="n">
        <v>30</v>
      </c>
      <c r="D9" s="12">
        <f>SUMPRODUCT(MAX(('Service Log'!$B$4:$B$40=A9)*'Service Log'!$A$4:$A$40))</f>
        <v/>
      </c>
      <c r="E9" s="12">
        <f>D9+C9</f>
        <v/>
      </c>
      <c r="F9" s="13">
        <f>IF(E9&lt;$B$2,"Overdue",IF(E9-$B$2&lt;=14,"Due Soon","Scheduled"))</f>
        <v/>
      </c>
    </row>
    <row r="10" ht="21" customHeight="1">
      <c r="A10" s="9" t="inlineStr">
        <is>
          <t>Flush water heater</t>
        </is>
      </c>
      <c r="B10" s="10" t="inlineStr">
        <is>
          <t>Plumbing</t>
        </is>
      </c>
      <c r="C10" s="11" t="n">
        <v>365</v>
      </c>
      <c r="D10" s="12">
        <f>SUMPRODUCT(MAX(('Service Log'!$B$4:$B$40=A10)*'Service Log'!$A$4:$A$40))</f>
        <v/>
      </c>
      <c r="E10" s="12">
        <f>D10+C10</f>
        <v/>
      </c>
      <c r="F10" s="13">
        <f>IF(E10&lt;$B$2,"Overdue",IF(E10-$B$2&lt;=14,"Due Soon","Scheduled"))</f>
        <v/>
      </c>
    </row>
    <row r="11" ht="21" customHeight="1">
      <c r="A11" s="9" t="inlineStr">
        <is>
          <t>Clean dryer vent</t>
        </is>
      </c>
      <c r="B11" s="10" t="inlineStr">
        <is>
          <t>Laundry</t>
        </is>
      </c>
      <c r="C11" s="11" t="n">
        <v>180</v>
      </c>
      <c r="D11" s="12">
        <f>SUMPRODUCT(MAX(('Service Log'!$B$4:$B$40=A11)*'Service Log'!$A$4:$A$40))</f>
        <v/>
      </c>
      <c r="E11" s="12">
        <f>D11+C11</f>
        <v/>
      </c>
      <c r="F11" s="13">
        <f>IF(E11&lt;$B$2,"Overdue",IF(E11-$B$2&lt;=14,"Due Soon","Scheduled"))</f>
        <v/>
      </c>
    </row>
    <row r="12" ht="21" customHeight="1">
      <c r="A12" s="9" t="inlineStr">
        <is>
          <t>Service lawn mower</t>
        </is>
      </c>
      <c r="B12" s="10" t="inlineStr">
        <is>
          <t>Garden</t>
        </is>
      </c>
      <c r="C12" s="11" t="n">
        <v>365</v>
      </c>
      <c r="D12" s="12">
        <f>SUMPRODUCT(MAX(('Service Log'!$B$4:$B$40=A12)*'Service Log'!$A$4:$A$40))</f>
        <v/>
      </c>
      <c r="E12" s="12">
        <f>D12+C12</f>
        <v/>
      </c>
      <c r="F12" s="13">
        <f>IF(E12&lt;$B$2,"Overdue",IF(E12-$B$2&lt;=14,"Due Soon","Scheduled"))</f>
        <v/>
      </c>
    </row>
    <row r="13" ht="21" customHeight="1">
      <c r="A13" s="9" t="inlineStr">
        <is>
          <t>Check fire extinguisher</t>
        </is>
      </c>
      <c r="B13" s="10" t="inlineStr">
        <is>
          <t>Safety</t>
        </is>
      </c>
      <c r="C13" s="11" t="n">
        <v>180</v>
      </c>
      <c r="D13" s="12">
        <f>SUMPRODUCT(MAX(('Service Log'!$B$4:$B$40=A13)*'Service Log'!$A$4:$A$40))</f>
        <v/>
      </c>
      <c r="E13" s="12">
        <f>D13+C13</f>
        <v/>
      </c>
      <c r="F13" s="13">
        <f>IF(E13&lt;$B$2,"Overdue",IF(E13-$B$2&lt;=14,"Due Soon","Scheduled"))</f>
        <v/>
      </c>
    </row>
    <row r="14" ht="21" customHeight="1">
      <c r="A14" s="9" t="inlineStr">
        <is>
          <t>Clean fridge coils</t>
        </is>
      </c>
      <c r="B14" s="10" t="inlineStr">
        <is>
          <t>Kitchen</t>
        </is>
      </c>
      <c r="C14" s="11" t="n">
        <v>180</v>
      </c>
      <c r="D14" s="12">
        <f>SUMPRODUCT(MAX(('Service Log'!$B$4:$B$40=A14)*'Service Log'!$A$4:$A$40))</f>
        <v/>
      </c>
      <c r="E14" s="12">
        <f>D14+C14</f>
        <v/>
      </c>
      <c r="F14" s="13">
        <f>IF(E14&lt;$B$2,"Overdue",IF(E14-$B$2&lt;=14,"Due Soon","Scheduled"))</f>
        <v/>
      </c>
    </row>
    <row r="15" ht="21" customHeight="1">
      <c r="A15" s="9" t="inlineStr">
        <is>
          <t>Inspect roof</t>
        </is>
      </c>
      <c r="B15" s="10" t="inlineStr">
        <is>
          <t>Exterior</t>
        </is>
      </c>
      <c r="C15" s="11" t="n">
        <v>365</v>
      </c>
      <c r="D15" s="12">
        <f>SUMPRODUCT(MAX(('Service Log'!$B$4:$B$40=A15)*'Service Log'!$A$4:$A$40))</f>
        <v/>
      </c>
      <c r="E15" s="12">
        <f>D15+C15</f>
        <v/>
      </c>
      <c r="F15" s="13">
        <f>IF(E15&lt;$B$2,"Overdue",IF(E15-$B$2&lt;=14,"Due Soon","Scheduled"))</f>
        <v/>
      </c>
    </row>
    <row r="16" ht="21" customHeight="1">
      <c r="A16" s="9" t="inlineStr">
        <is>
          <t>Test GFCI outlets</t>
        </is>
      </c>
      <c r="B16" s="10" t="inlineStr">
        <is>
          <t>Electrical</t>
        </is>
      </c>
      <c r="C16" s="11" t="n">
        <v>90</v>
      </c>
      <c r="D16" s="12">
        <f>SUMPRODUCT(MAX(('Service Log'!$B$4:$B$40=A16)*'Service Log'!$A$4:$A$40))</f>
        <v/>
      </c>
      <c r="E16" s="12">
        <f>D16+C16</f>
        <v/>
      </c>
      <c r="F16" s="13">
        <f>IF(E16&lt;$B$2,"Overdue",IF(E16-$B$2&lt;=14,"Due Soon","Scheduled"))</f>
        <v/>
      </c>
    </row>
    <row r="17" ht="21" customHeight="1">
      <c r="A17" s="9" t="inlineStr">
        <is>
          <t>Seal grout</t>
        </is>
      </c>
      <c r="B17" s="10" t="inlineStr">
        <is>
          <t>Bathroom</t>
        </is>
      </c>
      <c r="C17" s="11" t="n">
        <v>365</v>
      </c>
      <c r="D17" s="12">
        <f>SUMPRODUCT(MAX(('Service Log'!$B$4:$B$40=A17)*'Service Log'!$A$4:$A$40))</f>
        <v/>
      </c>
      <c r="E17" s="12">
        <f>D17+C17</f>
        <v/>
      </c>
      <c r="F17" s="13">
        <f>IF(E17&lt;$B$2,"Overdue",IF(E17-$B$2&lt;=14,"Due Soon","Scheduled"))</f>
        <v/>
      </c>
    </row>
    <row r="18" ht="21" customHeight="1">
      <c r="A18" s="9" t="inlineStr">
        <is>
          <t>Clean range hood filter</t>
        </is>
      </c>
      <c r="B18" s="10" t="inlineStr">
        <is>
          <t>Kitchen</t>
        </is>
      </c>
      <c r="C18" s="11" t="n">
        <v>90</v>
      </c>
      <c r="D18" s="12">
        <f>SUMPRODUCT(MAX(('Service Log'!$B$4:$B$40=A18)*'Service Log'!$A$4:$A$40))</f>
        <v/>
      </c>
      <c r="E18" s="12">
        <f>D18+C18</f>
        <v/>
      </c>
      <c r="F18" s="13">
        <f>IF(E18&lt;$B$2,"Overdue",IF(E18-$B$2&lt;=14,"Due Soon","Scheduled"))</f>
        <v/>
      </c>
    </row>
  </sheetData>
  <mergeCells count="1">
    <mergeCell ref="A1:F1"/>
  </mergeCells>
  <conditionalFormatting sqref="F7:F18">
    <cfRule type="expression" priority="1" dxfId="0">
      <formula>F7="Overdue"</formula>
    </cfRule>
    <cfRule type="expression" priority="2" dxfId="1">
      <formula>F7="Due Soon"</formula>
    </cfRule>
    <cfRule type="expression" priority="3" dxfId="2">
      <formula>F7="Scheduled"</formula>
    </cfRule>
  </conditionalFormatting>
  <pageMargins left="0.3" right="0.3" top="0.3" bottom="0.3" header="0" footer="0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26" customWidth="1" min="4" max="4"/>
  </cols>
  <sheetData>
    <row r="1">
      <c r="A1" s="14" t="inlineStr">
        <is>
          <t>Service Log</t>
        </is>
      </c>
    </row>
    <row r="3" ht="22" customHeight="1">
      <c r="A3" s="8" t="inlineStr">
        <is>
          <t>Date</t>
        </is>
      </c>
      <c r="B3" s="8" t="inlineStr">
        <is>
          <t>Task</t>
        </is>
      </c>
      <c r="C3" s="8" t="inlineStr">
        <is>
          <t>Cost</t>
        </is>
      </c>
      <c r="D3" s="8" t="inlineStr">
        <is>
          <t>Note</t>
        </is>
      </c>
    </row>
    <row r="4" ht="19" customHeight="1">
      <c r="A4" s="15" t="n">
        <v>46162</v>
      </c>
      <c r="B4" s="16" t="inlineStr">
        <is>
          <t>Replace HVAC filter</t>
        </is>
      </c>
      <c r="C4" s="17" t="n">
        <v>24</v>
      </c>
      <c r="D4" s="16" t="inlineStr"/>
    </row>
    <row r="5" ht="19" customHeight="1">
      <c r="A5" s="15" t="n">
        <v>46083</v>
      </c>
      <c r="B5" s="16" t="inlineStr">
        <is>
          <t>Clean gutters</t>
        </is>
      </c>
      <c r="C5" s="17" t="n">
        <v>180</v>
      </c>
      <c r="D5" s="16" t="inlineStr"/>
    </row>
    <row r="6" ht="19" customHeight="1">
      <c r="A6" s="15" t="n">
        <v>46244</v>
      </c>
      <c r="B6" s="16" t="inlineStr">
        <is>
          <t>Test smoke detectors</t>
        </is>
      </c>
      <c r="C6" s="17" t="n">
        <v>0</v>
      </c>
      <c r="D6" s="16" t="inlineStr"/>
    </row>
    <row r="7" ht="19" customHeight="1">
      <c r="A7" s="15" t="n">
        <v>46037</v>
      </c>
      <c r="B7" s="16" t="inlineStr">
        <is>
          <t>Flush water heater</t>
        </is>
      </c>
      <c r="C7" s="17" t="n">
        <v>0</v>
      </c>
      <c r="D7" s="16" t="inlineStr"/>
    </row>
    <row r="8" ht="19" customHeight="1">
      <c r="A8" s="15" t="n">
        <v>46267</v>
      </c>
      <c r="B8" s="16" t="inlineStr">
        <is>
          <t>Clean dryer vent</t>
        </is>
      </c>
      <c r="C8" s="17" t="n">
        <v>0</v>
      </c>
      <c r="D8" s="16" t="inlineStr"/>
    </row>
    <row r="9" ht="19" customHeight="1">
      <c r="A9" s="15" t="n">
        <v>46124</v>
      </c>
      <c r="B9" s="16" t="inlineStr">
        <is>
          <t>Service lawn mower</t>
        </is>
      </c>
      <c r="C9" s="17" t="n">
        <v>85</v>
      </c>
      <c r="D9" s="16" t="inlineStr"/>
    </row>
    <row r="10" ht="19" customHeight="1">
      <c r="A10" s="15" t="n">
        <v>46174</v>
      </c>
      <c r="B10" s="16" t="inlineStr">
        <is>
          <t>Check fire extinguisher</t>
        </is>
      </c>
      <c r="C10" s="17" t="n">
        <v>0</v>
      </c>
      <c r="D10" s="16" t="inlineStr"/>
    </row>
    <row r="11" ht="19" customHeight="1">
      <c r="A11" s="15" t="n">
        <v>46223</v>
      </c>
      <c r="B11" s="16" t="inlineStr">
        <is>
          <t>Clean fridge coils</t>
        </is>
      </c>
      <c r="C11" s="17" t="n">
        <v>0</v>
      </c>
      <c r="D11" s="16" t="inlineStr"/>
    </row>
    <row r="12" ht="19" customHeight="1">
      <c r="A12" s="15" t="n">
        <v>46147</v>
      </c>
      <c r="B12" s="16" t="inlineStr">
        <is>
          <t>Inspect roof</t>
        </is>
      </c>
      <c r="C12" s="17" t="n">
        <v>150</v>
      </c>
      <c r="D12" s="16" t="inlineStr"/>
    </row>
    <row r="13" ht="19" customHeight="1">
      <c r="A13" s="15" t="n">
        <v>46235</v>
      </c>
      <c r="B13" s="16" t="inlineStr">
        <is>
          <t>Test GFCI outlets</t>
        </is>
      </c>
      <c r="C13" s="17" t="n">
        <v>0</v>
      </c>
      <c r="D13" s="16" t="inlineStr"/>
    </row>
    <row r="14" ht="19" customHeight="1">
      <c r="A14" s="15" t="n">
        <v>46067</v>
      </c>
      <c r="B14" s="16" t="inlineStr">
        <is>
          <t>Seal grout</t>
        </is>
      </c>
      <c r="C14" s="17" t="n">
        <v>18</v>
      </c>
      <c r="D14" s="16" t="inlineStr"/>
    </row>
    <row r="15" ht="19" customHeight="1">
      <c r="A15" s="15" t="n">
        <v>46233</v>
      </c>
      <c r="B15" s="16" t="inlineStr">
        <is>
          <t>Clean range hood filter</t>
        </is>
      </c>
      <c r="C15" s="17" t="n">
        <v>0</v>
      </c>
      <c r="D15" s="16" t="inlineStr"/>
    </row>
    <row r="16" ht="19" customHeight="1">
      <c r="A16" s="15" t="n">
        <v>46289</v>
      </c>
      <c r="B16" s="16" t="inlineStr">
        <is>
          <t>Replace HVAC filter</t>
        </is>
      </c>
      <c r="C16" s="17" t="n">
        <v>24</v>
      </c>
      <c r="D16" s="16" t="inlineStr">
        <is>
          <t>MERV 11, 20x25x1</t>
        </is>
      </c>
    </row>
    <row r="17" ht="19" customHeight="1">
      <c r="A17" s="15" t="n"/>
      <c r="B17" s="16" t="n"/>
      <c r="C17" s="17" t="n"/>
      <c r="D17" s="16" t="n"/>
    </row>
    <row r="18" ht="19" customHeight="1">
      <c r="A18" s="15" t="n"/>
      <c r="B18" s="16" t="n"/>
      <c r="C18" s="17" t="n"/>
      <c r="D18" s="16" t="n"/>
    </row>
  </sheetData>
  <pageMargins left="0.3" right="0.3" top="0.3" bottom="0.3" header="0" footer="0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2026-09-27T09:48:18Z</dcterms:created>
  <dcterms:modified xsi:type="dcterms:W3CDTF">2026-09-27T09:48:18Z</dcterms:modified>
</cp:coreProperties>
</file>