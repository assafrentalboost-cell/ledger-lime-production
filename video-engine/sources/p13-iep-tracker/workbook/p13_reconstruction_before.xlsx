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gress Log" sheetId="2" state="visible" r:id="rId2"/>
  </sheets>
  <definedNames>
    <definedName name="_xlnm.Print_Area" localSheetId="0">'Dashboard'!$A$1:$K$16</definedName>
    <definedName name="_xlnm.Print_Area" localSheetId="1">'Progress Log'!$A$1:$E$19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Liberation Sans"/>
      <b val="1"/>
      <color rgb="0014213D"/>
      <sz val="16"/>
    </font>
    <font>
      <name val="Liberation Sans"/>
      <i val="1"/>
      <color rgb="006B7280"/>
      <sz val="10"/>
    </font>
    <font>
      <name val="Liberation Sans"/>
      <b val="1"/>
      <color rgb="00F6F1E7"/>
      <sz val="11"/>
    </font>
    <font>
      <name val="Liberation Sans"/>
      <color rgb="001B2433"/>
      <sz val="11"/>
    </font>
    <font>
      <name val="Liberation Serif"/>
      <b val="1"/>
      <color rgb="00F6F1E7"/>
      <sz val="20"/>
    </font>
    <font>
      <name val="Liberation Sans"/>
      <color rgb="006B7280"/>
      <sz val="10"/>
    </font>
    <font>
      <name val="Liberation Sans"/>
      <color rgb="001B2433"/>
      <sz val="10"/>
    </font>
    <font>
      <name val="Liberation Sans"/>
      <b val="1"/>
      <color rgb="006B7280"/>
      <sz val="10"/>
    </font>
    <font>
      <name val="Liberation Sans"/>
      <b val="1"/>
      <color rgb="0014213D"/>
      <sz val="24"/>
    </font>
    <font>
      <name val="Liberation Sans"/>
      <b val="1"/>
      <color rgb="00F6F1E7"/>
      <sz val="10"/>
    </font>
    <font>
      <name val="Liberation Sans"/>
      <b val="1"/>
      <color rgb="001B2433"/>
      <sz val="11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6F1E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bottom style="medium">
        <color rgb="00B89B5E"/>
      </bottom>
    </border>
    <border>
      <bottom style="thin">
        <color rgb="00D9D2C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 vertical="bottom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0" fillId="2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9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8A5A00"/>
      </font>
      <fill>
        <patternFill patternType="solid">
          <fgColor rgb="00FBEAD0"/>
          <bgColor rgb="00FBEAD0"/>
        </patternFill>
      </fill>
    </dxf>
    <dxf>
      <font>
        <b val="1"/>
        <color rgb="008E1F1F"/>
      </font>
      <fill>
        <patternFill patternType="solid">
          <fgColor rgb="00F8DADA"/>
          <bgColor rgb="00F8DADA"/>
        </patternFill>
      </fill>
    </dxf>
    <dxf>
      <font>
        <b val="1"/>
        <color rgb="001E6B34"/>
      </font>
      <fill>
        <patternFill patternType="solid">
          <fgColor rgb="00DCEFE0"/>
          <bgColor rgb="00DCEFE0"/>
        </patternFill>
      </fill>
    </dxf>
    <dxf>
      <font>
        <b val="1"/>
        <color rgb="0034405A"/>
      </font>
      <fill>
        <patternFill patternType="solid">
          <fgColor rgb="00E8EAF0"/>
          <bgColor rgb="00E8E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3" customWidth="1" min="3" max="3"/>
    <col width="27" customWidth="1" min="4" max="4"/>
    <col width="11" customWidth="1" min="5" max="5"/>
    <col width="11" customWidth="1" min="6" max="6"/>
    <col width="11" customWidth="1" min="7" max="7"/>
    <col width="13" customWidth="1" min="8" max="8"/>
    <col width="17" customWidth="1" min="9" max="9"/>
    <col width="16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 ht="38" customHeight="1">
      <c r="B2" s="1" t="inlineStr">
        <is>
          <t>IEP Caseload &amp; Goal Progress Tracker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3" t="inlineStr">
        <is>
          <t>Report date</t>
        </is>
      </c>
      <c r="C3" s="4" t="n">
        <v>46290</v>
      </c>
      <c r="D3" s="5" t="inlineStr">
        <is>
          <t>Status uses data from the last 30 days</t>
        </is>
      </c>
    </row>
    <row r="5" ht="22" customHeight="1">
      <c r="B5" s="6" t="inlineStr">
        <is>
          <t>Students</t>
        </is>
      </c>
      <c r="C5" s="7" t="n"/>
      <c r="D5" s="6" t="inlineStr">
        <is>
          <t>Active Goals</t>
        </is>
      </c>
      <c r="E5" s="6" t="inlineStr">
        <is>
          <t>Needs Attention</t>
        </is>
      </c>
      <c r="F5" s="7" t="n"/>
      <c r="G5" s="7" t="n"/>
      <c r="H5" s="6" t="inlineStr">
        <is>
          <t>Improving</t>
        </is>
      </c>
      <c r="I5" s="7" t="n"/>
      <c r="J5" s="7" t="n"/>
    </row>
    <row r="6" ht="40" customHeight="1">
      <c r="B6" s="8">
        <f>SUMPRODUCT(1/COUNTIF(C10:C15,C10:C15))</f>
        <v/>
      </c>
      <c r="C6" s="7" t="n"/>
      <c r="D6" s="8">
        <f>COUNTA(B10:B15)</f>
        <v/>
      </c>
      <c r="E6" s="9">
        <f>COUNTIF(J10:J15,"No Recent Data")+COUNTIF(J10:J15,"Declining")</f>
        <v/>
      </c>
      <c r="F6" s="10" t="n"/>
      <c r="G6" s="10" t="n"/>
      <c r="H6" s="8">
        <f>COUNTIF(J10:J15,"Improving")</f>
        <v/>
      </c>
      <c r="I6" s="7" t="n"/>
      <c r="J6" s="7" t="n"/>
    </row>
    <row r="9" ht="30" customHeight="1">
      <c r="B9" s="11" t="inlineStr">
        <is>
          <t>Goal ID</t>
        </is>
      </c>
      <c r="C9" s="11" t="inlineStr">
        <is>
          <t>Student</t>
        </is>
      </c>
      <c r="D9" s="11" t="inlineStr">
        <is>
          <t>Goal</t>
        </is>
      </c>
      <c r="E9" s="11" t="inlineStr">
        <is>
          <t>Area</t>
        </is>
      </c>
      <c r="F9" s="11" t="inlineStr">
        <is>
          <t>Baseline</t>
        </is>
      </c>
      <c r="G9" s="11" t="inlineStr">
        <is>
          <t>Latest</t>
        </is>
      </c>
      <c r="H9" s="11" t="inlineStr">
        <is>
          <t>Last Data</t>
        </is>
      </c>
      <c r="I9" s="11" t="inlineStr">
        <is>
          <t>Service Min / Wk</t>
        </is>
      </c>
      <c r="J9" s="11" t="inlineStr">
        <is>
          <t>Status</t>
        </is>
      </c>
    </row>
    <row r="10" ht="24" customHeight="1">
      <c r="B10" s="12" t="inlineStr">
        <is>
          <t>G-101</t>
        </is>
      </c>
      <c r="C10" s="13" t="inlineStr">
        <is>
          <t>STU-001</t>
        </is>
      </c>
      <c r="D10" s="13" t="inlineStr">
        <is>
          <t>Reading fluency</t>
        </is>
      </c>
      <c r="E10" s="12" t="inlineStr">
        <is>
          <t>Reading</t>
        </is>
      </c>
      <c r="F10" s="14" t="n">
        <v>0.42</v>
      </c>
      <c r="G10" s="14">
        <f>IF(L10=0,"",M10)</f>
        <v/>
      </c>
      <c r="H10" s="15">
        <f>IF(L10=0,"",L10)</f>
        <v/>
      </c>
      <c r="I10" s="12" t="inlineStr">
        <is>
          <t>120 / 120</t>
        </is>
      </c>
      <c r="J10" s="16">
        <f>IF(L10=0,"No Data",IF($C$3-L10&gt;30,"No Recent Data",IF(M10&gt;O10,"Improving",IF(M10&lt;O10,"Declining","Steady"))))</f>
        <v/>
      </c>
      <c r="L10">
        <f>SUMPRODUCT(MAX(('Progress Log'!$C$5:$C$60=B10)*'Progress Log'!$A$5:$A$60))</f>
        <v/>
      </c>
      <c r="M10">
        <f>SUMIFS('Progress Log'!$D$5:$D$60,'Progress Log'!$C$5:$C$60,B10,'Progress Log'!$A$5:$A$60,L10)</f>
        <v/>
      </c>
      <c r="N10">
        <f>SUMPRODUCT(MAX(('Progress Log'!$C$5:$C$60=B10)*('Progress Log'!$A$5:$A$60&lt;L10)*'Progress Log'!$A$5:$A$60))</f>
        <v/>
      </c>
      <c r="O10">
        <f>SUMIFS('Progress Log'!$D$5:$D$60,'Progress Log'!$C$5:$C$60,B10,'Progress Log'!$A$5:$A$60,N10)</f>
        <v/>
      </c>
    </row>
    <row r="11" ht="24" customHeight="1">
      <c r="B11" s="12" t="inlineStr">
        <is>
          <t>G-102</t>
        </is>
      </c>
      <c r="C11" s="13" t="inlineStr">
        <is>
          <t>STU-002</t>
        </is>
      </c>
      <c r="D11" s="13" t="inlineStr">
        <is>
          <t>Multi-step word problems</t>
        </is>
      </c>
      <c r="E11" s="12" t="inlineStr">
        <is>
          <t>Math</t>
        </is>
      </c>
      <c r="F11" s="14" t="n">
        <v>0.35</v>
      </c>
      <c r="G11" s="14">
        <f>IF(L11=0,"",M11)</f>
        <v/>
      </c>
      <c r="H11" s="15">
        <f>IF(L11=0,"",L11)</f>
        <v/>
      </c>
      <c r="I11" s="12" t="inlineStr">
        <is>
          <t>90 / 90</t>
        </is>
      </c>
      <c r="J11" s="16">
        <f>IF(L11=0,"No Data",IF($C$3-L11&gt;30,"No Recent Data",IF(M11&gt;O11,"Improving",IF(M11&lt;O11,"Declining","Steady"))))</f>
        <v/>
      </c>
      <c r="L11">
        <f>SUMPRODUCT(MAX(('Progress Log'!$C$5:$C$60=B11)*'Progress Log'!$A$5:$A$60))</f>
        <v/>
      </c>
      <c r="M11">
        <f>SUMIFS('Progress Log'!$D$5:$D$60,'Progress Log'!$C$5:$C$60,B11,'Progress Log'!$A$5:$A$60,L11)</f>
        <v/>
      </c>
      <c r="N11">
        <f>SUMPRODUCT(MAX(('Progress Log'!$C$5:$C$60=B11)*('Progress Log'!$A$5:$A$60&lt;L11)*'Progress Log'!$A$5:$A$60))</f>
        <v/>
      </c>
      <c r="O11">
        <f>SUMIFS('Progress Log'!$D$5:$D$60,'Progress Log'!$C$5:$C$60,B11,'Progress Log'!$A$5:$A$60,N11)</f>
        <v/>
      </c>
    </row>
    <row r="12" ht="24" customHeight="1">
      <c r="B12" s="12" t="inlineStr">
        <is>
          <t>G-103</t>
        </is>
      </c>
      <c r="C12" s="13" t="inlineStr">
        <is>
          <t>STU-003</t>
        </is>
      </c>
      <c r="D12" s="13" t="inlineStr">
        <is>
          <t>Self-advocacy requests</t>
        </is>
      </c>
      <c r="E12" s="12" t="inlineStr">
        <is>
          <t>Behavior</t>
        </is>
      </c>
      <c r="F12" s="14" t="n">
        <v>0.2</v>
      </c>
      <c r="G12" s="14">
        <f>IF(L12=0,"",M12)</f>
        <v/>
      </c>
      <c r="H12" s="15">
        <f>IF(L12=0,"",L12)</f>
        <v/>
      </c>
      <c r="I12" s="12" t="inlineStr">
        <is>
          <t>45 / 60</t>
        </is>
      </c>
      <c r="J12" s="16">
        <f>IF(L12=0,"No Data",IF($C$3-L12&gt;30,"No Recent Data",IF(M12&gt;O12,"Improving",IF(M12&lt;O12,"Declining","Steady"))))</f>
        <v/>
      </c>
      <c r="L12">
        <f>SUMPRODUCT(MAX(('Progress Log'!$C$5:$C$60=B12)*'Progress Log'!$A$5:$A$60))</f>
        <v/>
      </c>
      <c r="M12">
        <f>SUMIFS('Progress Log'!$D$5:$D$60,'Progress Log'!$C$5:$C$60,B12,'Progress Log'!$A$5:$A$60,L12)</f>
        <v/>
      </c>
      <c r="N12">
        <f>SUMPRODUCT(MAX(('Progress Log'!$C$5:$C$60=B12)*('Progress Log'!$A$5:$A$60&lt;L12)*'Progress Log'!$A$5:$A$60))</f>
        <v/>
      </c>
      <c r="O12">
        <f>SUMIFS('Progress Log'!$D$5:$D$60,'Progress Log'!$C$5:$C$60,B12,'Progress Log'!$A$5:$A$60,N12)</f>
        <v/>
      </c>
    </row>
    <row r="13" ht="24" customHeight="1">
      <c r="B13" s="12" t="inlineStr">
        <is>
          <t>G-104</t>
        </is>
      </c>
      <c r="C13" s="13" t="inlineStr">
        <is>
          <t>STU-004</t>
        </is>
      </c>
      <c r="D13" s="13" t="inlineStr">
        <is>
          <t>Reading comprehension</t>
        </is>
      </c>
      <c r="E13" s="12" t="inlineStr">
        <is>
          <t>Reading</t>
        </is>
      </c>
      <c r="F13" s="14" t="n">
        <v>0.4</v>
      </c>
      <c r="G13" s="14">
        <f>IF(L13=0,"",M13)</f>
        <v/>
      </c>
      <c r="H13" s="15">
        <f>IF(L13=0,"",L13)</f>
        <v/>
      </c>
      <c r="I13" s="12" t="inlineStr">
        <is>
          <t>120 / 120</t>
        </is>
      </c>
      <c r="J13" s="16">
        <f>IF(L13=0,"No Data",IF($C$3-L13&gt;30,"No Recent Data",IF(M13&gt;O13,"Improving",IF(M13&lt;O13,"Declining","Steady"))))</f>
        <v/>
      </c>
      <c r="L13">
        <f>SUMPRODUCT(MAX(('Progress Log'!$C$5:$C$60=B13)*'Progress Log'!$A$5:$A$60))</f>
        <v/>
      </c>
      <c r="M13">
        <f>SUMIFS('Progress Log'!$D$5:$D$60,'Progress Log'!$C$5:$C$60,B13,'Progress Log'!$A$5:$A$60,L13)</f>
        <v/>
      </c>
      <c r="N13">
        <f>SUMPRODUCT(MAX(('Progress Log'!$C$5:$C$60=B13)*('Progress Log'!$A$5:$A$60&lt;L13)*'Progress Log'!$A$5:$A$60))</f>
        <v/>
      </c>
      <c r="O13">
        <f>SUMIFS('Progress Log'!$D$5:$D$60,'Progress Log'!$C$5:$C$60,B13,'Progress Log'!$A$5:$A$60,N13)</f>
        <v/>
      </c>
    </row>
    <row r="14" ht="24" customHeight="1">
      <c r="B14" s="12" t="inlineStr">
        <is>
          <t>G-105</t>
        </is>
      </c>
      <c r="C14" s="13" t="inlineStr">
        <is>
          <t>STU-005</t>
        </is>
      </c>
      <c r="D14" s="13" t="inlineStr">
        <is>
          <t>Written expression</t>
        </is>
      </c>
      <c r="E14" s="12" t="inlineStr">
        <is>
          <t>Writing</t>
        </is>
      </c>
      <c r="F14" s="14" t="n">
        <v>0.3</v>
      </c>
      <c r="G14" s="14">
        <f>IF(L14=0,"",M14)</f>
        <v/>
      </c>
      <c r="H14" s="15">
        <f>IF(L14=0,"",L14)</f>
        <v/>
      </c>
      <c r="I14" s="12" t="inlineStr">
        <is>
          <t>90 / 90</t>
        </is>
      </c>
      <c r="J14" s="16">
        <f>IF(L14=0,"No Data",IF($C$3-L14&gt;30,"No Recent Data",IF(M14&gt;O14,"Improving",IF(M14&lt;O14,"Declining","Steady"))))</f>
        <v/>
      </c>
      <c r="L14">
        <f>SUMPRODUCT(MAX(('Progress Log'!$C$5:$C$60=B14)*'Progress Log'!$A$5:$A$60))</f>
        <v/>
      </c>
      <c r="M14">
        <f>SUMIFS('Progress Log'!$D$5:$D$60,'Progress Log'!$C$5:$C$60,B14,'Progress Log'!$A$5:$A$60,L14)</f>
        <v/>
      </c>
      <c r="N14">
        <f>SUMPRODUCT(MAX(('Progress Log'!$C$5:$C$60=B14)*('Progress Log'!$A$5:$A$60&lt;L14)*'Progress Log'!$A$5:$A$60))</f>
        <v/>
      </c>
      <c r="O14">
        <f>SUMIFS('Progress Log'!$D$5:$D$60,'Progress Log'!$C$5:$C$60,B14,'Progress Log'!$A$5:$A$60,N14)</f>
        <v/>
      </c>
    </row>
    <row r="15" ht="24" customHeight="1">
      <c r="B15" s="12" t="inlineStr">
        <is>
          <t>G-106</t>
        </is>
      </c>
      <c r="C15" s="13" t="inlineStr">
        <is>
          <t>STU-006</t>
        </is>
      </c>
      <c r="D15" s="13" t="inlineStr">
        <is>
          <t>Math fact fluency</t>
        </is>
      </c>
      <c r="E15" s="12" t="inlineStr">
        <is>
          <t>Math</t>
        </is>
      </c>
      <c r="F15" s="14" t="n">
        <v>0.5</v>
      </c>
      <c r="G15" s="14">
        <f>IF(L15=0,"",M15)</f>
        <v/>
      </c>
      <c r="H15" s="15">
        <f>IF(L15=0,"",L15)</f>
        <v/>
      </c>
      <c r="I15" s="12" t="inlineStr">
        <is>
          <t>60 / 60</t>
        </is>
      </c>
      <c r="J15" s="16">
        <f>IF(L15=0,"No Data",IF($C$3-L15&gt;30,"No Recent Data",IF(M15&gt;O15,"Improving",IF(M15&lt;O15,"Declining","Steady"))))</f>
        <v/>
      </c>
      <c r="L15">
        <f>SUMPRODUCT(MAX(('Progress Log'!$C$5:$C$60=B15)*'Progress Log'!$A$5:$A$60))</f>
        <v/>
      </c>
      <c r="M15">
        <f>SUMIFS('Progress Log'!$D$5:$D$60,'Progress Log'!$C$5:$C$60,B15,'Progress Log'!$A$5:$A$60,L15)</f>
        <v/>
      </c>
      <c r="N15">
        <f>SUMPRODUCT(MAX(('Progress Log'!$C$5:$C$60=B15)*('Progress Log'!$A$5:$A$60&lt;L15)*'Progress Log'!$A$5:$A$60))</f>
        <v/>
      </c>
      <c r="O15">
        <f>SUMIFS('Progress Log'!$D$5:$D$60,'Progress Log'!$C$5:$C$60,B15,'Progress Log'!$A$5:$A$60,N15)</f>
        <v/>
      </c>
    </row>
  </sheetData>
  <mergeCells count="7">
    <mergeCell ref="B6:C6"/>
    <mergeCell ref="E5:G5"/>
    <mergeCell ref="B5:C5"/>
    <mergeCell ref="H5:J5"/>
    <mergeCell ref="E6:G6"/>
    <mergeCell ref="B2:J2"/>
    <mergeCell ref="H6:J6"/>
  </mergeCells>
  <conditionalFormatting sqref="J10:J15">
    <cfRule type="expression" priority="1" dxfId="0">
      <formula>J10="No Recent Data"</formula>
    </cfRule>
    <cfRule type="expression" priority="2" dxfId="1">
      <formula>J10="Declining"</formula>
    </cfRule>
    <cfRule type="expression" priority="3" dxfId="2">
      <formula>J10="Improving"</formula>
    </cfRule>
    <cfRule type="expression" priority="4" dxfId="3">
      <formula>J10="Steady"</formula>
    </cfRule>
  </conditionalFormatting>
  <pageMargins left="0.3" right="0.3" top="0.3" bottom="0.3" header="0" footer="0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34" customWidth="1" min="5" max="5"/>
  </cols>
  <sheetData>
    <row r="1">
      <c r="A1" s="17" t="inlineStr">
        <is>
          <t>Progress Log</t>
        </is>
      </c>
    </row>
    <row r="2">
      <c r="A2" s="5" t="inlineStr">
        <is>
          <t>Enter one row per data collection. The dashboard updates automatically.</t>
        </is>
      </c>
    </row>
    <row r="4" ht="22" customHeight="1">
      <c r="A4" s="18" t="inlineStr">
        <is>
          <t>Date</t>
        </is>
      </c>
      <c r="B4" s="18" t="inlineStr">
        <is>
          <t>Student</t>
        </is>
      </c>
      <c r="C4" s="18" t="inlineStr">
        <is>
          <t>Goal ID</t>
        </is>
      </c>
      <c r="D4" s="18" t="inlineStr">
        <is>
          <t>Score %</t>
        </is>
      </c>
      <c r="E4" s="19" t="inlineStr">
        <is>
          <t>Notes</t>
        </is>
      </c>
    </row>
    <row r="5" ht="19" customHeight="1">
      <c r="A5" s="20" t="n">
        <v>46262</v>
      </c>
      <c r="B5" s="21" t="inlineStr">
        <is>
          <t>STU-001</t>
        </is>
      </c>
      <c r="C5" s="21" t="inlineStr">
        <is>
          <t>G-101</t>
        </is>
      </c>
      <c r="D5" s="22" t="n">
        <v>0.55</v>
      </c>
      <c r="E5" s="23" t="inlineStr"/>
    </row>
    <row r="6" ht="19" customHeight="1">
      <c r="A6" s="20" t="n">
        <v>46283</v>
      </c>
      <c r="B6" s="21" t="inlineStr">
        <is>
          <t>STU-001</t>
        </is>
      </c>
      <c r="C6" s="21" t="inlineStr">
        <is>
          <t>G-101</t>
        </is>
      </c>
      <c r="D6" s="22" t="n">
        <v>0.64</v>
      </c>
      <c r="E6" s="23" t="inlineStr"/>
    </row>
    <row r="7" ht="19" customHeight="1">
      <c r="A7" s="20" t="n">
        <v>46264</v>
      </c>
      <c r="B7" s="21" t="inlineStr">
        <is>
          <t>STU-002</t>
        </is>
      </c>
      <c r="C7" s="21" t="inlineStr">
        <is>
          <t>G-102</t>
        </is>
      </c>
      <c r="D7" s="22" t="n">
        <v>0.48</v>
      </c>
      <c r="E7" s="23" t="inlineStr"/>
    </row>
    <row r="8" ht="19" customHeight="1">
      <c r="A8" s="20" t="n">
        <v>46284</v>
      </c>
      <c r="B8" s="21" t="inlineStr">
        <is>
          <t>STU-002</t>
        </is>
      </c>
      <c r="C8" s="21" t="inlineStr">
        <is>
          <t>G-102</t>
        </is>
      </c>
      <c r="D8" s="22" t="n">
        <v>0.57</v>
      </c>
      <c r="E8" s="23" t="inlineStr"/>
    </row>
    <row r="9" ht="19" customHeight="1">
      <c r="A9" s="20" t="n">
        <v>46267</v>
      </c>
      <c r="B9" s="21" t="inlineStr">
        <is>
          <t>STU-003</t>
        </is>
      </c>
      <c r="C9" s="21" t="inlineStr">
        <is>
          <t>G-103</t>
        </is>
      </c>
      <c r="D9" s="22" t="n">
        <v>0.4</v>
      </c>
      <c r="E9" s="23" t="inlineStr"/>
    </row>
    <row r="10" ht="19" customHeight="1">
      <c r="A10" s="20" t="n">
        <v>46287</v>
      </c>
      <c r="B10" s="21" t="inlineStr">
        <is>
          <t>STU-003</t>
        </is>
      </c>
      <c r="C10" s="21" t="inlineStr">
        <is>
          <t>G-103</t>
        </is>
      </c>
      <c r="D10" s="22" t="n">
        <v>0.4</v>
      </c>
      <c r="E10" s="23" t="inlineStr"/>
    </row>
    <row r="11" ht="19" customHeight="1">
      <c r="A11" s="20" t="n">
        <v>46217</v>
      </c>
      <c r="B11" s="21" t="inlineStr">
        <is>
          <t>STU-004</t>
        </is>
      </c>
      <c r="C11" s="21" t="inlineStr">
        <is>
          <t>G-104</t>
        </is>
      </c>
      <c r="D11" s="22" t="n">
        <v>0.45</v>
      </c>
      <c r="E11" s="23" t="inlineStr"/>
    </row>
    <row r="12" ht="19" customHeight="1">
      <c r="A12" s="20" t="n">
        <v>46246</v>
      </c>
      <c r="B12" s="21" t="inlineStr">
        <is>
          <t>STU-004</t>
        </is>
      </c>
      <c r="C12" s="21" t="inlineStr">
        <is>
          <t>G-104</t>
        </is>
      </c>
      <c r="D12" s="22" t="n">
        <v>0.6</v>
      </c>
      <c r="E12" s="23" t="inlineStr"/>
    </row>
    <row r="13" ht="19" customHeight="1">
      <c r="A13" s="20" t="n">
        <v>46266</v>
      </c>
      <c r="B13" s="21" t="inlineStr">
        <is>
          <t>STU-005</t>
        </is>
      </c>
      <c r="C13" s="21" t="inlineStr">
        <is>
          <t>G-105</t>
        </is>
      </c>
      <c r="D13" s="22" t="n">
        <v>0.44</v>
      </c>
      <c r="E13" s="23" t="inlineStr"/>
    </row>
    <row r="14" ht="19" customHeight="1">
      <c r="A14" s="20" t="n">
        <v>46281</v>
      </c>
      <c r="B14" s="21" t="inlineStr">
        <is>
          <t>STU-005</t>
        </is>
      </c>
      <c r="C14" s="21" t="inlineStr">
        <is>
          <t>G-105</t>
        </is>
      </c>
      <c r="D14" s="22" t="n">
        <v>0.58</v>
      </c>
      <c r="E14" s="23" t="inlineStr"/>
    </row>
    <row r="15" ht="19" customHeight="1">
      <c r="A15" s="20" t="n">
        <v>46268</v>
      </c>
      <c r="B15" s="21" t="inlineStr">
        <is>
          <t>STU-006</t>
        </is>
      </c>
      <c r="C15" s="21" t="inlineStr">
        <is>
          <t>G-106</t>
        </is>
      </c>
      <c r="D15" s="22" t="n">
        <v>0.7</v>
      </c>
      <c r="E15" s="23" t="inlineStr"/>
    </row>
    <row r="16" ht="19" customHeight="1">
      <c r="A16" s="20" t="n">
        <v>46286</v>
      </c>
      <c r="B16" s="21" t="inlineStr">
        <is>
          <t>STU-006</t>
        </is>
      </c>
      <c r="C16" s="21" t="inlineStr">
        <is>
          <t>G-106</t>
        </is>
      </c>
      <c r="D16" s="22" t="n">
        <v>0.55</v>
      </c>
      <c r="E16" s="23" t="inlineStr"/>
    </row>
    <row r="17" ht="19" customHeight="1">
      <c r="A17" s="24" t="n"/>
      <c r="B17" s="24" t="n"/>
      <c r="C17" s="24" t="n"/>
      <c r="D17" s="24" t="n"/>
      <c r="E17" s="24" t="n"/>
    </row>
    <row r="18" ht="19" customHeight="1">
      <c r="A18" s="24" t="n"/>
      <c r="B18" s="24" t="n"/>
      <c r="C18" s="24" t="n"/>
      <c r="D18" s="24" t="n"/>
      <c r="E18" s="24" t="n"/>
    </row>
    <row r="19" ht="19" customHeight="1">
      <c r="A19" s="24" t="n"/>
      <c r="B19" s="24" t="n"/>
      <c r="C19" s="24" t="n"/>
      <c r="D19" s="24" t="n"/>
      <c r="E19" s="24" t="n"/>
    </row>
  </sheetData>
  <pageMargins left="0.3" right="0.3" top="0.3" bottom="0.3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2026-09-27T11:14:36Z</dcterms:created>
  <dcterms:modified xsi:type="dcterms:W3CDTF">2026-09-27T11:14:36Z</dcterms:modified>
</cp:coreProperties>
</file>