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operties &amp; Units" sheetId="2" state="visible" r:id="rId2"/>
    <sheet xmlns:r="http://schemas.openxmlformats.org/officeDocument/2006/relationships" name="Tenants &amp; Leases" sheetId="3" state="visible" r:id="rId3"/>
    <sheet xmlns:r="http://schemas.openxmlformats.org/officeDocument/2006/relationships" name="Rent Tracker" sheetId="4" state="visible" r:id="rId4"/>
    <sheet xmlns:r="http://schemas.openxmlformats.org/officeDocument/2006/relationships" name="Income &amp; Expenses" sheetId="5" state="visible" r:id="rId5"/>
    <sheet xmlns:r="http://schemas.openxmlformats.org/officeDocument/2006/relationships" name="Maintenance &amp; Repairs" sheetId="6" state="visible" r:id="rId6"/>
    <sheet xmlns:r="http://schemas.openxmlformats.org/officeDocument/2006/relationships" name="Deposits &amp; Capital Improvement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Year-End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[$-409]mmm d, yyyy;@"/>
    <numFmt numFmtId="166" formatCode="&quot;$&quot;#,##0.00"/>
    <numFmt numFmtId="167" formatCode="yyyy-mm-dd h:mm:ss"/>
    <numFmt numFmtId="168" formatCode="[$-409]mmm yyyy;@"/>
  </numFmts>
  <fonts count="10">
    <font>
      <name val="Calibri"/>
      <family val="2"/>
      <color theme="1"/>
      <sz val="11"/>
      <scheme val="minor"/>
    </font>
    <font>
      <b val="1"/>
      <color rgb="001B3A57"/>
      <sz val="14"/>
    </font>
    <font>
      <b val="1"/>
      <color rgb="001B3A57"/>
    </font>
    <font>
      <color rgb="001155CC"/>
      <u val="single"/>
    </font>
    <font>
      <b val="1"/>
    </font>
    <font>
      <i val="1"/>
      <color rgb="005D6D7E"/>
    </font>
    <font>
      <b val="1"/>
      <color rgb="00FFFFFF"/>
      <sz val="12"/>
    </font>
    <font>
      <b val="1"/>
      <color rgb="001B3A57"/>
      <sz val="13"/>
    </font>
    <font>
      <b val="1"/>
      <color rgb="001B3A57"/>
      <sz val="12"/>
    </font>
    <font>
      <b val="1"/>
      <i val="1"/>
      <color rgb="005D6D7E"/>
    </font>
  </fonts>
  <fills count="4">
    <fill>
      <patternFill/>
    </fill>
    <fill>
      <patternFill patternType="gray125"/>
    </fill>
    <fill>
      <patternFill patternType="solid">
        <fgColor rgb="001B3A57"/>
        <bgColor rgb="001B3A57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0" fillId="3" borderId="0" applyProtection="1" pivotButton="0" quotePrefix="0" xfId="0">
      <protection locked="0" hidden="0"/>
    </xf>
    <xf numFmtId="9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0" fontId="5" fillId="0" borderId="0" pivotButton="0" quotePrefix="0" xfId="0"/>
    <xf numFmtId="168" fontId="0" fillId="3" borderId="0" applyProtection="1" pivotButton="0" quotePrefix="0" xfId="0">
      <protection locked="0" hidden="0"/>
    </xf>
    <xf numFmtId="166" fontId="0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0" fontId="9" fillId="0" borderId="0" pivotButton="0" quotePrefix="0" xfId="0"/>
    <xf numFmtId="168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DE9CE"/>
          <bgColor rgb="00FDE9CE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'Dashboard'!$A$93:$A$98</f>
            </numRef>
          </cat>
          <val>
            <numRef>
              <f>'Dashboard'!$B$93:$B$98</f>
            </numRef>
          </val>
        </ser>
        <ser>
          <idx val="1"/>
          <order val="1"/>
          <tx>
            <strRef>
              <f>'Dashboard'!C92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'Dashboard'!$A$93:$A$98</f>
            </numRef>
          </cat>
          <val>
            <numRef>
              <f>'Dashboard'!$C$93:$C$98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Rent Collected vs Rent Due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'Dashboard'!$A$102:$A$107</f>
            </numRef>
          </cat>
          <val>
            <numRef>
              <f>'Dashboard'!$B$102:$B$107</f>
            </numRef>
          </val>
        </ser>
        <ser>
          <idx val="1"/>
          <order val="1"/>
          <tx>
            <strRef>
              <f>'Dashboard'!C101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'Dashboard'!$A$102:$A$107</f>
            </numRef>
          </cat>
          <val>
            <numRef>
              <f>'Dashboard'!$C$102:$C$107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Cash Flow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'Year-End Summary'!D31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Summary'!$D$32:$D$34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Categories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'Year-End 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'Year-End Summary'!$A$14:$A$27</f>
            </numRef>
          </cat>
          <val>
            <numRef>
              <f>'Year-End Summary'!$B$14:$B$27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Property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'Year-End Summary'!B31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Summary'!$B$32:$B$34</f>
            </numRef>
          </val>
        </ser>
        <ser>
          <idx val="1"/>
          <order val="1"/>
          <tx>
            <strRef>
              <f>'Year-End Summary'!C31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Summary'!$C$32:$C$34</f>
            </numRef>
          </val>
        </ser>
        <ser>
          <idx val="2"/>
          <order val="2"/>
          <tx>
            <strRef>
              <f>'Year-End Summary'!D31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Summary'!$D$32:$D$34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18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18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35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operties &amp; Units'!A1" TargetMode="External" Id="rId1"/><Relationship Type="http://schemas.openxmlformats.org/officeDocument/2006/relationships/hyperlink" Target="#'Tenants &amp; Leases'!A1" TargetMode="External" Id="rId2"/><Relationship Type="http://schemas.openxmlformats.org/officeDocument/2006/relationships/hyperlink" Target="#'Rent Tracker'!A1" TargetMode="External" Id="rId3"/><Relationship Type="http://schemas.openxmlformats.org/officeDocument/2006/relationships/hyperlink" Target="#'Income &amp; Expenses'!A1" TargetMode="External" Id="rId4"/><Relationship Type="http://schemas.openxmlformats.org/officeDocument/2006/relationships/hyperlink" Target="#'Maintenance &amp; Repairs'!A1" TargetMode="External" Id="rId5"/><Relationship Type="http://schemas.openxmlformats.org/officeDocument/2006/relationships/hyperlink" Target="#'Deposits &amp; Capital Improvements'!A1" TargetMode="External" Id="rId6"/><Relationship Type="http://schemas.openxmlformats.org/officeDocument/2006/relationships/hyperlink" Target="#'Dashboard'!A1" TargetMode="External" Id="rId7"/><Relationship Type="http://schemas.openxmlformats.org/officeDocument/2006/relationships/hyperlink" Target="#'Year-End Summary'!A1" TargetMode="External" Id="rId8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WELCOME — YOUR RENTAL PROPERTY SPREADSHEET</t>
        </is>
      </c>
    </row>
    <row r="2">
      <c r="A2" s="2" t="inlineStr">
        <is>
          <t>One organized system for 1–10 rental properties: rent due vs. paid (with real partial-payment and carried-balance tracking), income &amp; expenses, maintenance, deposits, capital improvements, a portfolio dashboard, and a year-end summary. Pre-loaded with realistic sample data so you can see it working before you enter your own numbers.</t>
        </is>
      </c>
    </row>
    <row r="4">
      <c r="A4" t="inlineStr">
        <is>
          <t>Step 0 — Go to File &gt; Make a Copy to save this to your own Google Drive. Always work from your own copy, never the original.</t>
        </is>
      </c>
    </row>
    <row r="6">
      <c r="A6" s="3" t="inlineStr">
        <is>
          <t>QUICK NAVIGATION — click a tab name to jump there</t>
        </is>
      </c>
    </row>
    <row r="7">
      <c r="A7" s="4" t="inlineStr">
        <is>
          <t>→ Properties &amp; Units</t>
        </is>
      </c>
    </row>
    <row r="8">
      <c r="A8" s="4" t="inlineStr">
        <is>
          <t>→ Tenants &amp; Leases</t>
        </is>
      </c>
    </row>
    <row r="9">
      <c r="A9" s="4" t="inlineStr">
        <is>
          <t>→ Rent Tracker</t>
        </is>
      </c>
    </row>
    <row r="10">
      <c r="A10" s="4" t="inlineStr">
        <is>
          <t>→ Income &amp; Expenses</t>
        </is>
      </c>
    </row>
    <row r="11">
      <c r="A11" s="4" t="inlineStr">
        <is>
          <t>→ Maintenance &amp; Repairs</t>
        </is>
      </c>
    </row>
    <row r="12">
      <c r="A12" s="4" t="inlineStr">
        <is>
          <t>→ Deposits &amp; Capital Improvements</t>
        </is>
      </c>
    </row>
    <row r="13">
      <c r="A13" s="4" t="inlineStr">
        <is>
          <t>→ Dashboard</t>
        </is>
      </c>
    </row>
    <row r="14">
      <c r="A14" s="4" t="inlineStr">
        <is>
          <t>→ Year-End Summary</t>
        </is>
      </c>
    </row>
    <row r="16">
      <c r="A16" s="3" t="inlineStr">
        <is>
          <t>GET SET UP IN UNDER 5 MINUTES</t>
        </is>
      </c>
    </row>
    <row r="17">
      <c r="A17" s="2" t="inlineStr">
        <is>
          <t>STEP 1: Go to Properties &amp; Units — list each property and its units (1 unit for a single-family home, several for a duplex/fourplex).</t>
        </is>
      </c>
    </row>
    <row r="18">
      <c r="A18" s="2" t="inlineStr">
        <is>
          <t>STEP 2: Go to Tenants &amp; Leases — add each tenant, their unit, lease dates, and monthly rent.</t>
        </is>
      </c>
    </row>
    <row r="19">
      <c r="A19" s="2" t="inlineStr">
        <is>
          <t>STEP 3: Go to Rent Tracker — add one row per unit per month. Record payments as they come in; balances carry forward automatically.</t>
        </is>
      </c>
    </row>
    <row r="20">
      <c r="A20" s="2" t="inlineStr">
        <is>
          <t>STEP 4: Go to Income &amp; Expenses — log everything else: repairs, insurance, property tax, management fees, other income.</t>
        </is>
      </c>
    </row>
    <row r="21">
      <c r="A21" s="2" t="inlineStr">
        <is>
          <t>STEP 5: Check the Dashboard — rent due/collected/outstanding, cash flow, open maintenance, and expiring leases all update automatically from what you entered above.</t>
        </is>
      </c>
    </row>
    <row r="24">
      <c r="A24" s="3" t="inlineStr">
        <is>
          <t>WHAT THE COLORS MEAN</t>
        </is>
      </c>
    </row>
    <row r="25">
      <c r="A25" s="5" t="inlineStr">
        <is>
          <t>YELLOW</t>
        </is>
      </c>
      <c r="B25" t="inlineStr">
        <is>
          <t>YOU TYPE HERE.</t>
        </is>
      </c>
    </row>
    <row r="26">
      <c r="A26" s="5" t="inlineStr">
        <is>
          <t>WHITE</t>
        </is>
      </c>
      <c r="B26" t="inlineStr">
        <is>
          <t>AUTOMATIC — calculated for you. Don't type over these.</t>
        </is>
      </c>
    </row>
    <row r="28">
      <c r="A28" s="2" t="inlineStr">
        <is>
          <t>Google Sheets &amp; Excel compatible — both included. Works on any computer, no software to install for the Google Sheets version.</t>
        </is>
      </c>
    </row>
    <row r="30">
      <c r="A30" s="6" t="inlineStr">
        <is>
          <t>DISCLAIMER: This is an organizational and bookkeeping template only. It is not legal, tax, or accounting advice, and does not guarantee compliance with any landlord-tenant law. Always consult a qualified professional for legal or tax questions.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0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>
      <c r="A1" s="7" t="inlineStr">
        <is>
          <t>PROPERTIES &amp; UNITS</t>
        </is>
      </c>
    </row>
    <row r="3">
      <c r="A3" s="1" t="inlineStr">
        <is>
          <t>Property ID</t>
        </is>
      </c>
      <c r="B3" s="1" t="inlineStr">
        <is>
          <t>Property Name</t>
        </is>
      </c>
      <c r="C3" s="1" t="inlineStr">
        <is>
          <t>Address</t>
        </is>
      </c>
      <c r="D3" s="1" t="inlineStr">
        <is>
          <t>Unit ID</t>
        </is>
      </c>
      <c r="E3" s="1" t="inlineStr">
        <is>
          <t>Unit Name/Number</t>
        </is>
      </c>
      <c r="F3" s="1" t="inlineStr">
        <is>
          <t>Property Type</t>
        </is>
      </c>
      <c r="G3" s="1" t="inlineStr">
        <is>
          <t>Ownership %</t>
        </is>
      </c>
      <c r="H3" s="1" t="inlineStr">
        <is>
          <t>Purchase Date</t>
        </is>
      </c>
      <c r="I3" s="1" t="inlineStr">
        <is>
          <t>Purchase Price</t>
        </is>
      </c>
      <c r="J3" s="1" t="inlineStr">
        <is>
          <t>Current Status</t>
        </is>
      </c>
      <c r="K3" s="1" t="inlineStr">
        <is>
          <t>Notes</t>
        </is>
      </c>
    </row>
    <row r="4">
      <c r="A4" s="8" t="inlineStr">
        <is>
          <t>P1</t>
        </is>
      </c>
      <c r="B4" s="8" t="inlineStr">
        <is>
          <t>Maple Ave Duplex</t>
        </is>
      </c>
      <c r="C4" s="8" t="inlineStr">
        <is>
          <t>123 Maple Ave, Springfield</t>
        </is>
      </c>
      <c r="D4" s="8" t="inlineStr">
        <is>
          <t>P1-U1</t>
        </is>
      </c>
      <c r="E4" s="8" t="inlineStr">
        <is>
          <t>Unit 1</t>
        </is>
      </c>
      <c r="F4" s="8" t="inlineStr">
        <is>
          <t>Duplex</t>
        </is>
      </c>
      <c r="G4" s="9" t="n">
        <v>1</v>
      </c>
      <c r="H4" s="10" t="n">
        <v>44621</v>
      </c>
      <c r="I4" s="11" t="n">
        <v>285000</v>
      </c>
      <c r="J4" s="8" t="inlineStr">
        <is>
          <t>Occupied</t>
        </is>
      </c>
      <c r="K4" s="8" t="inlineStr"/>
    </row>
    <row r="5">
      <c r="A5" s="8" t="inlineStr">
        <is>
          <t>P1</t>
        </is>
      </c>
      <c r="B5" s="8" t="inlineStr">
        <is>
          <t>Maple Ave Duplex</t>
        </is>
      </c>
      <c r="C5" s="8" t="inlineStr">
        <is>
          <t>123 Maple Ave, Springfield</t>
        </is>
      </c>
      <c r="D5" s="8" t="inlineStr">
        <is>
          <t>P1-U2</t>
        </is>
      </c>
      <c r="E5" s="8" t="inlineStr">
        <is>
          <t>Unit 2</t>
        </is>
      </c>
      <c r="F5" s="8" t="inlineStr">
        <is>
          <t>Duplex</t>
        </is>
      </c>
      <c r="G5" s="9" t="n">
        <v>1</v>
      </c>
      <c r="H5" s="10" t="n">
        <v>44621</v>
      </c>
      <c r="I5" s="11" t="n">
        <v>285000</v>
      </c>
      <c r="J5" s="8" t="inlineStr">
        <is>
          <t>Occupied</t>
        </is>
      </c>
      <c r="K5" s="8" t="inlineStr"/>
    </row>
    <row r="6">
      <c r="A6" s="8" t="inlineStr">
        <is>
          <t>P2</t>
        </is>
      </c>
      <c r="B6" s="8" t="inlineStr">
        <is>
          <t>Oak Street Fourplex</t>
        </is>
      </c>
      <c r="C6" s="8" t="inlineStr">
        <is>
          <t>456 Oak St, Springfield</t>
        </is>
      </c>
      <c r="D6" s="8" t="inlineStr">
        <is>
          <t>P2-U1</t>
        </is>
      </c>
      <c r="E6" s="8" t="inlineStr">
        <is>
          <t>Unit A</t>
        </is>
      </c>
      <c r="F6" s="8" t="inlineStr">
        <is>
          <t>Fourplex</t>
        </is>
      </c>
      <c r="G6" s="9" t="n">
        <v>1</v>
      </c>
      <c r="H6" s="10" t="n">
        <v>44392</v>
      </c>
      <c r="I6" s="11" t="n">
        <v>410000</v>
      </c>
      <c r="J6" s="8" t="inlineStr">
        <is>
          <t>Occupied</t>
        </is>
      </c>
      <c r="K6" s="8" t="inlineStr"/>
    </row>
    <row r="7">
      <c r="A7" s="8" t="inlineStr">
        <is>
          <t>P2</t>
        </is>
      </c>
      <c r="B7" s="8" t="inlineStr">
        <is>
          <t>Oak Street Fourplex</t>
        </is>
      </c>
      <c r="C7" s="8" t="inlineStr">
        <is>
          <t>456 Oak St, Springfield</t>
        </is>
      </c>
      <c r="D7" s="8" t="inlineStr">
        <is>
          <t>P2-U2</t>
        </is>
      </c>
      <c r="E7" s="8" t="inlineStr">
        <is>
          <t>Unit B</t>
        </is>
      </c>
      <c r="F7" s="8" t="inlineStr">
        <is>
          <t>Fourplex</t>
        </is>
      </c>
      <c r="G7" s="9" t="n">
        <v>1</v>
      </c>
      <c r="H7" s="10" t="n">
        <v>44392</v>
      </c>
      <c r="I7" s="11" t="n">
        <v>410000</v>
      </c>
      <c r="J7" s="8" t="inlineStr">
        <is>
          <t>Vacant</t>
        </is>
      </c>
      <c r="K7" s="8" t="inlineStr"/>
    </row>
    <row r="8">
      <c r="A8" s="8" t="inlineStr">
        <is>
          <t>P3</t>
        </is>
      </c>
      <c r="B8" s="8" t="inlineStr">
        <is>
          <t>Elm Court House</t>
        </is>
      </c>
      <c r="C8" s="8" t="inlineStr">
        <is>
          <t>789 Elm Ct, Springfield</t>
        </is>
      </c>
      <c r="D8" s="8" t="inlineStr">
        <is>
          <t>P3-U1</t>
        </is>
      </c>
      <c r="E8" s="8" t="inlineStr">
        <is>
          <t>Main House</t>
        </is>
      </c>
      <c r="F8" s="8" t="inlineStr">
        <is>
          <t>Single-Family</t>
        </is>
      </c>
      <c r="G8" s="9" t="n">
        <v>1</v>
      </c>
      <c r="H8" s="10" t="n">
        <v>44936</v>
      </c>
      <c r="I8" s="11" t="n">
        <v>325000</v>
      </c>
      <c r="J8" s="8" t="inlineStr">
        <is>
          <t>Occupied</t>
        </is>
      </c>
      <c r="K8" s="8" t="inlineStr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5">
    <dataValidation sqref="J4" showDropDown="0" showInputMessage="0" showErrorMessage="0" allowBlank="1" type="list">
      <formula1>"Occupied,Vacant,Under Renovation,Sold"</formula1>
    </dataValidation>
    <dataValidation sqref="J5" showDropDown="0" showInputMessage="0" showErrorMessage="0" allowBlank="1" type="list">
      <formula1>"Occupied,Vacant,Under Renovation,Sold"</formula1>
    </dataValidation>
    <dataValidation sqref="J6" showDropDown="0" showInputMessage="0" showErrorMessage="0" allowBlank="1" type="list">
      <formula1>"Occupied,Vacant,Under Renovation,Sold"</formula1>
    </dataValidation>
    <dataValidation sqref="J7" showDropDown="0" showInputMessage="0" showErrorMessage="0" allowBlank="1" type="list">
      <formula1>"Occupied,Vacant,Under Renovation,Sold"</formula1>
    </dataValidation>
    <dataValidation sqref="J8" showDropDown="0" showInputMessage="0" showErrorMessage="0" allowBlank="1" type="list">
      <formula1>"Occupied,Vacant,Under Renovation,Sold"</formula1>
    </dataValidation>
    <dataValidation sqref="J9" showDropDown="0" showInputMessage="0" showErrorMessage="0" allowBlank="1" type="list">
      <formula1>"Occupied,Vacant,Under Renovation,Sold"</formula1>
    </dataValidation>
    <dataValidation sqref="J10" showDropDown="0" showInputMessage="0" showErrorMessage="0" allowBlank="1" type="list">
      <formula1>"Occupied,Vacant,Under Renovation,Sold"</formula1>
    </dataValidation>
    <dataValidation sqref="J11" showDropDown="0" showInputMessage="0" showErrorMessage="0" allowBlank="1" type="list">
      <formula1>"Occupied,Vacant,Under Renovation,Sold"</formula1>
    </dataValidation>
    <dataValidation sqref="J12" showDropDown="0" showInputMessage="0" showErrorMessage="0" allowBlank="1" type="list">
      <formula1>"Occupied,Vacant,Under Renovation,Sold"</formula1>
    </dataValidation>
    <dataValidation sqref="J13" showDropDown="0" showInputMessage="0" showErrorMessage="0" allowBlank="1" type="list">
      <formula1>"Occupied,Vacant,Under Renovation,Sold"</formula1>
    </dataValidation>
    <dataValidation sqref="J14" showDropDown="0" showInputMessage="0" showErrorMessage="0" allowBlank="1" type="list">
      <formula1>"Occupied,Vacant,Under Renovation,Sold"</formula1>
    </dataValidation>
    <dataValidation sqref="J15" showDropDown="0" showInputMessage="0" showErrorMessage="0" allowBlank="1" type="list">
      <formula1>"Occupied,Vacant,Under Renovation,Sold"</formula1>
    </dataValidation>
    <dataValidation sqref="J16" showDropDown="0" showInputMessage="0" showErrorMessage="0" allowBlank="1" type="list">
      <formula1>"Occupied,Vacant,Under Renovation,Sold"</formula1>
    </dataValidation>
    <dataValidation sqref="J17" showDropDown="0" showInputMessage="0" showErrorMessage="0" allowBlank="1" type="list">
      <formula1>"Occupied,Vacant,Under Renovation,Sold"</formula1>
    </dataValidation>
    <dataValidation sqref="J18" showDropDown="0" showInputMessage="0" showErrorMessage="0" allowBlank="1" type="list">
      <formula1>"Occupied,Vacant,Under Renovation,Sold"</formula1>
    </dataValidation>
    <dataValidation sqref="J19" showDropDown="0" showInputMessage="0" showErrorMessage="0" allowBlank="1" type="list">
      <formula1>"Occupied,Vacant,Under Renovation,Sold"</formula1>
    </dataValidation>
    <dataValidation sqref="J20" showDropDown="0" showInputMessage="0" showErrorMessage="0" allowBlank="1" type="list">
      <formula1>"Occupied,Vacant,Under Renovation,Sold"</formula1>
    </dataValidation>
    <dataValidation sqref="J21" showDropDown="0" showInputMessage="0" showErrorMessage="0" allowBlank="1" type="list">
      <formula1>"Occupied,Vacant,Under Renovation,Sold"</formula1>
    </dataValidation>
    <dataValidation sqref="J22" showDropDown="0" showInputMessage="0" showErrorMessage="0" allowBlank="1" type="list">
      <formula1>"Occupied,Vacant,Under Renovation,Sold"</formula1>
    </dataValidation>
    <dataValidation sqref="J23" showDropDown="0" showInputMessage="0" showErrorMessage="0" allowBlank="1" type="list">
      <formula1>"Occupied,Vacant,Under Renovation,Sold"</formula1>
    </dataValidation>
    <dataValidation sqref="J24" showDropDown="0" showInputMessage="0" showErrorMessage="0" allowBlank="1" type="list">
      <formula1>"Occupied,Vacant,Under Renovation,Sold"</formula1>
    </dataValidation>
    <dataValidation sqref="J25" showDropDown="0" showInputMessage="0" showErrorMessage="0" allowBlank="1" type="list">
      <formula1>"Occupied,Vacant,Under Renovation,Sold"</formula1>
    </dataValidation>
    <dataValidation sqref="J26" showDropDown="0" showInputMessage="0" showErrorMessage="0" allowBlank="1" type="list">
      <formula1>"Occupied,Vacant,Under Renovation,Sold"</formula1>
    </dataValidation>
    <dataValidation sqref="J27" showDropDown="0" showInputMessage="0" showErrorMessage="0" allowBlank="1" type="list">
      <formula1>"Occupied,Vacant,Under Renovation,Sold"</formula1>
    </dataValidation>
    <dataValidation sqref="J28" showDropDown="0" showInputMessage="0" showErrorMessage="0" allowBlank="1" type="list">
      <formula1>"Occupied,Vacant,Under Renovation,Sold"</formula1>
    </dataValidation>
    <dataValidation sqref="J29" showDropDown="0" showInputMessage="0" showErrorMessage="0" allowBlank="1" type="list">
      <formula1>"Occupied,Vacant,Under Renovation,Sold"</formula1>
    </dataValidation>
    <dataValidation sqref="J30" showDropDown="0" showInputMessage="0" showErrorMessage="0" allowBlank="1" type="list">
      <formula1>"Occupied,Vacant,Under Renovation,Sold"</formula1>
    </dataValidation>
    <dataValidation sqref="J31" showDropDown="0" showInputMessage="0" showErrorMessage="0" allowBlank="1" type="list">
      <formula1>"Occupied,Vacant,Under Renovation,Sold"</formula1>
    </dataValidation>
    <dataValidation sqref="J32" showDropDown="0" showInputMessage="0" showErrorMessage="0" allowBlank="1" type="list">
      <formula1>"Occupied,Vacant,Under Renovation,Sold"</formula1>
    </dataValidation>
    <dataValidation sqref="J33" showDropDown="0" showInputMessage="0" showErrorMessage="0" allowBlank="1" type="list">
      <formula1>"Occupied,Vacant,Under Renovation,Sold"</formula1>
    </dataValidation>
    <dataValidation sqref="J34" showDropDown="0" showInputMessage="0" showErrorMessage="0" allowBlank="1" type="list">
      <formula1>"Occupied,Vacant,Under Renovation,Sold"</formula1>
    </dataValidation>
    <dataValidation sqref="J35" showDropDown="0" showInputMessage="0" showErrorMessage="0" allowBlank="1" type="list">
      <formula1>"Occupied,Vacant,Under Renovation,Sold"</formula1>
    </dataValidation>
    <dataValidation sqref="J36" showDropDown="0" showInputMessage="0" showErrorMessage="0" allowBlank="1" type="list">
      <formula1>"Occupied,Vacant,Under Renovation,Sold"</formula1>
    </dataValidation>
    <dataValidation sqref="J37" showDropDown="0" showInputMessage="0" showErrorMessage="0" allowBlank="1" type="list">
      <formula1>"Occupied,Vacant,Under Renovation,Sold"</formula1>
    </dataValidation>
    <dataValidation sqref="J38" showDropDown="0" showInputMessage="0" showErrorMessage="0" allowBlank="1" type="list">
      <formula1>"Occupied,Vacant,Under Renovation,Sold"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30" customWidth="1" min="13" max="13"/>
  </cols>
  <sheetData>
    <row r="1">
      <c r="A1" s="7" t="inlineStr">
        <is>
          <t>TENANTS &amp; LEASES</t>
        </is>
      </c>
    </row>
    <row r="3">
      <c r="A3" s="1" t="inlineStr">
        <is>
          <t>Tenant ID</t>
        </is>
      </c>
      <c r="B3" s="1" t="inlineStr">
        <is>
          <t>Property ID</t>
        </is>
      </c>
      <c r="C3" s="1" t="inlineStr">
        <is>
          <t>Unit ID</t>
        </is>
      </c>
      <c r="D3" s="1" t="inlineStr">
        <is>
          <t>Tenant Name</t>
        </is>
      </c>
      <c r="E3" s="1" t="inlineStr">
        <is>
          <t>Lease Start</t>
        </is>
      </c>
      <c r="F3" s="1" t="inlineStr">
        <is>
          <t>Lease End</t>
        </is>
      </c>
      <c r="G3" s="1" t="inlineStr">
        <is>
          <t>Monthly Rent</t>
        </is>
      </c>
      <c r="H3" s="1" t="inlineStr">
        <is>
          <t>Security Deposit</t>
        </is>
      </c>
      <c r="I3" s="1" t="inlineStr">
        <is>
          <t>Deposit Received Date</t>
        </is>
      </c>
      <c r="J3" s="1" t="inlineStr">
        <is>
          <t>Deposit Returned Date</t>
        </is>
      </c>
      <c r="K3" s="1" t="inlineStr">
        <is>
          <t>Deposit Returned Amount</t>
        </is>
      </c>
      <c r="L3" s="1" t="inlineStr">
        <is>
          <t>Lease Status</t>
        </is>
      </c>
      <c r="M3" s="1" t="inlineStr">
        <is>
          <t>Contact/Notes</t>
        </is>
      </c>
    </row>
    <row r="4">
      <c r="A4" s="8" t="inlineStr">
        <is>
          <t>T1</t>
        </is>
      </c>
      <c r="B4" s="8" t="inlineStr">
        <is>
          <t>P1</t>
        </is>
      </c>
      <c r="C4" s="8" t="inlineStr">
        <is>
          <t>P1-U1</t>
        </is>
      </c>
      <c r="D4" s="8" t="inlineStr">
        <is>
          <t>John Smith</t>
        </is>
      </c>
      <c r="E4" s="10" t="n">
        <v>45658</v>
      </c>
      <c r="F4" s="10" t="n">
        <v>46387</v>
      </c>
      <c r="G4" s="11" t="n">
        <v>1500</v>
      </c>
      <c r="H4" s="11" t="n">
        <v>1500</v>
      </c>
      <c r="I4" s="10" t="n">
        <v>45658</v>
      </c>
      <c r="J4" s="8" t="n"/>
      <c r="K4" s="11" t="inlineStr"/>
      <c r="L4" s="8" t="inlineStr">
        <is>
          <t>Active</t>
        </is>
      </c>
      <c r="M4">
        <f>IF(AND($F4&lt;&gt;"",$F4&lt;TODAY(),$L4="Active"),"⚠ lease end date passed but still marked Active",IF(AND($F4&lt;&gt;"",$F4&gt;=TODAY(),$F4-TODAY()&lt;=60,$L4="Active"),"⚠ lease expiring within 60 days",""))</f>
        <v/>
      </c>
    </row>
    <row r="5">
      <c r="A5" s="8" t="inlineStr">
        <is>
          <t>T2</t>
        </is>
      </c>
      <c r="B5" s="8" t="inlineStr">
        <is>
          <t>P1</t>
        </is>
      </c>
      <c r="C5" s="8" t="inlineStr">
        <is>
          <t>P1-U2</t>
        </is>
      </c>
      <c r="D5" s="8" t="inlineStr">
        <is>
          <t>Maria Lopez</t>
        </is>
      </c>
      <c r="E5" s="10" t="n">
        <v>45689</v>
      </c>
      <c r="F5" s="10" t="n">
        <v>46053</v>
      </c>
      <c r="G5" s="11" t="n">
        <v>1200</v>
      </c>
      <c r="H5" s="11" t="n">
        <v>1200</v>
      </c>
      <c r="I5" s="10" t="n">
        <v>45689</v>
      </c>
      <c r="J5" s="10" t="n">
        <v>46208</v>
      </c>
      <c r="K5" s="11" t="n">
        <v>1100</v>
      </c>
      <c r="L5" s="8" t="inlineStr">
        <is>
          <t>Vacated</t>
        </is>
      </c>
      <c r="M5">
        <f>IF(AND($F5&lt;&gt;"",$F5&lt;TODAY(),$L5="Active"),"⚠ lease end date passed but still marked Active",IF(AND($F5&lt;&gt;"",$F5&gt;=TODAY(),$F5-TODAY()&lt;=60,$L5="Active"),"⚠ lease expiring within 60 days",""))</f>
        <v/>
      </c>
    </row>
    <row r="6">
      <c r="A6" s="8" t="inlineStr">
        <is>
          <t>T2B</t>
        </is>
      </c>
      <c r="B6" s="8" t="inlineStr">
        <is>
          <t>P1</t>
        </is>
      </c>
      <c r="C6" s="8" t="inlineStr">
        <is>
          <t>P1-U2</t>
        </is>
      </c>
      <c r="D6" s="8" t="inlineStr">
        <is>
          <t>Aisha Bello</t>
        </is>
      </c>
      <c r="E6" s="10" t="n">
        <v>46204</v>
      </c>
      <c r="F6" s="10" t="n">
        <v>46568</v>
      </c>
      <c r="G6" s="11" t="n">
        <v>1250</v>
      </c>
      <c r="H6" s="11" t="n">
        <v>1250</v>
      </c>
      <c r="I6" s="10" t="n">
        <v>46204</v>
      </c>
      <c r="J6" s="8" t="n"/>
      <c r="K6" s="11" t="inlineStr"/>
      <c r="L6" s="8" t="inlineStr">
        <is>
          <t>Active</t>
        </is>
      </c>
      <c r="M6">
        <f>IF(AND($F6&lt;&gt;"",$F6&lt;TODAY(),$L6="Active"),"⚠ lease end date passed but still marked Active",IF(AND($F6&lt;&gt;"",$F6&gt;=TODAY(),$F6-TODAY()&lt;=60,$L6="Active"),"⚠ lease expiring within 60 days",""))</f>
        <v/>
      </c>
    </row>
    <row r="7">
      <c r="A7" s="8" t="inlineStr">
        <is>
          <t>T3</t>
        </is>
      </c>
      <c r="B7" s="8" t="inlineStr">
        <is>
          <t>P2</t>
        </is>
      </c>
      <c r="C7" s="8" t="inlineStr">
        <is>
          <t>P2-U1</t>
        </is>
      </c>
      <c r="D7" s="8" t="inlineStr">
        <is>
          <t>David Chen</t>
        </is>
      </c>
      <c r="E7" s="10" t="n">
        <v>45383</v>
      </c>
      <c r="F7" s="10" t="n">
        <v>46326</v>
      </c>
      <c r="G7" s="11" t="n">
        <v>1200</v>
      </c>
      <c r="H7" s="11" t="n">
        <v>1200</v>
      </c>
      <c r="I7" s="10" t="n">
        <v>45383</v>
      </c>
      <c r="J7" s="8" t="n"/>
      <c r="K7" s="11" t="inlineStr"/>
      <c r="L7" s="8" t="inlineStr">
        <is>
          <t>Active</t>
        </is>
      </c>
      <c r="M7">
        <f>IF(AND($F7&lt;&gt;"",$F7&lt;TODAY(),$L7="Active"),"⚠ lease end date passed but still marked Active",IF(AND($F7&lt;&gt;"",$F7&gt;=TODAY(),$F7-TODAY()&lt;=60,$L7="Active"),"⚠ lease expiring within 60 days",""))</f>
        <v/>
      </c>
    </row>
    <row r="8">
      <c r="A8" s="8" t="inlineStr">
        <is>
          <t>T4</t>
        </is>
      </c>
      <c r="B8" s="8" t="inlineStr">
        <is>
          <t>P2</t>
        </is>
      </c>
      <c r="C8" s="8" t="inlineStr">
        <is>
          <t>P2-U2</t>
        </is>
      </c>
      <c r="D8" s="8" t="inlineStr"/>
      <c r="E8" s="8" t="n"/>
      <c r="F8" s="8" t="n"/>
      <c r="G8" s="11" t="n">
        <v>0</v>
      </c>
      <c r="H8" s="11" t="n">
        <v>0</v>
      </c>
      <c r="I8" s="8" t="n"/>
      <c r="J8" s="8" t="n"/>
      <c r="K8" s="11" t="inlineStr"/>
      <c r="L8" s="8" t="inlineStr">
        <is>
          <t>Vacant</t>
        </is>
      </c>
      <c r="M8">
        <f>IF(AND($F8&lt;&gt;"",$F8&lt;TODAY(),$L8="Active"),"⚠ lease end date passed but still marked Active",IF(AND($F8&lt;&gt;"",$F8&gt;=TODAY(),$F8-TODAY()&lt;=60,$L8="Active"),"⚠ lease expiring within 60 days",""))</f>
        <v/>
      </c>
    </row>
    <row r="9">
      <c r="A9" s="8" t="inlineStr">
        <is>
          <t>T5</t>
        </is>
      </c>
      <c r="B9" s="8" t="inlineStr">
        <is>
          <t>P3</t>
        </is>
      </c>
      <c r="C9" s="8" t="inlineStr">
        <is>
          <t>P3-U1</t>
        </is>
      </c>
      <c r="D9" s="8" t="inlineStr">
        <is>
          <t>Priya Patel</t>
        </is>
      </c>
      <c r="E9" s="10" t="n">
        <v>45901</v>
      </c>
      <c r="F9" s="10" t="n">
        <v>46310</v>
      </c>
      <c r="G9" s="11" t="n">
        <v>1900</v>
      </c>
      <c r="H9" s="11" t="n">
        <v>1900</v>
      </c>
      <c r="I9" s="10" t="n">
        <v>45901</v>
      </c>
      <c r="J9" s="8" t="n"/>
      <c r="K9" s="11" t="inlineStr"/>
      <c r="L9" s="8" t="inlineStr">
        <is>
          <t>Active</t>
        </is>
      </c>
      <c r="M9">
        <f>IF(AND($F9&lt;&gt;"",$F9&lt;TODAY(),$L9="Active"),"⚠ lease end date passed but still marked Active",IF(AND($F9&lt;&gt;"",$F9&gt;=TODAY(),$F9-TODAY()&lt;=60,$L9="Active"),"⚠ lease expiring within 60 days",""))</f>
        <v/>
      </c>
    </row>
    <row r="10">
      <c r="A10" s="8" t="inlineStr">
        <is>
          <t>T4B</t>
        </is>
      </c>
      <c r="B10" s="8" t="inlineStr">
        <is>
          <t>P2</t>
        </is>
      </c>
      <c r="C10" s="8" t="inlineStr">
        <is>
          <t>P2-U2</t>
        </is>
      </c>
      <c r="D10" s="8" t="inlineStr">
        <is>
          <t>Marcus Webb</t>
        </is>
      </c>
      <c r="E10" s="10" t="n">
        <v>46204</v>
      </c>
      <c r="F10" s="10" t="n">
        <v>46568</v>
      </c>
      <c r="G10" s="11" t="n">
        <v>1100</v>
      </c>
      <c r="H10" s="11" t="n">
        <v>1100</v>
      </c>
      <c r="I10" s="10" t="n">
        <v>46204</v>
      </c>
      <c r="J10" s="8" t="n"/>
      <c r="K10" s="11" t="inlineStr"/>
      <c r="L10" s="8" t="inlineStr">
        <is>
          <t>Active</t>
        </is>
      </c>
      <c r="M10">
        <f>IF(AND($F10&lt;&gt;"",$F10&lt;TODAY(),$L10="Active"),"⚠ lease end date passed but still marked Active",IF(AND($F10&lt;&gt;"",$F10&gt;=TODAY(),$F10-TODAY()&lt;=60,$L10="Active"),"⚠ lease expiring within 60 days",""))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>
        <f>IF(AND($F11&lt;&gt;"",$F11&lt;TODAY(),$L11="Active"),"⚠ lease end date passed but still marked Active",IF(AND($F11&lt;&gt;"",$F11&gt;=TODAY(),$F11-TODAY()&lt;=60,$L11="Active"),"⚠ lease expiring within 60 days",""))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>
        <f>IF(AND($F12&lt;&gt;"",$F12&lt;TODAY(),$L12="Active"),"⚠ lease end date passed but still marked Active",IF(AND($F12&lt;&gt;"",$F12&gt;=TODAY(),$F12-TODAY()&lt;=60,$L12="Active"),"⚠ lease expiring within 60 days",""))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>
        <f>IF(AND($F13&lt;&gt;"",$F13&lt;TODAY(),$L13="Active"),"⚠ lease end date passed but still marked Active",IF(AND($F13&lt;&gt;"",$F13&gt;=TODAY(),$F13-TODAY()&lt;=60,$L13="Active"),"⚠ lease expiring within 60 days",""))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>
        <f>IF(AND($F14&lt;&gt;"",$F14&lt;TODAY(),$L14="Active"),"⚠ lease end date passed but still marked Active",IF(AND($F14&lt;&gt;"",$F14&gt;=TODAY(),$F14-TODAY()&lt;=60,$L14="Active"),"⚠ lease expiring within 60 days",""))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>
        <f>IF(AND($F15&lt;&gt;"",$F15&lt;TODAY(),$L15="Active"),"⚠ lease end date passed but still marked Active",IF(AND($F15&lt;&gt;"",$F15&gt;=TODAY(),$F15-TODAY()&lt;=60,$L15="Active"),"⚠ lease expiring within 60 days",""))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>
        <f>IF(AND($F16&lt;&gt;"",$F16&lt;TODAY(),$L16="Active"),"⚠ lease end date passed but still marked Active",IF(AND($F16&lt;&gt;"",$F16&gt;=TODAY(),$F16-TODAY()&lt;=60,$L16="Active"),"⚠ lease expiring within 60 days",""))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>
        <f>IF(AND($F17&lt;&gt;"",$F17&lt;TODAY(),$L17="Active"),"⚠ lease end date passed but still marked Active",IF(AND($F17&lt;&gt;"",$F17&gt;=TODAY(),$F17-TODAY()&lt;=60,$L17="Active"),"⚠ lease expiring within 60 days",""))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>
        <f>IF(AND($F18&lt;&gt;"",$F18&lt;TODAY(),$L18="Active"),"⚠ lease end date passed but still marked Active",IF(AND($F18&lt;&gt;"",$F18&gt;=TODAY(),$F18-TODAY()&lt;=60,$L18="Active"),"⚠ lease expiring within 60 days",""))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>
        <f>IF(AND($F19&lt;&gt;"",$F19&lt;TODAY(),$L19="Active"),"⚠ lease end date passed but still marked Active",IF(AND($F19&lt;&gt;"",$F19&gt;=TODAY(),$F19-TODAY()&lt;=60,$L19="Active"),"⚠ lease expiring within 60 days",""))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>
        <f>IF(AND($F20&lt;&gt;"",$F20&lt;TODAY(),$L20="Active"),"⚠ lease end date passed but still marked Active",IF(AND($F20&lt;&gt;"",$F20&gt;=TODAY(),$F20-TODAY()&lt;=60,$L20="Active"),"⚠ lease expiring within 60 days",""))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>
        <f>IF(AND($F21&lt;&gt;"",$F21&lt;TODAY(),$L21="Active"),"⚠ lease end date passed but still marked Active",IF(AND($F21&lt;&gt;"",$F21&gt;=TODAY(),$F21-TODAY()&lt;=60,$L21="Active"),"⚠ lease expiring within 60 days",""))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>
        <f>IF(AND($F22&lt;&gt;"",$F22&lt;TODAY(),$L22="Active"),"⚠ lease end date passed but still marked Active",IF(AND($F22&lt;&gt;"",$F22&gt;=TODAY(),$F22-TODAY()&lt;=60,$L22="Active"),"⚠ lease expiring within 60 days",""))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>
        <f>IF(AND($F23&lt;&gt;"",$F23&lt;TODAY(),$L23="Active"),"⚠ lease end date passed but still marked Active",IF(AND($F23&lt;&gt;"",$F23&gt;=TODAY(),$F23-TODAY()&lt;=60,$L23="Active"),"⚠ lease expiring within 60 days",""))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>
        <f>IF(AND($F24&lt;&gt;"",$F24&lt;TODAY(),$L24="Active"),"⚠ lease end date passed but still marked Active",IF(AND($F24&lt;&gt;"",$F24&gt;=TODAY(),$F24-TODAY()&lt;=60,$L24="Active"),"⚠ lease expiring within 60 days",""))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>
        <f>IF(AND($F25&lt;&gt;"",$F25&lt;TODAY(),$L25="Active"),"⚠ lease end date passed but still marked Active",IF(AND($F25&lt;&gt;"",$F25&gt;=TODAY(),$F25-TODAY()&lt;=60,$L25="Active"),"⚠ lease expiring within 60 days",""))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>
        <f>IF(AND($F26&lt;&gt;"",$F26&lt;TODAY(),$L26="Active"),"⚠ lease end date passed but still marked Active",IF(AND($F26&lt;&gt;"",$F26&gt;=TODAY(),$F26-TODAY()&lt;=60,$L26="Active"),"⚠ lease expiring within 60 days",""))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>
        <f>IF(AND($F27&lt;&gt;"",$F27&lt;TODAY(),$L27="Active"),"⚠ lease end date passed but still marked Active",IF(AND($F27&lt;&gt;"",$F27&gt;=TODAY(),$F27-TODAY()&lt;=60,$L27="Active"),"⚠ lease expiring within 60 days",""))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>
        <f>IF(AND($F28&lt;&gt;"",$F28&lt;TODAY(),$L28="Active"),"⚠ lease end date passed but still marked Active",IF(AND($F28&lt;&gt;"",$F28&gt;=TODAY(),$F28-TODAY()&lt;=60,$L28="Active"),"⚠ lease expiring within 60 days",""))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>
        <f>IF(AND($F29&lt;&gt;"",$F29&lt;TODAY(),$L29="Active"),"⚠ lease end date passed but still marked Active",IF(AND($F29&lt;&gt;"",$F29&gt;=TODAY(),$F29-TODAY()&lt;=60,$L29="Active"),"⚠ lease expiring within 60 days",""))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>
        <f>IF(AND($F30&lt;&gt;"",$F30&lt;TODAY(),$L30="Active"),"⚠ lease end date passed but still marked Active",IF(AND($F30&lt;&gt;"",$F30&gt;=TODAY(),$F30-TODAY()&lt;=60,$L30="Active"),"⚠ lease expiring within 60 days",""))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>
        <f>IF(AND($F31&lt;&gt;"",$F31&lt;TODAY(),$L31="Active"),"⚠ lease end date passed but still marked Active",IF(AND($F31&lt;&gt;"",$F31&gt;=TODAY(),$F31-TODAY()&lt;=60,$L31="Active"),"⚠ lease expiring within 60 days",""))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>
        <f>IF(AND($F32&lt;&gt;"",$F32&lt;TODAY(),$L32="Active"),"⚠ lease end date passed but still marked Active",IF(AND($F32&lt;&gt;"",$F32&gt;=TODAY(),$F32-TODAY()&lt;=60,$L32="Active"),"⚠ lease expiring within 60 days",""))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>
        <f>IF(AND($F33&lt;&gt;"",$F33&lt;TODAY(),$L33="Active"),"⚠ lease end date passed but still marked Active",IF(AND($F33&lt;&gt;"",$F33&gt;=TODAY(),$F33-TODAY()&lt;=60,$L33="Active"),"⚠ lease expiring within 60 days",""))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>
        <f>IF(AND($F34&lt;&gt;"",$F34&lt;TODAY(),$L34="Active"),"⚠ lease end date passed but still marked Active",IF(AND($F34&lt;&gt;"",$F34&gt;=TODAY(),$F34-TODAY()&lt;=60,$L34="Active"),"⚠ lease expiring within 60 days",""))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>
        <f>IF(AND($F35&lt;&gt;"",$F35&lt;TODAY(),$L35="Active"),"⚠ lease end date passed but still marked Active",IF(AND($F35&lt;&gt;"",$F35&gt;=TODAY(),$F35-TODAY()&lt;=60,$L35="Active"),"⚠ lease expiring within 60 days",""))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>
        <f>IF(AND($F36&lt;&gt;"",$F36&lt;TODAY(),$L36="Active"),"⚠ lease end date passed but still marked Active",IF(AND($F36&lt;&gt;"",$F36&gt;=TODAY(),$F36-TODAY()&lt;=60,$L36="Active"),"⚠ lease expiring within 60 days",""))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>
        <f>IF(AND($F37&lt;&gt;"",$F37&lt;TODAY(),$L37="Active"),"⚠ lease end date passed but still marked Active",IF(AND($F37&lt;&gt;"",$F37&gt;=TODAY(),$F37-TODAY()&lt;=60,$L37="Active"),"⚠ lease expiring within 60 days",""))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>
        <f>IF(AND($F38&lt;&gt;"",$F38&lt;TODAY(),$L38="Active"),"⚠ lease end date passed but still marked Active",IF(AND($F38&lt;&gt;"",$F38&gt;=TODAY(),$F38-TODAY()&lt;=60,$L38="Active"),"⚠ lease expiring within 60 days",""))</f>
        <v/>
      </c>
    </row>
    <row r="40">
      <c r="A40" s="12" t="inlineStr">
        <is>
          <t>Column M shows an automatic flag; column L (Lease Status) is entered by you.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M4:M38">
    <cfRule type="expression" priority="1" dxfId="0">
      <formula>$M4&lt;&gt;""</formula>
    </cfRule>
  </conditionalFormatting>
  <dataValidations count="35">
    <dataValidation sqref="L4" showDropDown="0" showInputMessage="0" showErrorMessage="0" allowBlank="1" type="list">
      <formula1>"Active,Upcoming,Expired,Vacated"</formula1>
    </dataValidation>
    <dataValidation sqref="L5" showDropDown="0" showInputMessage="0" showErrorMessage="0" allowBlank="1" type="list">
      <formula1>"Active,Upcoming,Expired,Vacated"</formula1>
    </dataValidation>
    <dataValidation sqref="L6" showDropDown="0" showInputMessage="0" showErrorMessage="0" allowBlank="1" type="list">
      <formula1>"Active,Upcoming,Expired,Vacated"</formula1>
    </dataValidation>
    <dataValidation sqref="L7" showDropDown="0" showInputMessage="0" showErrorMessage="0" allowBlank="1" type="list">
      <formula1>"Active,Upcoming,Expired,Vacated"</formula1>
    </dataValidation>
    <dataValidation sqref="L8" showDropDown="0" showInputMessage="0" showErrorMessage="0" allowBlank="1" type="list">
      <formula1>"Active,Upcoming,Expired,Vacated"</formula1>
    </dataValidation>
    <dataValidation sqref="L9" showDropDown="0" showInputMessage="0" showErrorMessage="0" allowBlank="1" type="list">
      <formula1>"Active,Upcoming,Expired,Vacated"</formula1>
    </dataValidation>
    <dataValidation sqref="L10" showDropDown="0" showInputMessage="0" showErrorMessage="0" allowBlank="1" type="list">
      <formula1>"Active,Upcoming,Expired,Vacated"</formula1>
    </dataValidation>
    <dataValidation sqref="L11" showDropDown="0" showInputMessage="0" showErrorMessage="0" allowBlank="1" type="list">
      <formula1>"Active,Upcoming,Expired,Vacated"</formula1>
    </dataValidation>
    <dataValidation sqref="L12" showDropDown="0" showInputMessage="0" showErrorMessage="0" allowBlank="1" type="list">
      <formula1>"Active,Upcoming,Expired,Vacated"</formula1>
    </dataValidation>
    <dataValidation sqref="L13" showDropDown="0" showInputMessage="0" showErrorMessage="0" allowBlank="1" type="list">
      <formula1>"Active,Upcoming,Expired,Vacated"</formula1>
    </dataValidation>
    <dataValidation sqref="L14" showDropDown="0" showInputMessage="0" showErrorMessage="0" allowBlank="1" type="list">
      <formula1>"Active,Upcoming,Expired,Vacated"</formula1>
    </dataValidation>
    <dataValidation sqref="L15" showDropDown="0" showInputMessage="0" showErrorMessage="0" allowBlank="1" type="list">
      <formula1>"Active,Upcoming,Expired,Vacated"</formula1>
    </dataValidation>
    <dataValidation sqref="L16" showDropDown="0" showInputMessage="0" showErrorMessage="0" allowBlank="1" type="list">
      <formula1>"Active,Upcoming,Expired,Vacated"</formula1>
    </dataValidation>
    <dataValidation sqref="L17" showDropDown="0" showInputMessage="0" showErrorMessage="0" allowBlank="1" type="list">
      <formula1>"Active,Upcoming,Expired,Vacated"</formula1>
    </dataValidation>
    <dataValidation sqref="L18" showDropDown="0" showInputMessage="0" showErrorMessage="0" allowBlank="1" type="list">
      <formula1>"Active,Upcoming,Expired,Vacated"</formula1>
    </dataValidation>
    <dataValidation sqref="L19" showDropDown="0" showInputMessage="0" showErrorMessage="0" allowBlank="1" type="list">
      <formula1>"Active,Upcoming,Expired,Vacated"</formula1>
    </dataValidation>
    <dataValidation sqref="L20" showDropDown="0" showInputMessage="0" showErrorMessage="0" allowBlank="1" type="list">
      <formula1>"Active,Upcoming,Expired,Vacated"</formula1>
    </dataValidation>
    <dataValidation sqref="L21" showDropDown="0" showInputMessage="0" showErrorMessage="0" allowBlank="1" type="list">
      <formula1>"Active,Upcoming,Expired,Vacated"</formula1>
    </dataValidation>
    <dataValidation sqref="L22" showDropDown="0" showInputMessage="0" showErrorMessage="0" allowBlank="1" type="list">
      <formula1>"Active,Upcoming,Expired,Vacated"</formula1>
    </dataValidation>
    <dataValidation sqref="L23" showDropDown="0" showInputMessage="0" showErrorMessage="0" allowBlank="1" type="list">
      <formula1>"Active,Upcoming,Expired,Vacated"</formula1>
    </dataValidation>
    <dataValidation sqref="L24" showDropDown="0" showInputMessage="0" showErrorMessage="0" allowBlank="1" type="list">
      <formula1>"Active,Upcoming,Expired,Vacated"</formula1>
    </dataValidation>
    <dataValidation sqref="L25" showDropDown="0" showInputMessage="0" showErrorMessage="0" allowBlank="1" type="list">
      <formula1>"Active,Upcoming,Expired,Vacated"</formula1>
    </dataValidation>
    <dataValidation sqref="L26" showDropDown="0" showInputMessage="0" showErrorMessage="0" allowBlank="1" type="list">
      <formula1>"Active,Upcoming,Expired,Vacated"</formula1>
    </dataValidation>
    <dataValidation sqref="L27" showDropDown="0" showInputMessage="0" showErrorMessage="0" allowBlank="1" type="list">
      <formula1>"Active,Upcoming,Expired,Vacated"</formula1>
    </dataValidation>
    <dataValidation sqref="L28" showDropDown="0" showInputMessage="0" showErrorMessage="0" allowBlank="1" type="list">
      <formula1>"Active,Upcoming,Expired,Vacated"</formula1>
    </dataValidation>
    <dataValidation sqref="L29" showDropDown="0" showInputMessage="0" showErrorMessage="0" allowBlank="1" type="list">
      <formula1>"Active,Upcoming,Expired,Vacated"</formula1>
    </dataValidation>
    <dataValidation sqref="L30" showDropDown="0" showInputMessage="0" showErrorMessage="0" allowBlank="1" type="list">
      <formula1>"Active,Upcoming,Expired,Vacated"</formula1>
    </dataValidation>
    <dataValidation sqref="L31" showDropDown="0" showInputMessage="0" showErrorMessage="0" allowBlank="1" type="list">
      <formula1>"Active,Upcoming,Expired,Vacated"</formula1>
    </dataValidation>
    <dataValidation sqref="L32" showDropDown="0" showInputMessage="0" showErrorMessage="0" allowBlank="1" type="list">
      <formula1>"Active,Upcoming,Expired,Vacated"</formula1>
    </dataValidation>
    <dataValidation sqref="L33" showDropDown="0" showInputMessage="0" showErrorMessage="0" allowBlank="1" type="list">
      <formula1>"Active,Upcoming,Expired,Vacated"</formula1>
    </dataValidation>
    <dataValidation sqref="L34" showDropDown="0" showInputMessage="0" showErrorMessage="0" allowBlank="1" type="list">
      <formula1>"Active,Upcoming,Expired,Vacated"</formula1>
    </dataValidation>
    <dataValidation sqref="L35" showDropDown="0" showInputMessage="0" showErrorMessage="0" allowBlank="1" type="list">
      <formula1>"Active,Upcoming,Expired,Vacated"</formula1>
    </dataValidation>
    <dataValidation sqref="L36" showDropDown="0" showInputMessage="0" showErrorMessage="0" allowBlank="1" type="list">
      <formula1>"Active,Upcoming,Expired,Vacated"</formula1>
    </dataValidation>
    <dataValidation sqref="L37" showDropDown="0" showInputMessage="0" showErrorMessage="0" allowBlank="1" type="list">
      <formula1>"Active,Upcoming,Expired,Vacated"</formula1>
    </dataValidation>
    <dataValidation sqref="L38" showDropDown="0" showInputMessage="0" showErrorMessage="0" allowBlank="1" type="list">
      <formula1>"Active,Upcoming,Expired,Vacated"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3" customWidth="1" min="5" max="5"/>
    <col width="13" customWidth="1" min="6" max="6"/>
    <col width="12" customWidth="1" min="7" max="7"/>
    <col width="11" customWidth="1" min="8" max="8"/>
    <col width="13" customWidth="1" min="9" max="9"/>
    <col width="11" customWidth="1" min="10" max="10"/>
    <col width="13" customWidth="1" min="11" max="11"/>
    <col width="11" customWidth="1" min="12" max="12"/>
    <col width="13" customWidth="1" min="13" max="13"/>
    <col width="12" customWidth="1" min="14" max="14"/>
    <col width="15" customWidth="1" min="15" max="15"/>
    <col width="13" customWidth="1" min="16" max="16"/>
    <col width="22" customWidth="1" min="17" max="17"/>
  </cols>
  <sheetData>
    <row r="1">
      <c r="A1" s="7" t="inlineStr">
        <is>
          <t>RENT TRACKER</t>
        </is>
      </c>
    </row>
    <row r="2">
      <c r="A2" s="2" t="inlineStr">
        <is>
          <t>One row per unit per month, entered in date order. Prior Balance carries forward automatically from the row above for the same unit — partial payments, missed months, and overpayments (credits) are all tracked correctly. Add a new block of rows for each additional unit; keep each unit's rows together and in month order.</t>
        </is>
      </c>
    </row>
    <row r="3">
      <c r="A3" s="1" t="inlineStr">
        <is>
          <t>Month</t>
        </is>
      </c>
      <c r="B3" s="1" t="inlineStr">
        <is>
          <t>Property</t>
        </is>
      </c>
      <c r="C3" s="1" t="inlineStr">
        <is>
          <t>Unit</t>
        </is>
      </c>
      <c r="D3" s="1" t="inlineStr">
        <is>
          <t>Tenant</t>
        </is>
      </c>
      <c r="E3" s="1" t="inlineStr">
        <is>
          <t>Base Rent Due</t>
        </is>
      </c>
      <c r="F3" s="1" t="inlineStr">
        <is>
          <t>Prior Balance</t>
        </is>
      </c>
      <c r="G3" s="1" t="inlineStr">
        <is>
          <t>Total Due</t>
        </is>
      </c>
      <c r="H3" s="1" t="inlineStr">
        <is>
          <t>Payment 1</t>
        </is>
      </c>
      <c r="I3" s="1" t="inlineStr">
        <is>
          <t>Payment 1 Date</t>
        </is>
      </c>
      <c r="J3" s="1" t="inlineStr">
        <is>
          <t>Payment 2</t>
        </is>
      </c>
      <c r="K3" s="1" t="inlineStr">
        <is>
          <t>Payment 2 Date</t>
        </is>
      </c>
      <c r="L3" s="1" t="inlineStr">
        <is>
          <t>Payment 3</t>
        </is>
      </c>
      <c r="M3" s="1" t="inlineStr">
        <is>
          <t>Payment 3 Date</t>
        </is>
      </c>
      <c r="N3" s="1" t="inlineStr">
        <is>
          <t>Total Paid</t>
        </is>
      </c>
      <c r="O3" s="1" t="inlineStr">
        <is>
          <t>Remaining Balance</t>
        </is>
      </c>
      <c r="P3" s="1" t="inlineStr">
        <is>
          <t>Payment Status</t>
        </is>
      </c>
      <c r="Q3" s="1" t="inlineStr">
        <is>
          <t>Notes</t>
        </is>
      </c>
    </row>
    <row r="4">
      <c r="A4" s="13" t="n">
        <v>46113</v>
      </c>
      <c r="B4" s="8" t="inlineStr">
        <is>
          <t>P1</t>
        </is>
      </c>
      <c r="C4" s="8" t="inlineStr">
        <is>
          <t>P1-U1</t>
        </is>
      </c>
      <c r="D4" s="8" t="inlineStr">
        <is>
          <t>T1</t>
        </is>
      </c>
      <c r="E4" s="11" t="n">
        <v>1500</v>
      </c>
      <c r="F4" s="11" t="n">
        <v>0</v>
      </c>
      <c r="G4" s="14">
        <f>E4+F4</f>
        <v/>
      </c>
      <c r="H4" s="11" t="n">
        <v>1500</v>
      </c>
      <c r="I4" s="10" t="n">
        <v>46115</v>
      </c>
      <c r="J4" s="8" t="n"/>
      <c r="K4" s="8" t="n"/>
      <c r="L4" s="8" t="n"/>
      <c r="M4" s="8" t="n"/>
      <c r="N4" s="14">
        <f>SUM(IF(ISNUMBER(H4),H4,0),IF(ISNUMBER(J4),J4,0),IF(ISNUMBER(L4),L4,0))</f>
        <v/>
      </c>
      <c r="O4" s="14">
        <f>G4-N4</f>
        <v/>
      </c>
      <c r="P4">
        <f>IF(AND($D4="",E4=0,F4=0),"Vacant",IF(O4&lt;-0.004,"Overpaid / Credit",IF(O4&lt;=0.004,"Paid",IF(N4&lt;=0.004,"Unpaid","Partial"))))</f>
        <v/>
      </c>
    </row>
    <row r="5">
      <c r="A5" s="13" t="n">
        <v>46143</v>
      </c>
      <c r="B5" s="8" t="inlineStr">
        <is>
          <t>P1</t>
        </is>
      </c>
      <c r="C5" s="8" t="inlineStr">
        <is>
          <t>P1-U1</t>
        </is>
      </c>
      <c r="D5" s="8" t="inlineStr">
        <is>
          <t>T1</t>
        </is>
      </c>
      <c r="E5" s="11" t="n">
        <v>1500</v>
      </c>
      <c r="F5" s="14">
        <f>O4</f>
        <v/>
      </c>
      <c r="G5" s="14">
        <f>E5+F5</f>
        <v/>
      </c>
      <c r="H5" s="11" t="n">
        <v>1000</v>
      </c>
      <c r="I5" s="10" t="n">
        <v>46146</v>
      </c>
      <c r="J5" s="8" t="n"/>
      <c r="K5" s="8" t="n"/>
      <c r="L5" s="8" t="n"/>
      <c r="M5" s="8" t="n"/>
      <c r="N5" s="14">
        <f>SUM(IF(ISNUMBER(H5),H5,0),IF(ISNUMBER(J5),J5,0),IF(ISNUMBER(L5),L5,0))</f>
        <v/>
      </c>
      <c r="O5" s="14">
        <f>G5-N5</f>
        <v/>
      </c>
      <c r="P5">
        <f>IF(AND($D5="",E5=0,F5=0),"Vacant",IF(O5&lt;-0.004,"Overpaid / Credit",IF(O5&lt;=0.004,"Paid",IF(N5&lt;=0.004,"Unpaid","Partial"))))</f>
        <v/>
      </c>
    </row>
    <row r="6">
      <c r="A6" s="13" t="n">
        <v>46174</v>
      </c>
      <c r="B6" s="8" t="inlineStr">
        <is>
          <t>P1</t>
        </is>
      </c>
      <c r="C6" s="8" t="inlineStr">
        <is>
          <t>P1-U1</t>
        </is>
      </c>
      <c r="D6" s="8" t="inlineStr">
        <is>
          <t>T1</t>
        </is>
      </c>
      <c r="E6" s="11" t="n">
        <v>1500</v>
      </c>
      <c r="F6" s="14">
        <f>O5</f>
        <v/>
      </c>
      <c r="G6" s="14">
        <f>E6+F6</f>
        <v/>
      </c>
      <c r="H6" s="11" t="n">
        <v>600</v>
      </c>
      <c r="I6" s="10" t="n">
        <v>46175</v>
      </c>
      <c r="J6" s="11" t="n">
        <v>400</v>
      </c>
      <c r="K6" s="10" t="n">
        <v>46193</v>
      </c>
      <c r="L6" s="8" t="n"/>
      <c r="M6" s="8" t="n"/>
      <c r="N6" s="14">
        <f>SUM(IF(ISNUMBER(H6),H6,0),IF(ISNUMBER(J6),J6,0),IF(ISNUMBER(L6),L6,0))</f>
        <v/>
      </c>
      <c r="O6" s="14">
        <f>G6-N6</f>
        <v/>
      </c>
      <c r="P6">
        <f>IF(AND($D6="",E6=0,F6=0),"Vacant",IF(O6&lt;-0.004,"Overpaid / Credit",IF(O6&lt;=0.004,"Paid",IF(N6&lt;=0.004,"Unpaid","Partial"))))</f>
        <v/>
      </c>
    </row>
    <row r="7">
      <c r="A7" s="13" t="n">
        <v>46204</v>
      </c>
      <c r="B7" s="8" t="inlineStr">
        <is>
          <t>P1</t>
        </is>
      </c>
      <c r="C7" s="8" t="inlineStr">
        <is>
          <t>P1-U1</t>
        </is>
      </c>
      <c r="D7" s="8" t="inlineStr">
        <is>
          <t>T1</t>
        </is>
      </c>
      <c r="E7" s="11" t="n">
        <v>1500</v>
      </c>
      <c r="F7" s="14">
        <f>O6</f>
        <v/>
      </c>
      <c r="G7" s="14">
        <f>E7+F7</f>
        <v/>
      </c>
      <c r="H7" s="8" t="n"/>
      <c r="I7" s="8" t="n"/>
      <c r="J7" s="8" t="n"/>
      <c r="K7" s="8" t="n"/>
      <c r="L7" s="8" t="n"/>
      <c r="M7" s="8" t="n"/>
      <c r="N7" s="14">
        <f>SUM(IF(ISNUMBER(H7),H7,0),IF(ISNUMBER(J7),J7,0),IF(ISNUMBER(L7),L7,0))</f>
        <v/>
      </c>
      <c r="O7" s="14">
        <f>G7-N7</f>
        <v/>
      </c>
      <c r="P7">
        <f>IF(AND($D7="",E7=0,F7=0),"Vacant",IF(O7&lt;-0.004,"Overpaid / Credit",IF(O7&lt;=0.004,"Paid",IF(N7&lt;=0.004,"Unpaid","Partial"))))</f>
        <v/>
      </c>
    </row>
    <row r="8">
      <c r="A8" s="13" t="n">
        <v>46235</v>
      </c>
      <c r="B8" s="8" t="inlineStr">
        <is>
          <t>P1</t>
        </is>
      </c>
      <c r="C8" s="8" t="inlineStr">
        <is>
          <t>P1-U1</t>
        </is>
      </c>
      <c r="D8" s="8" t="inlineStr">
        <is>
          <t>T1</t>
        </is>
      </c>
      <c r="E8" s="11" t="n">
        <v>1500</v>
      </c>
      <c r="F8" s="14">
        <f>O7</f>
        <v/>
      </c>
      <c r="G8" s="14">
        <f>E8+F8</f>
        <v/>
      </c>
      <c r="H8" s="11" t="n">
        <v>4900</v>
      </c>
      <c r="I8" s="10" t="n">
        <v>46239</v>
      </c>
      <c r="J8" s="8" t="n"/>
      <c r="K8" s="8" t="n"/>
      <c r="L8" s="8" t="n"/>
      <c r="M8" s="8" t="n"/>
      <c r="N8" s="14">
        <f>SUM(IF(ISNUMBER(H8),H8,0),IF(ISNUMBER(J8),J8,0),IF(ISNUMBER(L8),L8,0))</f>
        <v/>
      </c>
      <c r="O8" s="14">
        <f>G8-N8</f>
        <v/>
      </c>
      <c r="P8">
        <f>IF(AND($D8="",E8=0,F8=0),"Vacant",IF(O8&lt;-0.004,"Overpaid / Credit",IF(O8&lt;=0.004,"Paid",IF(N8&lt;=0.004,"Unpaid","Partial"))))</f>
        <v/>
      </c>
    </row>
    <row r="9">
      <c r="A9" s="13" t="n">
        <v>46266</v>
      </c>
      <c r="B9" s="8" t="inlineStr">
        <is>
          <t>P1</t>
        </is>
      </c>
      <c r="C9" s="8" t="inlineStr">
        <is>
          <t>P1-U1</t>
        </is>
      </c>
      <c r="D9" s="8" t="inlineStr">
        <is>
          <t>T1</t>
        </is>
      </c>
      <c r="E9" s="11" t="n">
        <v>1500</v>
      </c>
      <c r="F9" s="14">
        <f>O8</f>
        <v/>
      </c>
      <c r="G9" s="14">
        <f>E9+F9</f>
        <v/>
      </c>
      <c r="H9" s="11" t="n">
        <v>1000</v>
      </c>
      <c r="I9" s="10" t="n">
        <v>46268</v>
      </c>
      <c r="J9" s="8" t="n"/>
      <c r="K9" s="8" t="n"/>
      <c r="L9" s="8" t="n"/>
      <c r="M9" s="8" t="n"/>
      <c r="N9" s="14">
        <f>SUM(IF(ISNUMBER(H9),H9,0),IF(ISNUMBER(J9),J9,0),IF(ISNUMBER(L9),L9,0))</f>
        <v/>
      </c>
      <c r="O9" s="14">
        <f>G9-N9</f>
        <v/>
      </c>
      <c r="P9">
        <f>IF(AND($D9="",E9=0,F9=0),"Vacant",IF(O9&lt;-0.004,"Overpaid / Credit",IF(O9&lt;=0.004,"Paid",IF(N9&lt;=0.004,"Unpaid","Partial"))))</f>
        <v/>
      </c>
    </row>
    <row r="10">
      <c r="A10" s="13" t="n">
        <v>46113</v>
      </c>
      <c r="B10" s="8" t="inlineStr">
        <is>
          <t>P1</t>
        </is>
      </c>
      <c r="C10" s="8" t="inlineStr">
        <is>
          <t>P1-U2</t>
        </is>
      </c>
      <c r="D10" s="8" t="inlineStr">
        <is>
          <t>T2</t>
        </is>
      </c>
      <c r="E10" s="11" t="n">
        <v>1200</v>
      </c>
      <c r="F10" s="11" t="n">
        <v>0</v>
      </c>
      <c r="G10" s="14">
        <f>E10+F10</f>
        <v/>
      </c>
      <c r="H10" s="11" t="n">
        <v>1200</v>
      </c>
      <c r="I10" s="10" t="n">
        <v>46113</v>
      </c>
      <c r="J10" s="8" t="n"/>
      <c r="K10" s="8" t="n"/>
      <c r="L10" s="8" t="n"/>
      <c r="M10" s="8" t="n"/>
      <c r="N10" s="14">
        <f>SUM(IF(ISNUMBER(H10),H10,0),IF(ISNUMBER(J10),J10,0),IF(ISNUMBER(L10),L10,0))</f>
        <v/>
      </c>
      <c r="O10" s="14">
        <f>G10-N10</f>
        <v/>
      </c>
      <c r="P10">
        <f>IF(AND($D10="",E10=0,F10=0),"Vacant",IF(O10&lt;-0.004,"Overpaid / Credit",IF(O10&lt;=0.004,"Paid",IF(N10&lt;=0.004,"Unpaid","Partial"))))</f>
        <v/>
      </c>
    </row>
    <row r="11">
      <c r="A11" s="13" t="n">
        <v>46143</v>
      </c>
      <c r="B11" s="8" t="inlineStr">
        <is>
          <t>P1</t>
        </is>
      </c>
      <c r="C11" s="8" t="inlineStr">
        <is>
          <t>P1-U2</t>
        </is>
      </c>
      <c r="D11" s="8" t="inlineStr">
        <is>
          <t>T2</t>
        </is>
      </c>
      <c r="E11" s="11" t="n">
        <v>1200</v>
      </c>
      <c r="F11" s="14">
        <f>O10</f>
        <v/>
      </c>
      <c r="G11" s="14">
        <f>E11+F11</f>
        <v/>
      </c>
      <c r="H11" s="11" t="n">
        <v>1200</v>
      </c>
      <c r="I11" s="10" t="n">
        <v>46143</v>
      </c>
      <c r="J11" s="8" t="n"/>
      <c r="K11" s="8" t="n"/>
      <c r="L11" s="8" t="n"/>
      <c r="M11" s="8" t="n"/>
      <c r="N11" s="14">
        <f>SUM(IF(ISNUMBER(H11),H11,0),IF(ISNUMBER(J11),J11,0),IF(ISNUMBER(L11),L11,0))</f>
        <v/>
      </c>
      <c r="O11" s="14">
        <f>G11-N11</f>
        <v/>
      </c>
      <c r="P11">
        <f>IF(AND($D11="",E11=0,F11=0),"Vacant",IF(O11&lt;-0.004,"Overpaid / Credit",IF(O11&lt;=0.004,"Paid",IF(N11&lt;=0.004,"Unpaid","Partial"))))</f>
        <v/>
      </c>
    </row>
    <row r="12">
      <c r="A12" s="13" t="n">
        <v>46174</v>
      </c>
      <c r="B12" s="8" t="inlineStr">
        <is>
          <t>P1</t>
        </is>
      </c>
      <c r="C12" s="8" t="inlineStr">
        <is>
          <t>P1-U2</t>
        </is>
      </c>
      <c r="D12" s="8" t="inlineStr"/>
      <c r="E12" s="11" t="n">
        <v>0</v>
      </c>
      <c r="F12" s="14">
        <f>O11</f>
        <v/>
      </c>
      <c r="G12" s="14">
        <f>E12+F12</f>
        <v/>
      </c>
      <c r="H12" s="8" t="n"/>
      <c r="I12" s="8" t="n"/>
      <c r="J12" s="8" t="n"/>
      <c r="K12" s="8" t="n"/>
      <c r="L12" s="8" t="n"/>
      <c r="M12" s="8" t="n"/>
      <c r="N12" s="14">
        <f>SUM(IF(ISNUMBER(H12),H12,0),IF(ISNUMBER(J12),J12,0),IF(ISNUMBER(L12),L12,0))</f>
        <v/>
      </c>
      <c r="O12" s="14">
        <f>G12-N12</f>
        <v/>
      </c>
      <c r="P12">
        <f>IF(AND($D12="",E12=0,F12=0),"Vacant",IF(O12&lt;-0.004,"Overpaid / Credit",IF(O12&lt;=0.004,"Paid",IF(N12&lt;=0.004,"Unpaid","Partial"))))</f>
        <v/>
      </c>
    </row>
    <row r="13">
      <c r="A13" s="13" t="n">
        <v>46204</v>
      </c>
      <c r="B13" s="8" t="inlineStr">
        <is>
          <t>P1</t>
        </is>
      </c>
      <c r="C13" s="8" t="inlineStr">
        <is>
          <t>P1-U2</t>
        </is>
      </c>
      <c r="D13" s="8" t="inlineStr">
        <is>
          <t>T2B</t>
        </is>
      </c>
      <c r="E13" s="11" t="n">
        <v>1250</v>
      </c>
      <c r="F13" s="14">
        <f>O12</f>
        <v/>
      </c>
      <c r="G13" s="14">
        <f>E13+F13</f>
        <v/>
      </c>
      <c r="H13" s="11" t="n">
        <v>1250</v>
      </c>
      <c r="I13" s="10" t="n">
        <v>46204</v>
      </c>
      <c r="J13" s="8" t="n"/>
      <c r="K13" s="8" t="n"/>
      <c r="L13" s="8" t="n"/>
      <c r="M13" s="8" t="n"/>
      <c r="N13" s="14">
        <f>SUM(IF(ISNUMBER(H13),H13,0),IF(ISNUMBER(J13),J13,0),IF(ISNUMBER(L13),L13,0))</f>
        <v/>
      </c>
      <c r="O13" s="14">
        <f>G13-N13</f>
        <v/>
      </c>
      <c r="P13">
        <f>IF(AND($D13="",E13=0,F13=0),"Vacant",IF(O13&lt;-0.004,"Overpaid / Credit",IF(O13&lt;=0.004,"Paid",IF(N13&lt;=0.004,"Unpaid","Partial"))))</f>
        <v/>
      </c>
    </row>
    <row r="14">
      <c r="A14" s="13" t="n">
        <v>46235</v>
      </c>
      <c r="B14" s="8" t="inlineStr">
        <is>
          <t>P1</t>
        </is>
      </c>
      <c r="C14" s="8" t="inlineStr">
        <is>
          <t>P1-U2</t>
        </is>
      </c>
      <c r="D14" s="8" t="inlineStr">
        <is>
          <t>T2B</t>
        </is>
      </c>
      <c r="E14" s="11" t="n">
        <v>1250</v>
      </c>
      <c r="F14" s="14">
        <f>O13</f>
        <v/>
      </c>
      <c r="G14" s="14">
        <f>E14+F14</f>
        <v/>
      </c>
      <c r="H14" s="11" t="n">
        <v>1250</v>
      </c>
      <c r="I14" s="10" t="n">
        <v>46235</v>
      </c>
      <c r="J14" s="8" t="n"/>
      <c r="K14" s="8" t="n"/>
      <c r="L14" s="8" t="n"/>
      <c r="M14" s="8" t="n"/>
      <c r="N14" s="14">
        <f>SUM(IF(ISNUMBER(H14),H14,0),IF(ISNUMBER(J14),J14,0),IF(ISNUMBER(L14),L14,0))</f>
        <v/>
      </c>
      <c r="O14" s="14">
        <f>G14-N14</f>
        <v/>
      </c>
      <c r="P14">
        <f>IF(AND($D14="",E14=0,F14=0),"Vacant",IF(O14&lt;-0.004,"Overpaid / Credit",IF(O14&lt;=0.004,"Paid",IF(N14&lt;=0.004,"Unpaid","Partial"))))</f>
        <v/>
      </c>
    </row>
    <row r="15">
      <c r="A15" s="13" t="n">
        <v>46266</v>
      </c>
      <c r="B15" s="8" t="inlineStr">
        <is>
          <t>P1</t>
        </is>
      </c>
      <c r="C15" s="8" t="inlineStr">
        <is>
          <t>P1-U2</t>
        </is>
      </c>
      <c r="D15" s="8" t="inlineStr">
        <is>
          <t>T2B</t>
        </is>
      </c>
      <c r="E15" s="11" t="n">
        <v>1250</v>
      </c>
      <c r="F15" s="14">
        <f>O14</f>
        <v/>
      </c>
      <c r="G15" s="14">
        <f>E15+F15</f>
        <v/>
      </c>
      <c r="H15" s="11" t="n">
        <v>1250</v>
      </c>
      <c r="I15" s="10" t="n">
        <v>46266</v>
      </c>
      <c r="J15" s="8" t="n"/>
      <c r="K15" s="8" t="n"/>
      <c r="L15" s="8" t="n"/>
      <c r="M15" s="8" t="n"/>
      <c r="N15" s="14">
        <f>SUM(IF(ISNUMBER(H15),H15,0),IF(ISNUMBER(J15),J15,0),IF(ISNUMBER(L15),L15,0))</f>
        <v/>
      </c>
      <c r="O15" s="14">
        <f>G15-N15</f>
        <v/>
      </c>
      <c r="P15">
        <f>IF(AND($D15="",E15=0,F15=0),"Vacant",IF(O15&lt;-0.004,"Overpaid / Credit",IF(O15&lt;=0.004,"Paid",IF(N15&lt;=0.004,"Unpaid","Partial"))))</f>
        <v/>
      </c>
    </row>
    <row r="16">
      <c r="A16" s="13" t="n">
        <v>46113</v>
      </c>
      <c r="B16" s="8" t="inlineStr">
        <is>
          <t>P2</t>
        </is>
      </c>
      <c r="C16" s="8" t="inlineStr">
        <is>
          <t>P2-U1</t>
        </is>
      </c>
      <c r="D16" s="8" t="inlineStr">
        <is>
          <t>T3</t>
        </is>
      </c>
      <c r="E16" s="11" t="n">
        <v>1200</v>
      </c>
      <c r="F16" s="11" t="n">
        <v>0</v>
      </c>
      <c r="G16" s="14">
        <f>E16+F16</f>
        <v/>
      </c>
      <c r="H16" s="11" t="n">
        <v>1200</v>
      </c>
      <c r="I16" s="10" t="n">
        <v>46117</v>
      </c>
      <c r="J16" s="8" t="n"/>
      <c r="K16" s="8" t="n"/>
      <c r="L16" s="8" t="n"/>
      <c r="M16" s="8" t="n"/>
      <c r="N16" s="14">
        <f>SUM(IF(ISNUMBER(H16),H16,0),IF(ISNUMBER(J16),J16,0),IF(ISNUMBER(L16),L16,0))</f>
        <v/>
      </c>
      <c r="O16" s="14">
        <f>G16-N16</f>
        <v/>
      </c>
      <c r="P16">
        <f>IF(AND($D16="",E16=0,F16=0),"Vacant",IF(O16&lt;-0.004,"Overpaid / Credit",IF(O16&lt;=0.004,"Paid",IF(N16&lt;=0.004,"Unpaid","Partial"))))</f>
        <v/>
      </c>
    </row>
    <row r="17">
      <c r="A17" s="13" t="n">
        <v>46143</v>
      </c>
      <c r="B17" s="8" t="inlineStr">
        <is>
          <t>P2</t>
        </is>
      </c>
      <c r="C17" s="8" t="inlineStr">
        <is>
          <t>P2-U1</t>
        </is>
      </c>
      <c r="D17" s="8" t="inlineStr">
        <is>
          <t>T3</t>
        </is>
      </c>
      <c r="E17" s="11" t="n">
        <v>1200</v>
      </c>
      <c r="F17" s="14">
        <f>O16</f>
        <v/>
      </c>
      <c r="G17" s="14">
        <f>E17+F17</f>
        <v/>
      </c>
      <c r="H17" s="11" t="n">
        <v>1200</v>
      </c>
      <c r="I17" s="10" t="n">
        <v>46147</v>
      </c>
      <c r="J17" s="8" t="n"/>
      <c r="K17" s="8" t="n"/>
      <c r="L17" s="8" t="n"/>
      <c r="M17" s="8" t="n"/>
      <c r="N17" s="14">
        <f>SUM(IF(ISNUMBER(H17),H17,0),IF(ISNUMBER(J17),J17,0),IF(ISNUMBER(L17),L17,0))</f>
        <v/>
      </c>
      <c r="O17" s="14">
        <f>G17-N17</f>
        <v/>
      </c>
      <c r="P17">
        <f>IF(AND($D17="",E17=0,F17=0),"Vacant",IF(O17&lt;-0.004,"Overpaid / Credit",IF(O17&lt;=0.004,"Paid",IF(N17&lt;=0.004,"Unpaid","Partial"))))</f>
        <v/>
      </c>
    </row>
    <row r="18">
      <c r="A18" s="13" t="n">
        <v>46174</v>
      </c>
      <c r="B18" s="8" t="inlineStr">
        <is>
          <t>P2</t>
        </is>
      </c>
      <c r="C18" s="8" t="inlineStr">
        <is>
          <t>P2-U1</t>
        </is>
      </c>
      <c r="D18" s="8" t="inlineStr">
        <is>
          <t>T3</t>
        </is>
      </c>
      <c r="E18" s="11" t="n">
        <v>1200</v>
      </c>
      <c r="F18" s="14">
        <f>O17</f>
        <v/>
      </c>
      <c r="G18" s="14">
        <f>E18+F18</f>
        <v/>
      </c>
      <c r="H18" s="11" t="n">
        <v>1200</v>
      </c>
      <c r="I18" s="10" t="n">
        <v>46178</v>
      </c>
      <c r="J18" s="8" t="n"/>
      <c r="K18" s="8" t="n"/>
      <c r="L18" s="8" t="n"/>
      <c r="M18" s="8" t="n"/>
      <c r="N18" s="14">
        <f>SUM(IF(ISNUMBER(H18),H18,0),IF(ISNUMBER(J18),J18,0),IF(ISNUMBER(L18),L18,0))</f>
        <v/>
      </c>
      <c r="O18" s="14">
        <f>G18-N18</f>
        <v/>
      </c>
      <c r="P18">
        <f>IF(AND($D18="",E18=0,F18=0),"Vacant",IF(O18&lt;-0.004,"Overpaid / Credit",IF(O18&lt;=0.004,"Paid",IF(N18&lt;=0.004,"Unpaid","Partial"))))</f>
        <v/>
      </c>
    </row>
    <row r="19">
      <c r="A19" s="13" t="n">
        <v>46204</v>
      </c>
      <c r="B19" s="8" t="inlineStr">
        <is>
          <t>P2</t>
        </is>
      </c>
      <c r="C19" s="8" t="inlineStr">
        <is>
          <t>P2-U1</t>
        </is>
      </c>
      <c r="D19" s="8" t="inlineStr">
        <is>
          <t>T3</t>
        </is>
      </c>
      <c r="E19" s="11" t="n">
        <v>1300</v>
      </c>
      <c r="F19" s="14">
        <f>O18</f>
        <v/>
      </c>
      <c r="G19" s="14">
        <f>E19+F19</f>
        <v/>
      </c>
      <c r="H19" s="11" t="n">
        <v>1300</v>
      </c>
      <c r="I19" s="10" t="n">
        <v>46208</v>
      </c>
      <c r="J19" s="8" t="n"/>
      <c r="K19" s="8" t="n"/>
      <c r="L19" s="8" t="n"/>
      <c r="M19" s="8" t="n"/>
      <c r="N19" s="14">
        <f>SUM(IF(ISNUMBER(H19),H19,0),IF(ISNUMBER(J19),J19,0),IF(ISNUMBER(L19),L19,0))</f>
        <v/>
      </c>
      <c r="O19" s="14">
        <f>G19-N19</f>
        <v/>
      </c>
      <c r="P19">
        <f>IF(AND($D19="",E19=0,F19=0),"Vacant",IF(O19&lt;-0.004,"Overpaid / Credit",IF(O19&lt;=0.004,"Paid",IF(N19&lt;=0.004,"Unpaid","Partial"))))</f>
        <v/>
      </c>
    </row>
    <row r="20">
      <c r="A20" s="13" t="n">
        <v>46235</v>
      </c>
      <c r="B20" s="8" t="inlineStr">
        <is>
          <t>P2</t>
        </is>
      </c>
      <c r="C20" s="8" t="inlineStr">
        <is>
          <t>P2-U1</t>
        </is>
      </c>
      <c r="D20" s="8" t="inlineStr">
        <is>
          <t>T3</t>
        </is>
      </c>
      <c r="E20" s="11" t="n">
        <v>1300</v>
      </c>
      <c r="F20" s="14">
        <f>O19</f>
        <v/>
      </c>
      <c r="G20" s="14">
        <f>E20+F20</f>
        <v/>
      </c>
      <c r="H20" s="11" t="n">
        <v>1300</v>
      </c>
      <c r="I20" s="10" t="n">
        <v>46239</v>
      </c>
      <c r="J20" s="8" t="n"/>
      <c r="K20" s="8" t="n"/>
      <c r="L20" s="8" t="n"/>
      <c r="M20" s="8" t="n"/>
      <c r="N20" s="14">
        <f>SUM(IF(ISNUMBER(H20),H20,0),IF(ISNUMBER(J20),J20,0),IF(ISNUMBER(L20),L20,0))</f>
        <v/>
      </c>
      <c r="O20" s="14">
        <f>G20-N20</f>
        <v/>
      </c>
      <c r="P20">
        <f>IF(AND($D20="",E20=0,F20=0),"Vacant",IF(O20&lt;-0.004,"Overpaid / Credit",IF(O20&lt;=0.004,"Paid",IF(N20&lt;=0.004,"Unpaid","Partial"))))</f>
        <v/>
      </c>
    </row>
    <row r="21">
      <c r="A21" s="13" t="n">
        <v>46266</v>
      </c>
      <c r="B21" s="8" t="inlineStr">
        <is>
          <t>P2</t>
        </is>
      </c>
      <c r="C21" s="8" t="inlineStr">
        <is>
          <t>P2-U1</t>
        </is>
      </c>
      <c r="D21" s="8" t="inlineStr">
        <is>
          <t>T3</t>
        </is>
      </c>
      <c r="E21" s="11" t="n">
        <v>1300</v>
      </c>
      <c r="F21" s="14">
        <f>O20</f>
        <v/>
      </c>
      <c r="G21" s="14">
        <f>E21+F21</f>
        <v/>
      </c>
      <c r="H21" s="11" t="n">
        <v>1300</v>
      </c>
      <c r="I21" s="10" t="n">
        <v>46270</v>
      </c>
      <c r="J21" s="8" t="n"/>
      <c r="K21" s="8" t="n"/>
      <c r="L21" s="8" t="n"/>
      <c r="M21" s="8" t="n"/>
      <c r="N21" s="14">
        <f>SUM(IF(ISNUMBER(H21),H21,0),IF(ISNUMBER(J21),J21,0),IF(ISNUMBER(L21),L21,0))</f>
        <v/>
      </c>
      <c r="O21" s="14">
        <f>G21-N21</f>
        <v/>
      </c>
      <c r="P21">
        <f>IF(AND($D21="",E21=0,F21=0),"Vacant",IF(O21&lt;-0.004,"Overpaid / Credit",IF(O21&lt;=0.004,"Paid",IF(N21&lt;=0.004,"Unpaid","Partial"))))</f>
        <v/>
      </c>
    </row>
    <row r="22">
      <c r="A22" s="13" t="n">
        <v>46113</v>
      </c>
      <c r="B22" s="8" t="inlineStr">
        <is>
          <t>P2</t>
        </is>
      </c>
      <c r="C22" s="8" t="inlineStr">
        <is>
          <t>P2-U2</t>
        </is>
      </c>
      <c r="D22" s="8" t="inlineStr"/>
      <c r="E22" s="11" t="n">
        <v>0</v>
      </c>
      <c r="F22" s="11" t="n">
        <v>0</v>
      </c>
      <c r="G22" s="14">
        <f>E22+F22</f>
        <v/>
      </c>
      <c r="H22" s="8" t="n"/>
      <c r="I22" s="8" t="n"/>
      <c r="J22" s="8" t="n"/>
      <c r="K22" s="8" t="n"/>
      <c r="L22" s="8" t="n"/>
      <c r="M22" s="8" t="n"/>
      <c r="N22" s="14">
        <f>SUM(IF(ISNUMBER(H22),H22,0),IF(ISNUMBER(J22),J22,0),IF(ISNUMBER(L22),L22,0))</f>
        <v/>
      </c>
      <c r="O22" s="14">
        <f>G22-N22</f>
        <v/>
      </c>
      <c r="P22">
        <f>IF(AND($D22="",E22=0,F22=0),"Vacant",IF(O22&lt;-0.004,"Overpaid / Credit",IF(O22&lt;=0.004,"Paid",IF(N22&lt;=0.004,"Unpaid","Partial"))))</f>
        <v/>
      </c>
    </row>
    <row r="23">
      <c r="A23" s="13" t="n">
        <v>46143</v>
      </c>
      <c r="B23" s="8" t="inlineStr">
        <is>
          <t>P2</t>
        </is>
      </c>
      <c r="C23" s="8" t="inlineStr">
        <is>
          <t>P2-U2</t>
        </is>
      </c>
      <c r="D23" s="8" t="inlineStr"/>
      <c r="E23" s="11" t="n">
        <v>0</v>
      </c>
      <c r="F23" s="14">
        <f>O22</f>
        <v/>
      </c>
      <c r="G23" s="14">
        <f>E23+F23</f>
        <v/>
      </c>
      <c r="H23" s="8" t="n"/>
      <c r="I23" s="8" t="n"/>
      <c r="J23" s="8" t="n"/>
      <c r="K23" s="8" t="n"/>
      <c r="L23" s="8" t="n"/>
      <c r="M23" s="8" t="n"/>
      <c r="N23" s="14">
        <f>SUM(IF(ISNUMBER(H23),H23,0),IF(ISNUMBER(J23),J23,0),IF(ISNUMBER(L23),L23,0))</f>
        <v/>
      </c>
      <c r="O23" s="14">
        <f>G23-N23</f>
        <v/>
      </c>
      <c r="P23">
        <f>IF(AND($D23="",E23=0,F23=0),"Vacant",IF(O23&lt;-0.004,"Overpaid / Credit",IF(O23&lt;=0.004,"Paid",IF(N23&lt;=0.004,"Unpaid","Partial"))))</f>
        <v/>
      </c>
    </row>
    <row r="24">
      <c r="A24" s="13" t="n">
        <v>46174</v>
      </c>
      <c r="B24" s="8" t="inlineStr">
        <is>
          <t>P2</t>
        </is>
      </c>
      <c r="C24" s="8" t="inlineStr">
        <is>
          <t>P2-U2</t>
        </is>
      </c>
      <c r="D24" s="8" t="inlineStr"/>
      <c r="E24" s="11" t="n">
        <v>0</v>
      </c>
      <c r="F24" s="14">
        <f>O23</f>
        <v/>
      </c>
      <c r="G24" s="14">
        <f>E24+F24</f>
        <v/>
      </c>
      <c r="H24" s="8" t="n"/>
      <c r="I24" s="8" t="n"/>
      <c r="J24" s="8" t="n"/>
      <c r="K24" s="8" t="n"/>
      <c r="L24" s="8" t="n"/>
      <c r="M24" s="8" t="n"/>
      <c r="N24" s="14">
        <f>SUM(IF(ISNUMBER(H24),H24,0),IF(ISNUMBER(J24),J24,0),IF(ISNUMBER(L24),L24,0))</f>
        <v/>
      </c>
      <c r="O24" s="14">
        <f>G24-N24</f>
        <v/>
      </c>
      <c r="P24">
        <f>IF(AND($D24="",E24=0,F24=0),"Vacant",IF(O24&lt;-0.004,"Overpaid / Credit",IF(O24&lt;=0.004,"Paid",IF(N24&lt;=0.004,"Unpaid","Partial"))))</f>
        <v/>
      </c>
    </row>
    <row r="25">
      <c r="A25" s="13" t="n">
        <v>46204</v>
      </c>
      <c r="B25" s="8" t="inlineStr">
        <is>
          <t>P2</t>
        </is>
      </c>
      <c r="C25" s="8" t="inlineStr">
        <is>
          <t>P2-U2</t>
        </is>
      </c>
      <c r="D25" s="8" t="inlineStr">
        <is>
          <t>T4B</t>
        </is>
      </c>
      <c r="E25" s="11" t="n">
        <v>1100</v>
      </c>
      <c r="F25" s="14">
        <f>O24</f>
        <v/>
      </c>
      <c r="G25" s="14">
        <f>E25+F25</f>
        <v/>
      </c>
      <c r="H25" s="11" t="n">
        <v>400</v>
      </c>
      <c r="I25" s="10" t="n">
        <v>46205</v>
      </c>
      <c r="J25" s="11" t="n">
        <v>300</v>
      </c>
      <c r="K25" s="10" t="n">
        <v>46213</v>
      </c>
      <c r="L25" s="11" t="n">
        <v>300</v>
      </c>
      <c r="M25" s="10" t="n">
        <v>46225</v>
      </c>
      <c r="N25" s="14">
        <f>SUM(IF(ISNUMBER(H25),H25,0),IF(ISNUMBER(J25),J25,0),IF(ISNUMBER(L25),L25,0))</f>
        <v/>
      </c>
      <c r="O25" s="14">
        <f>G25-N25</f>
        <v/>
      </c>
      <c r="P25">
        <f>IF(AND($D25="",E25=0,F25=0),"Vacant",IF(O25&lt;-0.004,"Overpaid / Credit",IF(O25&lt;=0.004,"Paid",IF(N25&lt;=0.004,"Unpaid","Partial"))))</f>
        <v/>
      </c>
    </row>
    <row r="26">
      <c r="A26" s="13" t="n">
        <v>46235</v>
      </c>
      <c r="B26" s="8" t="inlineStr">
        <is>
          <t>P2</t>
        </is>
      </c>
      <c r="C26" s="8" t="inlineStr">
        <is>
          <t>P2-U2</t>
        </is>
      </c>
      <c r="D26" s="8" t="inlineStr"/>
      <c r="E26" s="11" t="n">
        <v>0</v>
      </c>
      <c r="F26" s="14">
        <f>O25</f>
        <v/>
      </c>
      <c r="G26" s="14">
        <f>E26+F26</f>
        <v/>
      </c>
      <c r="H26" s="8" t="n"/>
      <c r="I26" s="8" t="n"/>
      <c r="J26" s="8" t="n"/>
      <c r="K26" s="8" t="n"/>
      <c r="L26" s="8" t="n"/>
      <c r="M26" s="8" t="n"/>
      <c r="N26" s="14">
        <f>SUM(IF(ISNUMBER(H26),H26,0),IF(ISNUMBER(J26),J26,0),IF(ISNUMBER(L26),L26,0))</f>
        <v/>
      </c>
      <c r="O26" s="14">
        <f>G26-N26</f>
        <v/>
      </c>
      <c r="P26">
        <f>IF(AND($D26="",E26=0,F26=0),"Vacant",IF(O26&lt;-0.004,"Overpaid / Credit",IF(O26&lt;=0.004,"Paid",IF(N26&lt;=0.004,"Unpaid","Partial"))))</f>
        <v/>
      </c>
    </row>
    <row r="27">
      <c r="A27" s="13" t="n">
        <v>46266</v>
      </c>
      <c r="B27" s="8" t="inlineStr">
        <is>
          <t>P2</t>
        </is>
      </c>
      <c r="C27" s="8" t="inlineStr">
        <is>
          <t>P2-U2</t>
        </is>
      </c>
      <c r="D27" s="8" t="inlineStr">
        <is>
          <t>T4B</t>
        </is>
      </c>
      <c r="E27" s="11" t="n">
        <v>1100</v>
      </c>
      <c r="F27" s="14">
        <f>O26</f>
        <v/>
      </c>
      <c r="G27" s="14">
        <f>E27+F27</f>
        <v/>
      </c>
      <c r="H27" s="11" t="n">
        <v>1100</v>
      </c>
      <c r="I27" s="10" t="n">
        <v>46268</v>
      </c>
      <c r="J27" s="8" t="n"/>
      <c r="K27" s="8" t="n"/>
      <c r="L27" s="8" t="n"/>
      <c r="M27" s="8" t="n"/>
      <c r="N27" s="14">
        <f>SUM(IF(ISNUMBER(H27),H27,0),IF(ISNUMBER(J27),J27,0),IF(ISNUMBER(L27),L27,0))</f>
        <v/>
      </c>
      <c r="O27" s="14">
        <f>G27-N27</f>
        <v/>
      </c>
      <c r="P27">
        <f>IF(AND($D27="",E27=0,F27=0),"Vacant",IF(O27&lt;-0.004,"Overpaid / Credit",IF(O27&lt;=0.004,"Paid",IF(N27&lt;=0.004,"Unpaid","Partial"))))</f>
        <v/>
      </c>
    </row>
    <row r="28">
      <c r="A28" s="13" t="n">
        <v>46113</v>
      </c>
      <c r="B28" s="8" t="inlineStr">
        <is>
          <t>P3</t>
        </is>
      </c>
      <c r="C28" s="8" t="inlineStr">
        <is>
          <t>P3-U1</t>
        </is>
      </c>
      <c r="D28" s="8" t="inlineStr">
        <is>
          <t>T5</t>
        </is>
      </c>
      <c r="E28" s="11" t="n">
        <v>1900</v>
      </c>
      <c r="F28" s="11" t="n">
        <v>0</v>
      </c>
      <c r="G28" s="14">
        <f>E28+F28</f>
        <v/>
      </c>
      <c r="H28" s="11" t="n">
        <v>1900</v>
      </c>
      <c r="I28" s="10" t="n">
        <v>46113</v>
      </c>
      <c r="J28" s="8" t="n"/>
      <c r="K28" s="8" t="n"/>
      <c r="L28" s="8" t="n"/>
      <c r="M28" s="8" t="n"/>
      <c r="N28" s="14">
        <f>SUM(IF(ISNUMBER(H28),H28,0),IF(ISNUMBER(J28),J28,0),IF(ISNUMBER(L28),L28,0))</f>
        <v/>
      </c>
      <c r="O28" s="14">
        <f>G28-N28</f>
        <v/>
      </c>
      <c r="P28">
        <f>IF(AND($D28="",E28=0,F28=0),"Vacant",IF(O28&lt;-0.004,"Overpaid / Credit",IF(O28&lt;=0.004,"Paid",IF(N28&lt;=0.004,"Unpaid","Partial"))))</f>
        <v/>
      </c>
    </row>
    <row r="29">
      <c r="A29" s="13" t="n">
        <v>46143</v>
      </c>
      <c r="B29" s="8" t="inlineStr">
        <is>
          <t>P3</t>
        </is>
      </c>
      <c r="C29" s="8" t="inlineStr">
        <is>
          <t>P3-U1</t>
        </is>
      </c>
      <c r="D29" s="8" t="inlineStr">
        <is>
          <t>T5</t>
        </is>
      </c>
      <c r="E29" s="11" t="n">
        <v>1900</v>
      </c>
      <c r="F29" s="14">
        <f>O28</f>
        <v/>
      </c>
      <c r="G29" s="14">
        <f>E29+F29</f>
        <v/>
      </c>
      <c r="H29" s="11" t="n">
        <v>1900</v>
      </c>
      <c r="I29" s="10" t="n">
        <v>46143</v>
      </c>
      <c r="J29" s="8" t="n"/>
      <c r="K29" s="8" t="n"/>
      <c r="L29" s="8" t="n"/>
      <c r="M29" s="8" t="n"/>
      <c r="N29" s="14">
        <f>SUM(IF(ISNUMBER(H29),H29,0),IF(ISNUMBER(J29),J29,0),IF(ISNUMBER(L29),L29,0))</f>
        <v/>
      </c>
      <c r="O29" s="14">
        <f>G29-N29</f>
        <v/>
      </c>
      <c r="P29">
        <f>IF(AND($D29="",E29=0,F29=0),"Vacant",IF(O29&lt;-0.004,"Overpaid / Credit",IF(O29&lt;=0.004,"Paid",IF(N29&lt;=0.004,"Unpaid","Partial"))))</f>
        <v/>
      </c>
    </row>
    <row r="30">
      <c r="A30" s="13" t="n">
        <v>46174</v>
      </c>
      <c r="B30" s="8" t="inlineStr">
        <is>
          <t>P3</t>
        </is>
      </c>
      <c r="C30" s="8" t="inlineStr">
        <is>
          <t>P3-U1</t>
        </is>
      </c>
      <c r="D30" s="8" t="inlineStr">
        <is>
          <t>T5</t>
        </is>
      </c>
      <c r="E30" s="11" t="n">
        <v>1900</v>
      </c>
      <c r="F30" s="14">
        <f>O29</f>
        <v/>
      </c>
      <c r="G30" s="14">
        <f>E30+F30</f>
        <v/>
      </c>
      <c r="H30" s="11" t="n">
        <v>1900</v>
      </c>
      <c r="I30" s="10" t="n">
        <v>46174</v>
      </c>
      <c r="J30" s="8" t="n"/>
      <c r="K30" s="8" t="n"/>
      <c r="L30" s="8" t="n"/>
      <c r="M30" s="8" t="n"/>
      <c r="N30" s="14">
        <f>SUM(IF(ISNUMBER(H30),H30,0),IF(ISNUMBER(J30),J30,0),IF(ISNUMBER(L30),L30,0))</f>
        <v/>
      </c>
      <c r="O30" s="14">
        <f>G30-N30</f>
        <v/>
      </c>
      <c r="P30">
        <f>IF(AND($D30="",E30=0,F30=0),"Vacant",IF(O30&lt;-0.004,"Overpaid / Credit",IF(O30&lt;=0.004,"Paid",IF(N30&lt;=0.004,"Unpaid","Partial"))))</f>
        <v/>
      </c>
    </row>
    <row r="31">
      <c r="A31" s="13" t="n">
        <v>46204</v>
      </c>
      <c r="B31" s="8" t="inlineStr">
        <is>
          <t>P3</t>
        </is>
      </c>
      <c r="C31" s="8" t="inlineStr">
        <is>
          <t>P3-U1</t>
        </is>
      </c>
      <c r="D31" s="8" t="inlineStr">
        <is>
          <t>T5</t>
        </is>
      </c>
      <c r="E31" s="11" t="n">
        <v>1900</v>
      </c>
      <c r="F31" s="14">
        <f>O30</f>
        <v/>
      </c>
      <c r="G31" s="14">
        <f>E31+F31</f>
        <v/>
      </c>
      <c r="H31" s="11" t="n">
        <v>1900</v>
      </c>
      <c r="I31" s="10" t="n">
        <v>46204</v>
      </c>
      <c r="J31" s="8" t="n"/>
      <c r="K31" s="8" t="n"/>
      <c r="L31" s="8" t="n"/>
      <c r="M31" s="8" t="n"/>
      <c r="N31" s="14">
        <f>SUM(IF(ISNUMBER(H31),H31,0),IF(ISNUMBER(J31),J31,0),IF(ISNUMBER(L31),L31,0))</f>
        <v/>
      </c>
      <c r="O31" s="14">
        <f>G31-N31</f>
        <v/>
      </c>
      <c r="P31">
        <f>IF(AND($D31="",E31=0,F31=0),"Vacant",IF(O31&lt;-0.004,"Overpaid / Credit",IF(O31&lt;=0.004,"Paid",IF(N31&lt;=0.004,"Unpaid","Partial"))))</f>
        <v/>
      </c>
    </row>
    <row r="32">
      <c r="A32" s="13" t="n">
        <v>46235</v>
      </c>
      <c r="B32" s="8" t="inlineStr">
        <is>
          <t>P3</t>
        </is>
      </c>
      <c r="C32" s="8" t="inlineStr">
        <is>
          <t>P3-U1</t>
        </is>
      </c>
      <c r="D32" s="8" t="inlineStr">
        <is>
          <t>T5</t>
        </is>
      </c>
      <c r="E32" s="11" t="n">
        <v>1900</v>
      </c>
      <c r="F32" s="14">
        <f>O31</f>
        <v/>
      </c>
      <c r="G32" s="14">
        <f>E32+F32</f>
        <v/>
      </c>
      <c r="H32" s="11" t="n">
        <v>1900</v>
      </c>
      <c r="I32" s="10" t="n">
        <v>46235</v>
      </c>
      <c r="J32" s="8" t="n"/>
      <c r="K32" s="8" t="n"/>
      <c r="L32" s="8" t="n"/>
      <c r="M32" s="8" t="n"/>
      <c r="N32" s="14">
        <f>SUM(IF(ISNUMBER(H32),H32,0),IF(ISNUMBER(J32),J32,0),IF(ISNUMBER(L32),L32,0))</f>
        <v/>
      </c>
      <c r="O32" s="14">
        <f>G32-N32</f>
        <v/>
      </c>
      <c r="P32">
        <f>IF(AND($D32="",E32=0,F32=0),"Vacant",IF(O32&lt;-0.004,"Overpaid / Credit",IF(O32&lt;=0.004,"Paid",IF(N32&lt;=0.004,"Unpaid","Partial"))))</f>
        <v/>
      </c>
    </row>
    <row r="33">
      <c r="A33" s="13" t="n">
        <v>46266</v>
      </c>
      <c r="B33" s="8" t="inlineStr">
        <is>
          <t>P3</t>
        </is>
      </c>
      <c r="C33" s="8" t="inlineStr">
        <is>
          <t>P3-U1</t>
        </is>
      </c>
      <c r="D33" s="8" t="inlineStr">
        <is>
          <t>T5</t>
        </is>
      </c>
      <c r="E33" s="11" t="n">
        <v>1900</v>
      </c>
      <c r="F33" s="14">
        <f>O32</f>
        <v/>
      </c>
      <c r="G33" s="14">
        <f>E33+F33</f>
        <v/>
      </c>
      <c r="H33" s="11" t="n">
        <v>1900</v>
      </c>
      <c r="I33" s="10" t="n">
        <v>46266</v>
      </c>
      <c r="J33" s="8" t="n"/>
      <c r="K33" s="8" t="n"/>
      <c r="L33" s="8" t="n"/>
      <c r="M33" s="8" t="n"/>
      <c r="N33" s="14">
        <f>SUM(IF(ISNUMBER(H33),H33,0),IF(ISNUMBER(J33),J33,0),IF(ISNUMBER(L33),L33,0))</f>
        <v/>
      </c>
      <c r="O33" s="14">
        <f>G33-N33</f>
        <v/>
      </c>
      <c r="P33">
        <f>IF(AND($D33="",E33=0,F33=0),"Vacant",IF(O33&lt;-0.004,"Overpaid / Credit",IF(O33&lt;=0.004,"Paid",IF(N33&lt;=0.004,"Unpaid","Partial"))))</f>
        <v/>
      </c>
    </row>
    <row r="34">
      <c r="A34" s="13" t="n"/>
      <c r="B34" s="8" t="n"/>
      <c r="C34" s="8" t="n"/>
      <c r="D34" s="8" t="n"/>
      <c r="E34" s="11" t="n"/>
      <c r="F34" s="11" t="n">
        <v>0</v>
      </c>
      <c r="G34" s="14">
        <f>E34+F34</f>
        <v/>
      </c>
      <c r="H34" s="11" t="n"/>
      <c r="I34" s="10" t="n"/>
      <c r="J34" s="11" t="n"/>
      <c r="K34" s="10" t="n"/>
      <c r="L34" s="11" t="n"/>
      <c r="M34" s="10" t="n"/>
      <c r="N34" s="14">
        <f>SUM(IF(ISNUMBER(H34),H34,0),IF(ISNUMBER(J34),J34,0),IF(ISNUMBER(L34),L34,0))</f>
        <v/>
      </c>
      <c r="O34" s="14">
        <f>G34-N34</f>
        <v/>
      </c>
      <c r="P34">
        <f>IF(AND($D34="",E34=0,F34=0),"Vacant",IF(O34&lt;-0.004,"Overpaid / Credit",IF(O34&lt;=0.004,"Paid",IF(N34&lt;=0.004,"Unpaid","Partial"))))</f>
        <v/>
      </c>
    </row>
    <row r="35">
      <c r="A35" s="13" t="n"/>
      <c r="B35" s="8" t="n"/>
      <c r="C35" s="8" t="n"/>
      <c r="D35" s="8" t="n"/>
      <c r="E35" s="11" t="n"/>
      <c r="F35" s="14">
        <f>O34</f>
        <v/>
      </c>
      <c r="G35" s="14">
        <f>E35+F35</f>
        <v/>
      </c>
      <c r="H35" s="11" t="n"/>
      <c r="I35" s="10" t="n"/>
      <c r="J35" s="11" t="n"/>
      <c r="K35" s="10" t="n"/>
      <c r="L35" s="11" t="n"/>
      <c r="M35" s="10" t="n"/>
      <c r="N35" s="14">
        <f>SUM(IF(ISNUMBER(H35),H35,0),IF(ISNUMBER(J35),J35,0),IF(ISNUMBER(L35),L35,0))</f>
        <v/>
      </c>
      <c r="O35" s="14">
        <f>G35-N35</f>
        <v/>
      </c>
      <c r="P35">
        <f>IF(AND($D35="",E35=0,F35=0),"Vacant",IF(O35&lt;-0.004,"Overpaid / Credit",IF(O35&lt;=0.004,"Paid",IF(N35&lt;=0.004,"Unpaid","Partial"))))</f>
        <v/>
      </c>
    </row>
    <row r="36">
      <c r="A36" s="13" t="n"/>
      <c r="B36" s="8" t="n"/>
      <c r="C36" s="8" t="n"/>
      <c r="D36" s="8" t="n"/>
      <c r="E36" s="11" t="n"/>
      <c r="F36" s="14">
        <f>O35</f>
        <v/>
      </c>
      <c r="G36" s="14">
        <f>E36+F36</f>
        <v/>
      </c>
      <c r="H36" s="11" t="n"/>
      <c r="I36" s="10" t="n"/>
      <c r="J36" s="11" t="n"/>
      <c r="K36" s="10" t="n"/>
      <c r="L36" s="11" t="n"/>
      <c r="M36" s="10" t="n"/>
      <c r="N36" s="14">
        <f>SUM(IF(ISNUMBER(H36),H36,0),IF(ISNUMBER(J36),J36,0),IF(ISNUMBER(L36),L36,0))</f>
        <v/>
      </c>
      <c r="O36" s="14">
        <f>G36-N36</f>
        <v/>
      </c>
      <c r="P36">
        <f>IF(AND($D36="",E36=0,F36=0),"Vacant",IF(O36&lt;-0.004,"Overpaid / Credit",IF(O36&lt;=0.004,"Paid",IF(N36&lt;=0.004,"Unpaid","Partial"))))</f>
        <v/>
      </c>
    </row>
    <row r="37">
      <c r="A37" s="13" t="n"/>
      <c r="B37" s="8" t="n"/>
      <c r="C37" s="8" t="n"/>
      <c r="D37" s="8" t="n"/>
      <c r="E37" s="11" t="n"/>
      <c r="F37" s="14">
        <f>O36</f>
        <v/>
      </c>
      <c r="G37" s="14">
        <f>E37+F37</f>
        <v/>
      </c>
      <c r="H37" s="11" t="n"/>
      <c r="I37" s="10" t="n"/>
      <c r="J37" s="11" t="n"/>
      <c r="K37" s="10" t="n"/>
      <c r="L37" s="11" t="n"/>
      <c r="M37" s="10" t="n"/>
      <c r="N37" s="14">
        <f>SUM(IF(ISNUMBER(H37),H37,0),IF(ISNUMBER(J37),J37,0),IF(ISNUMBER(L37),L37,0))</f>
        <v/>
      </c>
      <c r="O37" s="14">
        <f>G37-N37</f>
        <v/>
      </c>
      <c r="P37">
        <f>IF(AND($D37="",E37=0,F37=0),"Vacant",IF(O37&lt;-0.004,"Overpaid / Credit",IF(O37&lt;=0.004,"Paid",IF(N37&lt;=0.004,"Unpaid","Partial"))))</f>
        <v/>
      </c>
    </row>
    <row r="38">
      <c r="A38" s="13" t="n"/>
      <c r="B38" s="8" t="n"/>
      <c r="C38" s="8" t="n"/>
      <c r="D38" s="8" t="n"/>
      <c r="E38" s="11" t="n"/>
      <c r="F38" s="14">
        <f>O37</f>
        <v/>
      </c>
      <c r="G38" s="14">
        <f>E38+F38</f>
        <v/>
      </c>
      <c r="H38" s="11" t="n"/>
      <c r="I38" s="10" t="n"/>
      <c r="J38" s="11" t="n"/>
      <c r="K38" s="10" t="n"/>
      <c r="L38" s="11" t="n"/>
      <c r="M38" s="10" t="n"/>
      <c r="N38" s="14">
        <f>SUM(IF(ISNUMBER(H38),H38,0),IF(ISNUMBER(J38),J38,0),IF(ISNUMBER(L38),L38,0))</f>
        <v/>
      </c>
      <c r="O38" s="14">
        <f>G38-N38</f>
        <v/>
      </c>
      <c r="P38">
        <f>IF(AND($D38="",E38=0,F38=0),"Vacant",IF(O38&lt;-0.004,"Overpaid / Credit",IF(O38&lt;=0.004,"Paid",IF(N38&lt;=0.004,"Unpaid","Partial"))))</f>
        <v/>
      </c>
    </row>
    <row r="39">
      <c r="A39" s="13" t="n"/>
      <c r="B39" s="8" t="n"/>
      <c r="C39" s="8" t="n"/>
      <c r="D39" s="8" t="n"/>
      <c r="E39" s="11" t="n"/>
      <c r="F39" s="14">
        <f>O38</f>
        <v/>
      </c>
      <c r="G39" s="14">
        <f>E39+F39</f>
        <v/>
      </c>
      <c r="H39" s="11" t="n"/>
      <c r="I39" s="10" t="n"/>
      <c r="J39" s="11" t="n"/>
      <c r="K39" s="10" t="n"/>
      <c r="L39" s="11" t="n"/>
      <c r="M39" s="10" t="n"/>
      <c r="N39" s="14">
        <f>SUM(IF(ISNUMBER(H39),H39,0),IF(ISNUMBER(J39),J39,0),IF(ISNUMBER(L39),L39,0))</f>
        <v/>
      </c>
      <c r="O39" s="14">
        <f>G39-N39</f>
        <v/>
      </c>
      <c r="P39">
        <f>IF(AND($D39="",E39=0,F39=0),"Vacant",IF(O39&lt;-0.004,"Overpaid / Credit",IF(O39&lt;=0.004,"Paid",IF(N39&lt;=0.004,"Unpaid","Partial"))))</f>
        <v/>
      </c>
    </row>
    <row r="40">
      <c r="A40" s="13" t="n"/>
      <c r="B40" s="8" t="n"/>
      <c r="C40" s="8" t="n"/>
      <c r="D40" s="8" t="n"/>
      <c r="E40" s="11" t="n"/>
      <c r="F40" s="14">
        <f>O39</f>
        <v/>
      </c>
      <c r="G40" s="14">
        <f>E40+F40</f>
        <v/>
      </c>
      <c r="H40" s="11" t="n"/>
      <c r="I40" s="10" t="n"/>
      <c r="J40" s="11" t="n"/>
      <c r="K40" s="10" t="n"/>
      <c r="L40" s="11" t="n"/>
      <c r="M40" s="10" t="n"/>
      <c r="N40" s="14">
        <f>SUM(IF(ISNUMBER(H40),H40,0),IF(ISNUMBER(J40),J40,0),IF(ISNUMBER(L40),L40,0))</f>
        <v/>
      </c>
      <c r="O40" s="14">
        <f>G40-N40</f>
        <v/>
      </c>
      <c r="P40">
        <f>IF(AND($D40="",E40=0,F40=0),"Vacant",IF(O40&lt;-0.004,"Overpaid / Credit",IF(O40&lt;=0.004,"Paid",IF(N40&lt;=0.004,"Unpaid","Partial"))))</f>
        <v/>
      </c>
    </row>
    <row r="41">
      <c r="A41" s="13" t="n"/>
      <c r="B41" s="8" t="n"/>
      <c r="C41" s="8" t="n"/>
      <c r="D41" s="8" t="n"/>
      <c r="E41" s="11" t="n"/>
      <c r="F41" s="14">
        <f>O40</f>
        <v/>
      </c>
      <c r="G41" s="14">
        <f>E41+F41</f>
        <v/>
      </c>
      <c r="H41" s="11" t="n"/>
      <c r="I41" s="10" t="n"/>
      <c r="J41" s="11" t="n"/>
      <c r="K41" s="10" t="n"/>
      <c r="L41" s="11" t="n"/>
      <c r="M41" s="10" t="n"/>
      <c r="N41" s="14">
        <f>SUM(IF(ISNUMBER(H41),H41,0),IF(ISNUMBER(J41),J41,0),IF(ISNUMBER(L41),L41,0))</f>
        <v/>
      </c>
      <c r="O41" s="14">
        <f>G41-N41</f>
        <v/>
      </c>
      <c r="P41">
        <f>IF(AND($D41="",E41=0,F41=0),"Vacant",IF(O41&lt;-0.004,"Overpaid / Credit",IF(O41&lt;=0.004,"Paid",IF(N41&lt;=0.004,"Unpaid","Partial"))))</f>
        <v/>
      </c>
    </row>
    <row r="42">
      <c r="A42" s="13" t="n"/>
      <c r="B42" s="8" t="n"/>
      <c r="C42" s="8" t="n"/>
      <c r="D42" s="8" t="n"/>
      <c r="E42" s="11" t="n"/>
      <c r="F42" s="14">
        <f>O41</f>
        <v/>
      </c>
      <c r="G42" s="14">
        <f>E42+F42</f>
        <v/>
      </c>
      <c r="H42" s="11" t="n"/>
      <c r="I42" s="10" t="n"/>
      <c r="J42" s="11" t="n"/>
      <c r="K42" s="10" t="n"/>
      <c r="L42" s="11" t="n"/>
      <c r="M42" s="10" t="n"/>
      <c r="N42" s="14">
        <f>SUM(IF(ISNUMBER(H42),H42,0),IF(ISNUMBER(J42),J42,0),IF(ISNUMBER(L42),L42,0))</f>
        <v/>
      </c>
      <c r="O42" s="14">
        <f>G42-N42</f>
        <v/>
      </c>
      <c r="P42">
        <f>IF(AND($D42="",E42=0,F42=0),"Vacant",IF(O42&lt;-0.004,"Overpaid / Credit",IF(O42&lt;=0.004,"Paid",IF(N42&lt;=0.004,"Unpaid","Partial"))))</f>
        <v/>
      </c>
    </row>
    <row r="43">
      <c r="A43" s="13" t="n"/>
      <c r="B43" s="8" t="n"/>
      <c r="C43" s="8" t="n"/>
      <c r="D43" s="8" t="n"/>
      <c r="E43" s="11" t="n"/>
      <c r="F43" s="14">
        <f>O42</f>
        <v/>
      </c>
      <c r="G43" s="14">
        <f>E43+F43</f>
        <v/>
      </c>
      <c r="H43" s="11" t="n"/>
      <c r="I43" s="10" t="n"/>
      <c r="J43" s="11" t="n"/>
      <c r="K43" s="10" t="n"/>
      <c r="L43" s="11" t="n"/>
      <c r="M43" s="10" t="n"/>
      <c r="N43" s="14">
        <f>SUM(IF(ISNUMBER(H43),H43,0),IF(ISNUMBER(J43),J43,0),IF(ISNUMBER(L43),L43,0))</f>
        <v/>
      </c>
      <c r="O43" s="14">
        <f>G43-N43</f>
        <v/>
      </c>
      <c r="P43">
        <f>IF(AND($D43="",E43=0,F43=0),"Vacant",IF(O43&lt;-0.004,"Overpaid / Credit",IF(O43&lt;=0.004,"Paid",IF(N43&lt;=0.004,"Unpaid","Partial"))))</f>
        <v/>
      </c>
    </row>
    <row r="44">
      <c r="A44" s="13" t="n"/>
      <c r="B44" s="8" t="n"/>
      <c r="C44" s="8" t="n"/>
      <c r="D44" s="8" t="n"/>
      <c r="E44" s="11" t="n"/>
      <c r="F44" s="14">
        <f>O43</f>
        <v/>
      </c>
      <c r="G44" s="14">
        <f>E44+F44</f>
        <v/>
      </c>
      <c r="H44" s="11" t="n"/>
      <c r="I44" s="10" t="n"/>
      <c r="J44" s="11" t="n"/>
      <c r="K44" s="10" t="n"/>
      <c r="L44" s="11" t="n"/>
      <c r="M44" s="10" t="n"/>
      <c r="N44" s="14">
        <f>SUM(IF(ISNUMBER(H44),H44,0),IF(ISNUMBER(J44),J44,0),IF(ISNUMBER(L44),L44,0))</f>
        <v/>
      </c>
      <c r="O44" s="14">
        <f>G44-N44</f>
        <v/>
      </c>
      <c r="P44">
        <f>IF(AND($D44="",E44=0,F44=0),"Vacant",IF(O44&lt;-0.004,"Overpaid / Credit",IF(O44&lt;=0.004,"Paid",IF(N44&lt;=0.004,"Unpaid","Partial"))))</f>
        <v/>
      </c>
    </row>
    <row r="45">
      <c r="A45" s="13" t="n"/>
      <c r="B45" s="8" t="n"/>
      <c r="C45" s="8" t="n"/>
      <c r="D45" s="8" t="n"/>
      <c r="E45" s="11" t="n"/>
      <c r="F45" s="14">
        <f>O44</f>
        <v/>
      </c>
      <c r="G45" s="14">
        <f>E45+F45</f>
        <v/>
      </c>
      <c r="H45" s="11" t="n"/>
      <c r="I45" s="10" t="n"/>
      <c r="J45" s="11" t="n"/>
      <c r="K45" s="10" t="n"/>
      <c r="L45" s="11" t="n"/>
      <c r="M45" s="10" t="n"/>
      <c r="N45" s="14">
        <f>SUM(IF(ISNUMBER(H45),H45,0),IF(ISNUMBER(J45),J45,0),IF(ISNUMBER(L45),L45,0))</f>
        <v/>
      </c>
      <c r="O45" s="14">
        <f>G45-N45</f>
        <v/>
      </c>
      <c r="P45">
        <f>IF(AND($D45="",E45=0,F45=0),"Vacant",IF(O45&lt;-0.004,"Overpaid / Credit",IF(O45&lt;=0.004,"Paid",IF(N45&lt;=0.004,"Unpaid","Partial"))))</f>
        <v/>
      </c>
    </row>
    <row r="46">
      <c r="A46" s="13" t="n"/>
      <c r="B46" s="8" t="n"/>
      <c r="C46" s="8" t="n"/>
      <c r="D46" s="8" t="n"/>
      <c r="E46" s="11" t="n"/>
      <c r="F46" s="11" t="n">
        <v>0</v>
      </c>
      <c r="G46" s="14">
        <f>E46+F46</f>
        <v/>
      </c>
      <c r="H46" s="11" t="n"/>
      <c r="I46" s="10" t="n"/>
      <c r="J46" s="11" t="n"/>
      <c r="K46" s="10" t="n"/>
      <c r="L46" s="11" t="n"/>
      <c r="M46" s="10" t="n"/>
      <c r="N46" s="14">
        <f>SUM(IF(ISNUMBER(H46),H46,0),IF(ISNUMBER(J46),J46,0),IF(ISNUMBER(L46),L46,0))</f>
        <v/>
      </c>
      <c r="O46" s="14">
        <f>G46-N46</f>
        <v/>
      </c>
      <c r="P46">
        <f>IF(AND($D46="",E46=0,F46=0),"Vacant",IF(O46&lt;-0.004,"Overpaid / Credit",IF(O46&lt;=0.004,"Paid",IF(N46&lt;=0.004,"Unpaid","Partial"))))</f>
        <v/>
      </c>
    </row>
    <row r="47">
      <c r="A47" s="13" t="n"/>
      <c r="B47" s="8" t="n"/>
      <c r="C47" s="8" t="n"/>
      <c r="D47" s="8" t="n"/>
      <c r="E47" s="11" t="n"/>
      <c r="F47" s="14">
        <f>O46</f>
        <v/>
      </c>
      <c r="G47" s="14">
        <f>E47+F47</f>
        <v/>
      </c>
      <c r="H47" s="11" t="n"/>
      <c r="I47" s="10" t="n"/>
      <c r="J47" s="11" t="n"/>
      <c r="K47" s="10" t="n"/>
      <c r="L47" s="11" t="n"/>
      <c r="M47" s="10" t="n"/>
      <c r="N47" s="14">
        <f>SUM(IF(ISNUMBER(H47),H47,0),IF(ISNUMBER(J47),J47,0),IF(ISNUMBER(L47),L47,0))</f>
        <v/>
      </c>
      <c r="O47" s="14">
        <f>G47-N47</f>
        <v/>
      </c>
      <c r="P47">
        <f>IF(AND($D47="",E47=0,F47=0),"Vacant",IF(O47&lt;-0.004,"Overpaid / Credit",IF(O47&lt;=0.004,"Paid",IF(N47&lt;=0.004,"Unpaid","Partial"))))</f>
        <v/>
      </c>
    </row>
    <row r="48">
      <c r="A48" s="13" t="n"/>
      <c r="B48" s="8" t="n"/>
      <c r="C48" s="8" t="n"/>
      <c r="D48" s="8" t="n"/>
      <c r="E48" s="11" t="n"/>
      <c r="F48" s="14">
        <f>O47</f>
        <v/>
      </c>
      <c r="G48" s="14">
        <f>E48+F48</f>
        <v/>
      </c>
      <c r="H48" s="11" t="n"/>
      <c r="I48" s="10" t="n"/>
      <c r="J48" s="11" t="n"/>
      <c r="K48" s="10" t="n"/>
      <c r="L48" s="11" t="n"/>
      <c r="M48" s="10" t="n"/>
      <c r="N48" s="14">
        <f>SUM(IF(ISNUMBER(H48),H48,0),IF(ISNUMBER(J48),J48,0),IF(ISNUMBER(L48),L48,0))</f>
        <v/>
      </c>
      <c r="O48" s="14">
        <f>G48-N48</f>
        <v/>
      </c>
      <c r="P48">
        <f>IF(AND($D48="",E48=0,F48=0),"Vacant",IF(O48&lt;-0.004,"Overpaid / Credit",IF(O48&lt;=0.004,"Paid",IF(N48&lt;=0.004,"Unpaid","Partial"))))</f>
        <v/>
      </c>
    </row>
    <row r="49">
      <c r="A49" s="13" t="n"/>
      <c r="B49" s="8" t="n"/>
      <c r="C49" s="8" t="n"/>
      <c r="D49" s="8" t="n"/>
      <c r="E49" s="11" t="n"/>
      <c r="F49" s="14">
        <f>O48</f>
        <v/>
      </c>
      <c r="G49" s="14">
        <f>E49+F49</f>
        <v/>
      </c>
      <c r="H49" s="11" t="n"/>
      <c r="I49" s="10" t="n"/>
      <c r="J49" s="11" t="n"/>
      <c r="K49" s="10" t="n"/>
      <c r="L49" s="11" t="n"/>
      <c r="M49" s="10" t="n"/>
      <c r="N49" s="14">
        <f>SUM(IF(ISNUMBER(H49),H49,0),IF(ISNUMBER(J49),J49,0),IF(ISNUMBER(L49),L49,0))</f>
        <v/>
      </c>
      <c r="O49" s="14">
        <f>G49-N49</f>
        <v/>
      </c>
      <c r="P49">
        <f>IF(AND($D49="",E49=0,F49=0),"Vacant",IF(O49&lt;-0.004,"Overpaid / Credit",IF(O49&lt;=0.004,"Paid",IF(N49&lt;=0.004,"Unpaid","Partial"))))</f>
        <v/>
      </c>
    </row>
    <row r="50">
      <c r="A50" s="13" t="n"/>
      <c r="B50" s="8" t="n"/>
      <c r="C50" s="8" t="n"/>
      <c r="D50" s="8" t="n"/>
      <c r="E50" s="11" t="n"/>
      <c r="F50" s="14">
        <f>O49</f>
        <v/>
      </c>
      <c r="G50" s="14">
        <f>E50+F50</f>
        <v/>
      </c>
      <c r="H50" s="11" t="n"/>
      <c r="I50" s="10" t="n"/>
      <c r="J50" s="11" t="n"/>
      <c r="K50" s="10" t="n"/>
      <c r="L50" s="11" t="n"/>
      <c r="M50" s="10" t="n"/>
      <c r="N50" s="14">
        <f>SUM(IF(ISNUMBER(H50),H50,0),IF(ISNUMBER(J50),J50,0),IF(ISNUMBER(L50),L50,0))</f>
        <v/>
      </c>
      <c r="O50" s="14">
        <f>G50-N50</f>
        <v/>
      </c>
      <c r="P50">
        <f>IF(AND($D50="",E50=0,F50=0),"Vacant",IF(O50&lt;-0.004,"Overpaid / Credit",IF(O50&lt;=0.004,"Paid",IF(N50&lt;=0.004,"Unpaid","Partial"))))</f>
        <v/>
      </c>
    </row>
    <row r="51">
      <c r="A51" s="13" t="n"/>
      <c r="B51" s="8" t="n"/>
      <c r="C51" s="8" t="n"/>
      <c r="D51" s="8" t="n"/>
      <c r="E51" s="11" t="n"/>
      <c r="F51" s="14">
        <f>O50</f>
        <v/>
      </c>
      <c r="G51" s="14">
        <f>E51+F51</f>
        <v/>
      </c>
      <c r="H51" s="11" t="n"/>
      <c r="I51" s="10" t="n"/>
      <c r="J51" s="11" t="n"/>
      <c r="K51" s="10" t="n"/>
      <c r="L51" s="11" t="n"/>
      <c r="M51" s="10" t="n"/>
      <c r="N51" s="14">
        <f>SUM(IF(ISNUMBER(H51),H51,0),IF(ISNUMBER(J51),J51,0),IF(ISNUMBER(L51),L51,0))</f>
        <v/>
      </c>
      <c r="O51" s="14">
        <f>G51-N51</f>
        <v/>
      </c>
      <c r="P51">
        <f>IF(AND($D51="",E51=0,F51=0),"Vacant",IF(O51&lt;-0.004,"Overpaid / Credit",IF(O51&lt;=0.004,"Paid",IF(N51&lt;=0.004,"Unpaid","Partial"))))</f>
        <v/>
      </c>
    </row>
    <row r="52">
      <c r="A52" s="13" t="n"/>
      <c r="B52" s="8" t="n"/>
      <c r="C52" s="8" t="n"/>
      <c r="D52" s="8" t="n"/>
      <c r="E52" s="11" t="n"/>
      <c r="F52" s="14">
        <f>O51</f>
        <v/>
      </c>
      <c r="G52" s="14">
        <f>E52+F52</f>
        <v/>
      </c>
      <c r="H52" s="11" t="n"/>
      <c r="I52" s="10" t="n"/>
      <c r="J52" s="11" t="n"/>
      <c r="K52" s="10" t="n"/>
      <c r="L52" s="11" t="n"/>
      <c r="M52" s="10" t="n"/>
      <c r="N52" s="14">
        <f>SUM(IF(ISNUMBER(H52),H52,0),IF(ISNUMBER(J52),J52,0),IF(ISNUMBER(L52),L52,0))</f>
        <v/>
      </c>
      <c r="O52" s="14">
        <f>G52-N52</f>
        <v/>
      </c>
      <c r="P52">
        <f>IF(AND($D52="",E52=0,F52=0),"Vacant",IF(O52&lt;-0.004,"Overpaid / Credit",IF(O52&lt;=0.004,"Paid",IF(N52&lt;=0.004,"Unpaid","Partial"))))</f>
        <v/>
      </c>
    </row>
    <row r="53">
      <c r="A53" s="13" t="n"/>
      <c r="B53" s="8" t="n"/>
      <c r="C53" s="8" t="n"/>
      <c r="D53" s="8" t="n"/>
      <c r="E53" s="11" t="n"/>
      <c r="F53" s="14">
        <f>O52</f>
        <v/>
      </c>
      <c r="G53" s="14">
        <f>E53+F53</f>
        <v/>
      </c>
      <c r="H53" s="11" t="n"/>
      <c r="I53" s="10" t="n"/>
      <c r="J53" s="11" t="n"/>
      <c r="K53" s="10" t="n"/>
      <c r="L53" s="11" t="n"/>
      <c r="M53" s="10" t="n"/>
      <c r="N53" s="14">
        <f>SUM(IF(ISNUMBER(H53),H53,0),IF(ISNUMBER(J53),J53,0),IF(ISNUMBER(L53),L53,0))</f>
        <v/>
      </c>
      <c r="O53" s="14">
        <f>G53-N53</f>
        <v/>
      </c>
      <c r="P53">
        <f>IF(AND($D53="",E53=0,F53=0),"Vacant",IF(O53&lt;-0.004,"Overpaid / Credit",IF(O53&lt;=0.004,"Paid",IF(N53&lt;=0.004,"Unpaid","Partial"))))</f>
        <v/>
      </c>
    </row>
    <row r="54">
      <c r="A54" s="13" t="n"/>
      <c r="B54" s="8" t="n"/>
      <c r="C54" s="8" t="n"/>
      <c r="D54" s="8" t="n"/>
      <c r="E54" s="11" t="n"/>
      <c r="F54" s="14">
        <f>O53</f>
        <v/>
      </c>
      <c r="G54" s="14">
        <f>E54+F54</f>
        <v/>
      </c>
      <c r="H54" s="11" t="n"/>
      <c r="I54" s="10" t="n"/>
      <c r="J54" s="11" t="n"/>
      <c r="K54" s="10" t="n"/>
      <c r="L54" s="11" t="n"/>
      <c r="M54" s="10" t="n"/>
      <c r="N54" s="14">
        <f>SUM(IF(ISNUMBER(H54),H54,0),IF(ISNUMBER(J54),J54,0),IF(ISNUMBER(L54),L54,0))</f>
        <v/>
      </c>
      <c r="O54" s="14">
        <f>G54-N54</f>
        <v/>
      </c>
      <c r="P54">
        <f>IF(AND($D54="",E54=0,F54=0),"Vacant",IF(O54&lt;-0.004,"Overpaid / Credit",IF(O54&lt;=0.004,"Paid",IF(N54&lt;=0.004,"Unpaid","Partial"))))</f>
        <v/>
      </c>
    </row>
    <row r="55">
      <c r="A55" s="13" t="n"/>
      <c r="B55" s="8" t="n"/>
      <c r="C55" s="8" t="n"/>
      <c r="D55" s="8" t="n"/>
      <c r="E55" s="11" t="n"/>
      <c r="F55" s="14">
        <f>O54</f>
        <v/>
      </c>
      <c r="G55" s="14">
        <f>E55+F55</f>
        <v/>
      </c>
      <c r="H55" s="11" t="n"/>
      <c r="I55" s="10" t="n"/>
      <c r="J55" s="11" t="n"/>
      <c r="K55" s="10" t="n"/>
      <c r="L55" s="11" t="n"/>
      <c r="M55" s="10" t="n"/>
      <c r="N55" s="14">
        <f>SUM(IF(ISNUMBER(H55),H55,0),IF(ISNUMBER(J55),J55,0),IF(ISNUMBER(L55),L55,0))</f>
        <v/>
      </c>
      <c r="O55" s="14">
        <f>G55-N55</f>
        <v/>
      </c>
      <c r="P55">
        <f>IF(AND($D55="",E55=0,F55=0),"Vacant",IF(O55&lt;-0.004,"Overpaid / Credit",IF(O55&lt;=0.004,"Paid",IF(N55&lt;=0.004,"Unpaid","Partial"))))</f>
        <v/>
      </c>
    </row>
    <row r="56">
      <c r="A56" s="13" t="n"/>
      <c r="B56" s="8" t="n"/>
      <c r="C56" s="8" t="n"/>
      <c r="D56" s="8" t="n"/>
      <c r="E56" s="11" t="n"/>
      <c r="F56" s="14">
        <f>O55</f>
        <v/>
      </c>
      <c r="G56" s="14">
        <f>E56+F56</f>
        <v/>
      </c>
      <c r="H56" s="11" t="n"/>
      <c r="I56" s="10" t="n"/>
      <c r="J56" s="11" t="n"/>
      <c r="K56" s="10" t="n"/>
      <c r="L56" s="11" t="n"/>
      <c r="M56" s="10" t="n"/>
      <c r="N56" s="14">
        <f>SUM(IF(ISNUMBER(H56),H56,0),IF(ISNUMBER(J56),J56,0),IF(ISNUMBER(L56),L56,0))</f>
        <v/>
      </c>
      <c r="O56" s="14">
        <f>G56-N56</f>
        <v/>
      </c>
      <c r="P56">
        <f>IF(AND($D56="",E56=0,F56=0),"Vacant",IF(O56&lt;-0.004,"Overpaid / Credit",IF(O56&lt;=0.004,"Paid",IF(N56&lt;=0.004,"Unpaid","Partial"))))</f>
        <v/>
      </c>
    </row>
    <row r="57">
      <c r="A57" s="13" t="n"/>
      <c r="B57" s="8" t="n"/>
      <c r="C57" s="8" t="n"/>
      <c r="D57" s="8" t="n"/>
      <c r="E57" s="11" t="n"/>
      <c r="F57" s="14">
        <f>O56</f>
        <v/>
      </c>
      <c r="G57" s="14">
        <f>E57+F57</f>
        <v/>
      </c>
      <c r="H57" s="11" t="n"/>
      <c r="I57" s="10" t="n"/>
      <c r="J57" s="11" t="n"/>
      <c r="K57" s="10" t="n"/>
      <c r="L57" s="11" t="n"/>
      <c r="M57" s="10" t="n"/>
      <c r="N57" s="14">
        <f>SUM(IF(ISNUMBER(H57),H57,0),IF(ISNUMBER(J57),J57,0),IF(ISNUMBER(L57),L57,0))</f>
        <v/>
      </c>
      <c r="O57" s="14">
        <f>G57-N57</f>
        <v/>
      </c>
      <c r="P57">
        <f>IF(AND($D57="",E57=0,F57=0),"Vacant",IF(O57&lt;-0.004,"Overpaid / Credit",IF(O57&lt;=0.004,"Paid",IF(N57&lt;=0.004,"Unpaid","Partial"))))</f>
        <v/>
      </c>
    </row>
    <row r="58">
      <c r="A58" s="13" t="n"/>
      <c r="B58" s="8" t="n"/>
      <c r="C58" s="8" t="n"/>
      <c r="D58" s="8" t="n"/>
      <c r="E58" s="11" t="n"/>
      <c r="F58" s="11" t="n">
        <v>0</v>
      </c>
      <c r="G58" s="14">
        <f>E58+F58</f>
        <v/>
      </c>
      <c r="H58" s="11" t="n"/>
      <c r="I58" s="10" t="n"/>
      <c r="J58" s="11" t="n"/>
      <c r="K58" s="10" t="n"/>
      <c r="L58" s="11" t="n"/>
      <c r="M58" s="10" t="n"/>
      <c r="N58" s="14">
        <f>SUM(IF(ISNUMBER(H58),H58,0),IF(ISNUMBER(J58),J58,0),IF(ISNUMBER(L58),L58,0))</f>
        <v/>
      </c>
      <c r="O58" s="14">
        <f>G58-N58</f>
        <v/>
      </c>
      <c r="P58">
        <f>IF(AND($D58="",E58=0,F58=0),"Vacant",IF(O58&lt;-0.004,"Overpaid / Credit",IF(O58&lt;=0.004,"Paid",IF(N58&lt;=0.004,"Unpaid","Partial"))))</f>
        <v/>
      </c>
    </row>
    <row r="59">
      <c r="A59" s="13" t="n"/>
      <c r="B59" s="8" t="n"/>
      <c r="C59" s="8" t="n"/>
      <c r="D59" s="8" t="n"/>
      <c r="E59" s="11" t="n"/>
      <c r="F59" s="14">
        <f>O58</f>
        <v/>
      </c>
      <c r="G59" s="14">
        <f>E59+F59</f>
        <v/>
      </c>
      <c r="H59" s="11" t="n"/>
      <c r="I59" s="10" t="n"/>
      <c r="J59" s="11" t="n"/>
      <c r="K59" s="10" t="n"/>
      <c r="L59" s="11" t="n"/>
      <c r="M59" s="10" t="n"/>
      <c r="N59" s="14">
        <f>SUM(IF(ISNUMBER(H59),H59,0),IF(ISNUMBER(J59),J59,0),IF(ISNUMBER(L59),L59,0))</f>
        <v/>
      </c>
      <c r="O59" s="14">
        <f>G59-N59</f>
        <v/>
      </c>
      <c r="P59">
        <f>IF(AND($D59="",E59=0,F59=0),"Vacant",IF(O59&lt;-0.004,"Overpaid / Credit",IF(O59&lt;=0.004,"Paid",IF(N59&lt;=0.004,"Unpaid","Partial"))))</f>
        <v/>
      </c>
    </row>
    <row r="60">
      <c r="A60" s="13" t="n"/>
      <c r="B60" s="8" t="n"/>
      <c r="C60" s="8" t="n"/>
      <c r="D60" s="8" t="n"/>
      <c r="E60" s="11" t="n"/>
      <c r="F60" s="14">
        <f>O59</f>
        <v/>
      </c>
      <c r="G60" s="14">
        <f>E60+F60</f>
        <v/>
      </c>
      <c r="H60" s="11" t="n"/>
      <c r="I60" s="10" t="n"/>
      <c r="J60" s="11" t="n"/>
      <c r="K60" s="10" t="n"/>
      <c r="L60" s="11" t="n"/>
      <c r="M60" s="10" t="n"/>
      <c r="N60" s="14">
        <f>SUM(IF(ISNUMBER(H60),H60,0),IF(ISNUMBER(J60),J60,0),IF(ISNUMBER(L60),L60,0))</f>
        <v/>
      </c>
      <c r="O60" s="14">
        <f>G60-N60</f>
        <v/>
      </c>
      <c r="P60">
        <f>IF(AND($D60="",E60=0,F60=0),"Vacant",IF(O60&lt;-0.004,"Overpaid / Credit",IF(O60&lt;=0.004,"Paid",IF(N60&lt;=0.004,"Unpaid","Partial"))))</f>
        <v/>
      </c>
    </row>
    <row r="61">
      <c r="A61" s="13" t="n"/>
      <c r="B61" s="8" t="n"/>
      <c r="C61" s="8" t="n"/>
      <c r="D61" s="8" t="n"/>
      <c r="E61" s="11" t="n"/>
      <c r="F61" s="14">
        <f>O60</f>
        <v/>
      </c>
      <c r="G61" s="14">
        <f>E61+F61</f>
        <v/>
      </c>
      <c r="H61" s="11" t="n"/>
      <c r="I61" s="10" t="n"/>
      <c r="J61" s="11" t="n"/>
      <c r="K61" s="10" t="n"/>
      <c r="L61" s="11" t="n"/>
      <c r="M61" s="10" t="n"/>
      <c r="N61" s="14">
        <f>SUM(IF(ISNUMBER(H61),H61,0),IF(ISNUMBER(J61),J61,0),IF(ISNUMBER(L61),L61,0))</f>
        <v/>
      </c>
      <c r="O61" s="14">
        <f>G61-N61</f>
        <v/>
      </c>
      <c r="P61">
        <f>IF(AND($D61="",E61=0,F61=0),"Vacant",IF(O61&lt;-0.004,"Overpaid / Credit",IF(O61&lt;=0.004,"Paid",IF(N61&lt;=0.004,"Unpaid","Partial"))))</f>
        <v/>
      </c>
    </row>
    <row r="62">
      <c r="A62" s="13" t="n"/>
      <c r="B62" s="8" t="n"/>
      <c r="C62" s="8" t="n"/>
      <c r="D62" s="8" t="n"/>
      <c r="E62" s="11" t="n"/>
      <c r="F62" s="14">
        <f>O61</f>
        <v/>
      </c>
      <c r="G62" s="14">
        <f>E62+F62</f>
        <v/>
      </c>
      <c r="H62" s="11" t="n"/>
      <c r="I62" s="10" t="n"/>
      <c r="J62" s="11" t="n"/>
      <c r="K62" s="10" t="n"/>
      <c r="L62" s="11" t="n"/>
      <c r="M62" s="10" t="n"/>
      <c r="N62" s="14">
        <f>SUM(IF(ISNUMBER(H62),H62,0),IF(ISNUMBER(J62),J62,0),IF(ISNUMBER(L62),L62,0))</f>
        <v/>
      </c>
      <c r="O62" s="14">
        <f>G62-N62</f>
        <v/>
      </c>
      <c r="P62">
        <f>IF(AND($D62="",E62=0,F62=0),"Vacant",IF(O62&lt;-0.004,"Overpaid / Credit",IF(O62&lt;=0.004,"Paid",IF(N62&lt;=0.004,"Unpaid","Partial"))))</f>
        <v/>
      </c>
    </row>
    <row r="63">
      <c r="A63" s="13" t="n"/>
      <c r="B63" s="8" t="n"/>
      <c r="C63" s="8" t="n"/>
      <c r="D63" s="8" t="n"/>
      <c r="E63" s="11" t="n"/>
      <c r="F63" s="14">
        <f>O62</f>
        <v/>
      </c>
      <c r="G63" s="14">
        <f>E63+F63</f>
        <v/>
      </c>
      <c r="H63" s="11" t="n"/>
      <c r="I63" s="10" t="n"/>
      <c r="J63" s="11" t="n"/>
      <c r="K63" s="10" t="n"/>
      <c r="L63" s="11" t="n"/>
      <c r="M63" s="10" t="n"/>
      <c r="N63" s="14">
        <f>SUM(IF(ISNUMBER(H63),H63,0),IF(ISNUMBER(J63),J63,0),IF(ISNUMBER(L63),L63,0))</f>
        <v/>
      </c>
      <c r="O63" s="14">
        <f>G63-N63</f>
        <v/>
      </c>
      <c r="P63">
        <f>IF(AND($D63="",E63=0,F63=0),"Vacant",IF(O63&lt;-0.004,"Overpaid / Credit",IF(O63&lt;=0.004,"Paid",IF(N63&lt;=0.004,"Unpaid","Partial"))))</f>
        <v/>
      </c>
    </row>
    <row r="64">
      <c r="A64" s="13" t="n"/>
      <c r="B64" s="8" t="n"/>
      <c r="C64" s="8" t="n"/>
      <c r="D64" s="8" t="n"/>
      <c r="E64" s="11" t="n"/>
      <c r="F64" s="14">
        <f>O63</f>
        <v/>
      </c>
      <c r="G64" s="14">
        <f>E64+F64</f>
        <v/>
      </c>
      <c r="H64" s="11" t="n"/>
      <c r="I64" s="10" t="n"/>
      <c r="J64" s="11" t="n"/>
      <c r="K64" s="10" t="n"/>
      <c r="L64" s="11" t="n"/>
      <c r="M64" s="10" t="n"/>
      <c r="N64" s="14">
        <f>SUM(IF(ISNUMBER(H64),H64,0),IF(ISNUMBER(J64),J64,0),IF(ISNUMBER(L64),L64,0))</f>
        <v/>
      </c>
      <c r="O64" s="14">
        <f>G64-N64</f>
        <v/>
      </c>
      <c r="P64">
        <f>IF(AND($D64="",E64=0,F64=0),"Vacant",IF(O64&lt;-0.004,"Overpaid / Credit",IF(O64&lt;=0.004,"Paid",IF(N64&lt;=0.004,"Unpaid","Partial"))))</f>
        <v/>
      </c>
    </row>
    <row r="65">
      <c r="A65" s="13" t="n"/>
      <c r="B65" s="8" t="n"/>
      <c r="C65" s="8" t="n"/>
      <c r="D65" s="8" t="n"/>
      <c r="E65" s="11" t="n"/>
      <c r="F65" s="14">
        <f>O64</f>
        <v/>
      </c>
      <c r="G65" s="14">
        <f>E65+F65</f>
        <v/>
      </c>
      <c r="H65" s="11" t="n"/>
      <c r="I65" s="10" t="n"/>
      <c r="J65" s="11" t="n"/>
      <c r="K65" s="10" t="n"/>
      <c r="L65" s="11" t="n"/>
      <c r="M65" s="10" t="n"/>
      <c r="N65" s="14">
        <f>SUM(IF(ISNUMBER(H65),H65,0),IF(ISNUMBER(J65),J65,0),IF(ISNUMBER(L65),L65,0))</f>
        <v/>
      </c>
      <c r="O65" s="14">
        <f>G65-N65</f>
        <v/>
      </c>
      <c r="P65">
        <f>IF(AND($D65="",E65=0,F65=0),"Vacant",IF(O65&lt;-0.004,"Overpaid / Credit",IF(O65&lt;=0.004,"Paid",IF(N65&lt;=0.004,"Unpaid","Partial"))))</f>
        <v/>
      </c>
    </row>
    <row r="66">
      <c r="A66" s="13" t="n"/>
      <c r="B66" s="8" t="n"/>
      <c r="C66" s="8" t="n"/>
      <c r="D66" s="8" t="n"/>
      <c r="E66" s="11" t="n"/>
      <c r="F66" s="14">
        <f>O65</f>
        <v/>
      </c>
      <c r="G66" s="14">
        <f>E66+F66</f>
        <v/>
      </c>
      <c r="H66" s="11" t="n"/>
      <c r="I66" s="10" t="n"/>
      <c r="J66" s="11" t="n"/>
      <c r="K66" s="10" t="n"/>
      <c r="L66" s="11" t="n"/>
      <c r="M66" s="10" t="n"/>
      <c r="N66" s="14">
        <f>SUM(IF(ISNUMBER(H66),H66,0),IF(ISNUMBER(J66),J66,0),IF(ISNUMBER(L66),L66,0))</f>
        <v/>
      </c>
      <c r="O66" s="14">
        <f>G66-N66</f>
        <v/>
      </c>
      <c r="P66">
        <f>IF(AND($D66="",E66=0,F66=0),"Vacant",IF(O66&lt;-0.004,"Overpaid / Credit",IF(O66&lt;=0.004,"Paid",IF(N66&lt;=0.004,"Unpaid","Partial"))))</f>
        <v/>
      </c>
    </row>
    <row r="67">
      <c r="A67" s="13" t="n"/>
      <c r="B67" s="8" t="n"/>
      <c r="C67" s="8" t="n"/>
      <c r="D67" s="8" t="n"/>
      <c r="E67" s="11" t="n"/>
      <c r="F67" s="14">
        <f>O66</f>
        <v/>
      </c>
      <c r="G67" s="14">
        <f>E67+F67</f>
        <v/>
      </c>
      <c r="H67" s="11" t="n"/>
      <c r="I67" s="10" t="n"/>
      <c r="J67" s="11" t="n"/>
      <c r="K67" s="10" t="n"/>
      <c r="L67" s="11" t="n"/>
      <c r="M67" s="10" t="n"/>
      <c r="N67" s="14">
        <f>SUM(IF(ISNUMBER(H67),H67,0),IF(ISNUMBER(J67),J67,0),IF(ISNUMBER(L67),L67,0))</f>
        <v/>
      </c>
      <c r="O67" s="14">
        <f>G67-N67</f>
        <v/>
      </c>
      <c r="P67">
        <f>IF(AND($D67="",E67=0,F67=0),"Vacant",IF(O67&lt;-0.004,"Overpaid / Credit",IF(O67&lt;=0.004,"Paid",IF(N67&lt;=0.004,"Unpaid","Partial"))))</f>
        <v/>
      </c>
    </row>
    <row r="68">
      <c r="A68" s="13" t="n"/>
      <c r="B68" s="8" t="n"/>
      <c r="C68" s="8" t="n"/>
      <c r="D68" s="8" t="n"/>
      <c r="E68" s="11" t="n"/>
      <c r="F68" s="14">
        <f>O67</f>
        <v/>
      </c>
      <c r="G68" s="14">
        <f>E68+F68</f>
        <v/>
      </c>
      <c r="H68" s="11" t="n"/>
      <c r="I68" s="10" t="n"/>
      <c r="J68" s="11" t="n"/>
      <c r="K68" s="10" t="n"/>
      <c r="L68" s="11" t="n"/>
      <c r="M68" s="10" t="n"/>
      <c r="N68" s="14">
        <f>SUM(IF(ISNUMBER(H68),H68,0),IF(ISNUMBER(J68),J68,0),IF(ISNUMBER(L68),L68,0))</f>
        <v/>
      </c>
      <c r="O68" s="14">
        <f>G68-N68</f>
        <v/>
      </c>
      <c r="P68">
        <f>IF(AND($D68="",E68=0,F68=0),"Vacant",IF(O68&lt;-0.004,"Overpaid / Credit",IF(O68&lt;=0.004,"Paid",IF(N68&lt;=0.004,"Unpaid","Partial"))))</f>
        <v/>
      </c>
    </row>
    <row r="69">
      <c r="A69" s="13" t="n"/>
      <c r="B69" s="8" t="n"/>
      <c r="C69" s="8" t="n"/>
      <c r="D69" s="8" t="n"/>
      <c r="E69" s="11" t="n"/>
      <c r="F69" s="14">
        <f>O68</f>
        <v/>
      </c>
      <c r="G69" s="14">
        <f>E69+F69</f>
        <v/>
      </c>
      <c r="H69" s="11" t="n"/>
      <c r="I69" s="10" t="n"/>
      <c r="J69" s="11" t="n"/>
      <c r="K69" s="10" t="n"/>
      <c r="L69" s="11" t="n"/>
      <c r="M69" s="10" t="n"/>
      <c r="N69" s="14">
        <f>SUM(IF(ISNUMBER(H69),H69,0),IF(ISNUMBER(J69),J69,0),IF(ISNUMBER(L69),L69,0))</f>
        <v/>
      </c>
      <c r="O69" s="14">
        <f>G69-N69</f>
        <v/>
      </c>
      <c r="P69">
        <f>IF(AND($D69="",E69=0,F69=0),"Vacant",IF(O69&lt;-0.004,"Overpaid / Credit",IF(O69&lt;=0.004,"Paid",IF(N69&lt;=0.004,"Unpaid","Partial"))))</f>
        <v/>
      </c>
    </row>
    <row r="70">
      <c r="A70" s="13" t="n"/>
      <c r="B70" s="8" t="n"/>
      <c r="C70" s="8" t="n"/>
      <c r="D70" s="8" t="n"/>
      <c r="E70" s="11" t="n"/>
      <c r="F70" s="11" t="n">
        <v>0</v>
      </c>
      <c r="G70" s="14">
        <f>E70+F70</f>
        <v/>
      </c>
      <c r="H70" s="11" t="n"/>
      <c r="I70" s="10" t="n"/>
      <c r="J70" s="11" t="n"/>
      <c r="K70" s="10" t="n"/>
      <c r="L70" s="11" t="n"/>
      <c r="M70" s="10" t="n"/>
      <c r="N70" s="14">
        <f>SUM(IF(ISNUMBER(H70),H70,0),IF(ISNUMBER(J70),J70,0),IF(ISNUMBER(L70),L70,0))</f>
        <v/>
      </c>
      <c r="O70" s="14">
        <f>G70-N70</f>
        <v/>
      </c>
      <c r="P70">
        <f>IF(AND($D70="",E70=0,F70=0),"Vacant",IF(O70&lt;-0.004,"Overpaid / Credit",IF(O70&lt;=0.004,"Paid",IF(N70&lt;=0.004,"Unpaid","Partial"))))</f>
        <v/>
      </c>
    </row>
    <row r="71">
      <c r="A71" s="13" t="n"/>
      <c r="B71" s="8" t="n"/>
      <c r="C71" s="8" t="n"/>
      <c r="D71" s="8" t="n"/>
      <c r="E71" s="11" t="n"/>
      <c r="F71" s="14">
        <f>O70</f>
        <v/>
      </c>
      <c r="G71" s="14">
        <f>E71+F71</f>
        <v/>
      </c>
      <c r="H71" s="11" t="n"/>
      <c r="I71" s="10" t="n"/>
      <c r="J71" s="11" t="n"/>
      <c r="K71" s="10" t="n"/>
      <c r="L71" s="11" t="n"/>
      <c r="M71" s="10" t="n"/>
      <c r="N71" s="14">
        <f>SUM(IF(ISNUMBER(H71),H71,0),IF(ISNUMBER(J71),J71,0),IF(ISNUMBER(L71),L71,0))</f>
        <v/>
      </c>
      <c r="O71" s="14">
        <f>G71-N71</f>
        <v/>
      </c>
      <c r="P71">
        <f>IF(AND($D71="",E71=0,F71=0),"Vacant",IF(O71&lt;-0.004,"Overpaid / Credit",IF(O71&lt;=0.004,"Paid",IF(N71&lt;=0.004,"Unpaid","Partial"))))</f>
        <v/>
      </c>
    </row>
    <row r="72">
      <c r="A72" s="13" t="n"/>
      <c r="B72" s="8" t="n"/>
      <c r="C72" s="8" t="n"/>
      <c r="D72" s="8" t="n"/>
      <c r="E72" s="11" t="n"/>
      <c r="F72" s="14">
        <f>O71</f>
        <v/>
      </c>
      <c r="G72" s="14">
        <f>E72+F72</f>
        <v/>
      </c>
      <c r="H72" s="11" t="n"/>
      <c r="I72" s="10" t="n"/>
      <c r="J72" s="11" t="n"/>
      <c r="K72" s="10" t="n"/>
      <c r="L72" s="11" t="n"/>
      <c r="M72" s="10" t="n"/>
      <c r="N72" s="14">
        <f>SUM(IF(ISNUMBER(H72),H72,0),IF(ISNUMBER(J72),J72,0),IF(ISNUMBER(L72),L72,0))</f>
        <v/>
      </c>
      <c r="O72" s="14">
        <f>G72-N72</f>
        <v/>
      </c>
      <c r="P72">
        <f>IF(AND($D72="",E72=0,F72=0),"Vacant",IF(O72&lt;-0.004,"Overpaid / Credit",IF(O72&lt;=0.004,"Paid",IF(N72&lt;=0.004,"Unpaid","Partial"))))</f>
        <v/>
      </c>
    </row>
    <row r="73">
      <c r="A73" s="13" t="n"/>
      <c r="B73" s="8" t="n"/>
      <c r="C73" s="8" t="n"/>
      <c r="D73" s="8" t="n"/>
      <c r="E73" s="11" t="n"/>
      <c r="F73" s="14">
        <f>O72</f>
        <v/>
      </c>
      <c r="G73" s="14">
        <f>E73+F73</f>
        <v/>
      </c>
      <c r="H73" s="11" t="n"/>
      <c r="I73" s="10" t="n"/>
      <c r="J73" s="11" t="n"/>
      <c r="K73" s="10" t="n"/>
      <c r="L73" s="11" t="n"/>
      <c r="M73" s="10" t="n"/>
      <c r="N73" s="14">
        <f>SUM(IF(ISNUMBER(H73),H73,0),IF(ISNUMBER(J73),J73,0),IF(ISNUMBER(L73),L73,0))</f>
        <v/>
      </c>
      <c r="O73" s="14">
        <f>G73-N73</f>
        <v/>
      </c>
      <c r="P73">
        <f>IF(AND($D73="",E73=0,F73=0),"Vacant",IF(O73&lt;-0.004,"Overpaid / Credit",IF(O73&lt;=0.004,"Paid",IF(N73&lt;=0.004,"Unpaid","Partial"))))</f>
        <v/>
      </c>
    </row>
    <row r="74">
      <c r="A74" s="13" t="n"/>
      <c r="B74" s="8" t="n"/>
      <c r="C74" s="8" t="n"/>
      <c r="D74" s="8" t="n"/>
      <c r="E74" s="11" t="n"/>
      <c r="F74" s="14">
        <f>O73</f>
        <v/>
      </c>
      <c r="G74" s="14">
        <f>E74+F74</f>
        <v/>
      </c>
      <c r="H74" s="11" t="n"/>
      <c r="I74" s="10" t="n"/>
      <c r="J74" s="11" t="n"/>
      <c r="K74" s="10" t="n"/>
      <c r="L74" s="11" t="n"/>
      <c r="M74" s="10" t="n"/>
      <c r="N74" s="14">
        <f>SUM(IF(ISNUMBER(H74),H74,0),IF(ISNUMBER(J74),J74,0),IF(ISNUMBER(L74),L74,0))</f>
        <v/>
      </c>
      <c r="O74" s="14">
        <f>G74-N74</f>
        <v/>
      </c>
      <c r="P74">
        <f>IF(AND($D74="",E74=0,F74=0),"Vacant",IF(O74&lt;-0.004,"Overpaid / Credit",IF(O74&lt;=0.004,"Paid",IF(N74&lt;=0.004,"Unpaid","Partial"))))</f>
        <v/>
      </c>
    </row>
    <row r="75">
      <c r="A75" s="13" t="n"/>
      <c r="B75" s="8" t="n"/>
      <c r="C75" s="8" t="n"/>
      <c r="D75" s="8" t="n"/>
      <c r="E75" s="11" t="n"/>
      <c r="F75" s="14">
        <f>O74</f>
        <v/>
      </c>
      <c r="G75" s="14">
        <f>E75+F75</f>
        <v/>
      </c>
      <c r="H75" s="11" t="n"/>
      <c r="I75" s="10" t="n"/>
      <c r="J75" s="11" t="n"/>
      <c r="K75" s="10" t="n"/>
      <c r="L75" s="11" t="n"/>
      <c r="M75" s="10" t="n"/>
      <c r="N75" s="14">
        <f>SUM(IF(ISNUMBER(H75),H75,0),IF(ISNUMBER(J75),J75,0),IF(ISNUMBER(L75),L75,0))</f>
        <v/>
      </c>
      <c r="O75" s="14">
        <f>G75-N75</f>
        <v/>
      </c>
      <c r="P75">
        <f>IF(AND($D75="",E75=0,F75=0),"Vacant",IF(O75&lt;-0.004,"Overpaid / Credit",IF(O75&lt;=0.004,"Paid",IF(N75&lt;=0.004,"Unpaid","Partial"))))</f>
        <v/>
      </c>
    </row>
    <row r="76">
      <c r="A76" s="13" t="n"/>
      <c r="B76" s="8" t="n"/>
      <c r="C76" s="8" t="n"/>
      <c r="D76" s="8" t="n"/>
      <c r="E76" s="11" t="n"/>
      <c r="F76" s="14">
        <f>O75</f>
        <v/>
      </c>
      <c r="G76" s="14">
        <f>E76+F76</f>
        <v/>
      </c>
      <c r="H76" s="11" t="n"/>
      <c r="I76" s="10" t="n"/>
      <c r="J76" s="11" t="n"/>
      <c r="K76" s="10" t="n"/>
      <c r="L76" s="11" t="n"/>
      <c r="M76" s="10" t="n"/>
      <c r="N76" s="14">
        <f>SUM(IF(ISNUMBER(H76),H76,0),IF(ISNUMBER(J76),J76,0),IF(ISNUMBER(L76),L76,0))</f>
        <v/>
      </c>
      <c r="O76" s="14">
        <f>G76-N76</f>
        <v/>
      </c>
      <c r="P76">
        <f>IF(AND($D76="",E76=0,F76=0),"Vacant",IF(O76&lt;-0.004,"Overpaid / Credit",IF(O76&lt;=0.004,"Paid",IF(N76&lt;=0.004,"Unpaid","Partial"))))</f>
        <v/>
      </c>
    </row>
    <row r="77">
      <c r="A77" s="13" t="n"/>
      <c r="B77" s="8" t="n"/>
      <c r="C77" s="8" t="n"/>
      <c r="D77" s="8" t="n"/>
      <c r="E77" s="11" t="n"/>
      <c r="F77" s="14">
        <f>O76</f>
        <v/>
      </c>
      <c r="G77" s="14">
        <f>E77+F77</f>
        <v/>
      </c>
      <c r="H77" s="11" t="n"/>
      <c r="I77" s="10" t="n"/>
      <c r="J77" s="11" t="n"/>
      <c r="K77" s="10" t="n"/>
      <c r="L77" s="11" t="n"/>
      <c r="M77" s="10" t="n"/>
      <c r="N77" s="14">
        <f>SUM(IF(ISNUMBER(H77),H77,0),IF(ISNUMBER(J77),J77,0),IF(ISNUMBER(L77),L77,0))</f>
        <v/>
      </c>
      <c r="O77" s="14">
        <f>G77-N77</f>
        <v/>
      </c>
      <c r="P77">
        <f>IF(AND($D77="",E77=0,F77=0),"Vacant",IF(O77&lt;-0.004,"Overpaid / Credit",IF(O77&lt;=0.004,"Paid",IF(N77&lt;=0.004,"Unpaid","Partial"))))</f>
        <v/>
      </c>
    </row>
    <row r="78">
      <c r="A78" s="13" t="n"/>
      <c r="B78" s="8" t="n"/>
      <c r="C78" s="8" t="n"/>
      <c r="D78" s="8" t="n"/>
      <c r="E78" s="11" t="n"/>
      <c r="F78" s="14">
        <f>O77</f>
        <v/>
      </c>
      <c r="G78" s="14">
        <f>E78+F78</f>
        <v/>
      </c>
      <c r="H78" s="11" t="n"/>
      <c r="I78" s="10" t="n"/>
      <c r="J78" s="11" t="n"/>
      <c r="K78" s="10" t="n"/>
      <c r="L78" s="11" t="n"/>
      <c r="M78" s="10" t="n"/>
      <c r="N78" s="14">
        <f>SUM(IF(ISNUMBER(H78),H78,0),IF(ISNUMBER(J78),J78,0),IF(ISNUMBER(L78),L78,0))</f>
        <v/>
      </c>
      <c r="O78" s="14">
        <f>G78-N78</f>
        <v/>
      </c>
      <c r="P78">
        <f>IF(AND($D78="",E78=0,F78=0),"Vacant",IF(O78&lt;-0.004,"Overpaid / Credit",IF(O78&lt;=0.004,"Paid",IF(N78&lt;=0.004,"Unpaid","Partial"))))</f>
        <v/>
      </c>
    </row>
    <row r="79">
      <c r="A79" s="13" t="n"/>
      <c r="B79" s="8" t="n"/>
      <c r="C79" s="8" t="n"/>
      <c r="D79" s="8" t="n"/>
      <c r="E79" s="11" t="n"/>
      <c r="F79" s="14">
        <f>O78</f>
        <v/>
      </c>
      <c r="G79" s="14">
        <f>E79+F79</f>
        <v/>
      </c>
      <c r="H79" s="11" t="n"/>
      <c r="I79" s="10" t="n"/>
      <c r="J79" s="11" t="n"/>
      <c r="K79" s="10" t="n"/>
      <c r="L79" s="11" t="n"/>
      <c r="M79" s="10" t="n"/>
      <c r="N79" s="14">
        <f>SUM(IF(ISNUMBER(H79),H79,0),IF(ISNUMBER(J79),J79,0),IF(ISNUMBER(L79),L79,0))</f>
        <v/>
      </c>
      <c r="O79" s="14">
        <f>G79-N79</f>
        <v/>
      </c>
      <c r="P79">
        <f>IF(AND($D79="",E79=0,F79=0),"Vacant",IF(O79&lt;-0.004,"Overpaid / Credit",IF(O79&lt;=0.004,"Paid",IF(N79&lt;=0.004,"Unpaid","Partial"))))</f>
        <v/>
      </c>
    </row>
    <row r="80">
      <c r="A80" s="13" t="n"/>
      <c r="B80" s="8" t="n"/>
      <c r="C80" s="8" t="n"/>
      <c r="D80" s="8" t="n"/>
      <c r="E80" s="11" t="n"/>
      <c r="F80" s="14">
        <f>O79</f>
        <v/>
      </c>
      <c r="G80" s="14">
        <f>E80+F80</f>
        <v/>
      </c>
      <c r="H80" s="11" t="n"/>
      <c r="I80" s="10" t="n"/>
      <c r="J80" s="11" t="n"/>
      <c r="K80" s="10" t="n"/>
      <c r="L80" s="11" t="n"/>
      <c r="M80" s="10" t="n"/>
      <c r="N80" s="14">
        <f>SUM(IF(ISNUMBER(H80),H80,0),IF(ISNUMBER(J80),J80,0),IF(ISNUMBER(L80),L80,0))</f>
        <v/>
      </c>
      <c r="O80" s="14">
        <f>G80-N80</f>
        <v/>
      </c>
      <c r="P80">
        <f>IF(AND($D80="",E80=0,F80=0),"Vacant",IF(O80&lt;-0.004,"Overpaid / Credit",IF(O80&lt;=0.004,"Paid",IF(N80&lt;=0.004,"Unpaid","Partial"))))</f>
        <v/>
      </c>
    </row>
    <row r="81">
      <c r="A81" s="13" t="n"/>
      <c r="B81" s="8" t="n"/>
      <c r="C81" s="8" t="n"/>
      <c r="D81" s="8" t="n"/>
      <c r="E81" s="11" t="n"/>
      <c r="F81" s="14">
        <f>O80</f>
        <v/>
      </c>
      <c r="G81" s="14">
        <f>E81+F81</f>
        <v/>
      </c>
      <c r="H81" s="11" t="n"/>
      <c r="I81" s="10" t="n"/>
      <c r="J81" s="11" t="n"/>
      <c r="K81" s="10" t="n"/>
      <c r="L81" s="11" t="n"/>
      <c r="M81" s="10" t="n"/>
      <c r="N81" s="14">
        <f>SUM(IF(ISNUMBER(H81),H81,0),IF(ISNUMBER(J81),J81,0),IF(ISNUMBER(L81),L81,0))</f>
        <v/>
      </c>
      <c r="O81" s="14">
        <f>G81-N81</f>
        <v/>
      </c>
      <c r="P81">
        <f>IF(AND($D81="",E81=0,F81=0),"Vacant",IF(O81&lt;-0.004,"Overpaid / Credit",IF(O81&lt;=0.004,"Paid",IF(N81&lt;=0.004,"Unpaid","Partial"))))</f>
        <v/>
      </c>
    </row>
    <row r="82">
      <c r="A82" s="13" t="n"/>
      <c r="B82" s="8" t="n"/>
      <c r="C82" s="8" t="n"/>
      <c r="D82" s="8" t="n"/>
      <c r="E82" s="11" t="n"/>
      <c r="F82" s="11" t="n">
        <v>0</v>
      </c>
      <c r="G82" s="14">
        <f>E82+F82</f>
        <v/>
      </c>
      <c r="H82" s="11" t="n"/>
      <c r="I82" s="10" t="n"/>
      <c r="J82" s="11" t="n"/>
      <c r="K82" s="10" t="n"/>
      <c r="L82" s="11" t="n"/>
      <c r="M82" s="10" t="n"/>
      <c r="N82" s="14">
        <f>SUM(IF(ISNUMBER(H82),H82,0),IF(ISNUMBER(J82),J82,0),IF(ISNUMBER(L82),L82,0))</f>
        <v/>
      </c>
      <c r="O82" s="14">
        <f>G82-N82</f>
        <v/>
      </c>
      <c r="P82">
        <f>IF(AND($D82="",E82=0,F82=0),"Vacant",IF(O82&lt;-0.004,"Overpaid / Credit",IF(O82&lt;=0.004,"Paid",IF(N82&lt;=0.004,"Unpaid","Partial"))))</f>
        <v/>
      </c>
    </row>
    <row r="83">
      <c r="A83" s="13" t="n"/>
      <c r="B83" s="8" t="n"/>
      <c r="C83" s="8" t="n"/>
      <c r="D83" s="8" t="n"/>
      <c r="E83" s="11" t="n"/>
      <c r="F83" s="14">
        <f>O82</f>
        <v/>
      </c>
      <c r="G83" s="14">
        <f>E83+F83</f>
        <v/>
      </c>
      <c r="H83" s="11" t="n"/>
      <c r="I83" s="10" t="n"/>
      <c r="J83" s="11" t="n"/>
      <c r="K83" s="10" t="n"/>
      <c r="L83" s="11" t="n"/>
      <c r="M83" s="10" t="n"/>
      <c r="N83" s="14">
        <f>SUM(IF(ISNUMBER(H83),H83,0),IF(ISNUMBER(J83),J83,0),IF(ISNUMBER(L83),L83,0))</f>
        <v/>
      </c>
      <c r="O83" s="14">
        <f>G83-N83</f>
        <v/>
      </c>
      <c r="P83">
        <f>IF(AND($D83="",E83=0,F83=0),"Vacant",IF(O83&lt;-0.004,"Overpaid / Credit",IF(O83&lt;=0.004,"Paid",IF(N83&lt;=0.004,"Unpaid","Partial"))))</f>
        <v/>
      </c>
    </row>
    <row r="84">
      <c r="A84" s="13" t="n"/>
      <c r="B84" s="8" t="n"/>
      <c r="C84" s="8" t="n"/>
      <c r="D84" s="8" t="n"/>
      <c r="E84" s="11" t="n"/>
      <c r="F84" s="14">
        <f>O83</f>
        <v/>
      </c>
      <c r="G84" s="14">
        <f>E84+F84</f>
        <v/>
      </c>
      <c r="H84" s="11" t="n"/>
      <c r="I84" s="10" t="n"/>
      <c r="J84" s="11" t="n"/>
      <c r="K84" s="10" t="n"/>
      <c r="L84" s="11" t="n"/>
      <c r="M84" s="10" t="n"/>
      <c r="N84" s="14">
        <f>SUM(IF(ISNUMBER(H84),H84,0),IF(ISNUMBER(J84),J84,0),IF(ISNUMBER(L84),L84,0))</f>
        <v/>
      </c>
      <c r="O84" s="14">
        <f>G84-N84</f>
        <v/>
      </c>
      <c r="P84">
        <f>IF(AND($D84="",E84=0,F84=0),"Vacant",IF(O84&lt;-0.004,"Overpaid / Credit",IF(O84&lt;=0.004,"Paid",IF(N84&lt;=0.004,"Unpaid","Partial"))))</f>
        <v/>
      </c>
    </row>
    <row r="85">
      <c r="A85" s="13" t="n"/>
      <c r="B85" s="8" t="n"/>
      <c r="C85" s="8" t="n"/>
      <c r="D85" s="8" t="n"/>
      <c r="E85" s="11" t="n"/>
      <c r="F85" s="14">
        <f>O84</f>
        <v/>
      </c>
      <c r="G85" s="14">
        <f>E85+F85</f>
        <v/>
      </c>
      <c r="H85" s="11" t="n"/>
      <c r="I85" s="10" t="n"/>
      <c r="J85" s="11" t="n"/>
      <c r="K85" s="10" t="n"/>
      <c r="L85" s="11" t="n"/>
      <c r="M85" s="10" t="n"/>
      <c r="N85" s="14">
        <f>SUM(IF(ISNUMBER(H85),H85,0),IF(ISNUMBER(J85),J85,0),IF(ISNUMBER(L85),L85,0))</f>
        <v/>
      </c>
      <c r="O85" s="14">
        <f>G85-N85</f>
        <v/>
      </c>
      <c r="P85">
        <f>IF(AND($D85="",E85=0,F85=0),"Vacant",IF(O85&lt;-0.004,"Overpaid / Credit",IF(O85&lt;=0.004,"Paid",IF(N85&lt;=0.004,"Unpaid","Partial"))))</f>
        <v/>
      </c>
    </row>
    <row r="86">
      <c r="A86" s="13" t="n"/>
      <c r="B86" s="8" t="n"/>
      <c r="C86" s="8" t="n"/>
      <c r="D86" s="8" t="n"/>
      <c r="E86" s="11" t="n"/>
      <c r="F86" s="14">
        <f>O85</f>
        <v/>
      </c>
      <c r="G86" s="14">
        <f>E86+F86</f>
        <v/>
      </c>
      <c r="H86" s="11" t="n"/>
      <c r="I86" s="10" t="n"/>
      <c r="J86" s="11" t="n"/>
      <c r="K86" s="10" t="n"/>
      <c r="L86" s="11" t="n"/>
      <c r="M86" s="10" t="n"/>
      <c r="N86" s="14">
        <f>SUM(IF(ISNUMBER(H86),H86,0),IF(ISNUMBER(J86),J86,0),IF(ISNUMBER(L86),L86,0))</f>
        <v/>
      </c>
      <c r="O86" s="14">
        <f>G86-N86</f>
        <v/>
      </c>
      <c r="P86">
        <f>IF(AND($D86="",E86=0,F86=0),"Vacant",IF(O86&lt;-0.004,"Overpaid / Credit",IF(O86&lt;=0.004,"Paid",IF(N86&lt;=0.004,"Unpaid","Partial"))))</f>
        <v/>
      </c>
    </row>
    <row r="87">
      <c r="A87" s="13" t="n"/>
      <c r="B87" s="8" t="n"/>
      <c r="C87" s="8" t="n"/>
      <c r="D87" s="8" t="n"/>
      <c r="E87" s="11" t="n"/>
      <c r="F87" s="14">
        <f>O86</f>
        <v/>
      </c>
      <c r="G87" s="14">
        <f>E87+F87</f>
        <v/>
      </c>
      <c r="H87" s="11" t="n"/>
      <c r="I87" s="10" t="n"/>
      <c r="J87" s="11" t="n"/>
      <c r="K87" s="10" t="n"/>
      <c r="L87" s="11" t="n"/>
      <c r="M87" s="10" t="n"/>
      <c r="N87" s="14">
        <f>SUM(IF(ISNUMBER(H87),H87,0),IF(ISNUMBER(J87),J87,0),IF(ISNUMBER(L87),L87,0))</f>
        <v/>
      </c>
      <c r="O87" s="14">
        <f>G87-N87</f>
        <v/>
      </c>
      <c r="P87">
        <f>IF(AND($D87="",E87=0,F87=0),"Vacant",IF(O87&lt;-0.004,"Overpaid / Credit",IF(O87&lt;=0.004,"Paid",IF(N87&lt;=0.004,"Unpaid","Partial"))))</f>
        <v/>
      </c>
    </row>
    <row r="88">
      <c r="A88" s="13" t="n"/>
      <c r="B88" s="8" t="n"/>
      <c r="C88" s="8" t="n"/>
      <c r="D88" s="8" t="n"/>
      <c r="E88" s="11" t="n"/>
      <c r="F88" s="14">
        <f>O87</f>
        <v/>
      </c>
      <c r="G88" s="14">
        <f>E88+F88</f>
        <v/>
      </c>
      <c r="H88" s="11" t="n"/>
      <c r="I88" s="10" t="n"/>
      <c r="J88" s="11" t="n"/>
      <c r="K88" s="10" t="n"/>
      <c r="L88" s="11" t="n"/>
      <c r="M88" s="10" t="n"/>
      <c r="N88" s="14">
        <f>SUM(IF(ISNUMBER(H88),H88,0),IF(ISNUMBER(J88),J88,0),IF(ISNUMBER(L88),L88,0))</f>
        <v/>
      </c>
      <c r="O88" s="14">
        <f>G88-N88</f>
        <v/>
      </c>
      <c r="P88">
        <f>IF(AND($D88="",E88=0,F88=0),"Vacant",IF(O88&lt;-0.004,"Overpaid / Credit",IF(O88&lt;=0.004,"Paid",IF(N88&lt;=0.004,"Unpaid","Partial"))))</f>
        <v/>
      </c>
    </row>
    <row r="89">
      <c r="A89" s="13" t="n"/>
      <c r="B89" s="8" t="n"/>
      <c r="C89" s="8" t="n"/>
      <c r="D89" s="8" t="n"/>
      <c r="E89" s="11" t="n"/>
      <c r="F89" s="14">
        <f>O88</f>
        <v/>
      </c>
      <c r="G89" s="14">
        <f>E89+F89</f>
        <v/>
      </c>
      <c r="H89" s="11" t="n"/>
      <c r="I89" s="10" t="n"/>
      <c r="J89" s="11" t="n"/>
      <c r="K89" s="10" t="n"/>
      <c r="L89" s="11" t="n"/>
      <c r="M89" s="10" t="n"/>
      <c r="N89" s="14">
        <f>SUM(IF(ISNUMBER(H89),H89,0),IF(ISNUMBER(J89),J89,0),IF(ISNUMBER(L89),L89,0))</f>
        <v/>
      </c>
      <c r="O89" s="14">
        <f>G89-N89</f>
        <v/>
      </c>
      <c r="P89">
        <f>IF(AND($D89="",E89=0,F89=0),"Vacant",IF(O89&lt;-0.004,"Overpaid / Credit",IF(O89&lt;=0.004,"Paid",IF(N89&lt;=0.004,"Unpaid","Partial"))))</f>
        <v/>
      </c>
    </row>
    <row r="90">
      <c r="A90" s="13" t="n"/>
      <c r="B90" s="8" t="n"/>
      <c r="C90" s="8" t="n"/>
      <c r="D90" s="8" t="n"/>
      <c r="E90" s="11" t="n"/>
      <c r="F90" s="14">
        <f>O89</f>
        <v/>
      </c>
      <c r="G90" s="14">
        <f>E90+F90</f>
        <v/>
      </c>
      <c r="H90" s="11" t="n"/>
      <c r="I90" s="10" t="n"/>
      <c r="J90" s="11" t="n"/>
      <c r="K90" s="10" t="n"/>
      <c r="L90" s="11" t="n"/>
      <c r="M90" s="10" t="n"/>
      <c r="N90" s="14">
        <f>SUM(IF(ISNUMBER(H90),H90,0),IF(ISNUMBER(J90),J90,0),IF(ISNUMBER(L90),L90,0))</f>
        <v/>
      </c>
      <c r="O90" s="14">
        <f>G90-N90</f>
        <v/>
      </c>
      <c r="P90">
        <f>IF(AND($D90="",E90=0,F90=0),"Vacant",IF(O90&lt;-0.004,"Overpaid / Credit",IF(O90&lt;=0.004,"Paid",IF(N90&lt;=0.004,"Unpaid","Partial"))))</f>
        <v/>
      </c>
    </row>
    <row r="91">
      <c r="A91" s="13" t="n"/>
      <c r="B91" s="8" t="n"/>
      <c r="C91" s="8" t="n"/>
      <c r="D91" s="8" t="n"/>
      <c r="E91" s="11" t="n"/>
      <c r="F91" s="14">
        <f>O90</f>
        <v/>
      </c>
      <c r="G91" s="14">
        <f>E91+F91</f>
        <v/>
      </c>
      <c r="H91" s="11" t="n"/>
      <c r="I91" s="10" t="n"/>
      <c r="J91" s="11" t="n"/>
      <c r="K91" s="10" t="n"/>
      <c r="L91" s="11" t="n"/>
      <c r="M91" s="10" t="n"/>
      <c r="N91" s="14">
        <f>SUM(IF(ISNUMBER(H91),H91,0),IF(ISNUMBER(J91),J91,0),IF(ISNUMBER(L91),L91,0))</f>
        <v/>
      </c>
      <c r="O91" s="14">
        <f>G91-N91</f>
        <v/>
      </c>
      <c r="P91">
        <f>IF(AND($D91="",E91=0,F91=0),"Vacant",IF(O91&lt;-0.004,"Overpaid / Credit",IF(O91&lt;=0.004,"Paid",IF(N91&lt;=0.004,"Unpaid","Partial"))))</f>
        <v/>
      </c>
    </row>
    <row r="92">
      <c r="A92" s="13" t="n"/>
      <c r="B92" s="8" t="n"/>
      <c r="C92" s="8" t="n"/>
      <c r="D92" s="8" t="n"/>
      <c r="E92" s="11" t="n"/>
      <c r="F92" s="14">
        <f>O91</f>
        <v/>
      </c>
      <c r="G92" s="14">
        <f>E92+F92</f>
        <v/>
      </c>
      <c r="H92" s="11" t="n"/>
      <c r="I92" s="10" t="n"/>
      <c r="J92" s="11" t="n"/>
      <c r="K92" s="10" t="n"/>
      <c r="L92" s="11" t="n"/>
      <c r="M92" s="10" t="n"/>
      <c r="N92" s="14">
        <f>SUM(IF(ISNUMBER(H92),H92,0),IF(ISNUMBER(J92),J92,0),IF(ISNUMBER(L92),L92,0))</f>
        <v/>
      </c>
      <c r="O92" s="14">
        <f>G92-N92</f>
        <v/>
      </c>
      <c r="P92">
        <f>IF(AND($D92="",E92=0,F92=0),"Vacant",IF(O92&lt;-0.004,"Overpaid / Credit",IF(O92&lt;=0.004,"Paid",IF(N92&lt;=0.004,"Unpaid","Partial"))))</f>
        <v/>
      </c>
    </row>
    <row r="93">
      <c r="A93" s="13" t="n"/>
      <c r="B93" s="8" t="n"/>
      <c r="C93" s="8" t="n"/>
      <c r="D93" s="8" t="n"/>
      <c r="E93" s="11" t="n"/>
      <c r="F93" s="14">
        <f>O92</f>
        <v/>
      </c>
      <c r="G93" s="14">
        <f>E93+F93</f>
        <v/>
      </c>
      <c r="H93" s="11" t="n"/>
      <c r="I93" s="10" t="n"/>
      <c r="J93" s="11" t="n"/>
      <c r="K93" s="10" t="n"/>
      <c r="L93" s="11" t="n"/>
      <c r="M93" s="10" t="n"/>
      <c r="N93" s="14">
        <f>SUM(IF(ISNUMBER(H93),H93,0),IF(ISNUMBER(J93),J93,0),IF(ISNUMBER(L93),L93,0))</f>
        <v/>
      </c>
      <c r="O93" s="14">
        <f>G93-N93</f>
        <v/>
      </c>
      <c r="P93">
        <f>IF(AND($D93="",E93=0,F93=0),"Vacant",IF(O93&lt;-0.004,"Overpaid / Credit",IF(O93&lt;=0.004,"Paid",IF(N93&lt;=0.004,"Unpaid","Partial"))))</f>
        <v/>
      </c>
    </row>
    <row r="94">
      <c r="A94" s="13" t="n"/>
      <c r="B94" s="8" t="n"/>
      <c r="C94" s="8" t="n"/>
      <c r="D94" s="8" t="n"/>
      <c r="E94" s="11" t="n"/>
      <c r="F94" s="11" t="n">
        <v>0</v>
      </c>
      <c r="G94" s="14">
        <f>E94+F94</f>
        <v/>
      </c>
      <c r="H94" s="11" t="n"/>
      <c r="I94" s="10" t="n"/>
      <c r="J94" s="11" t="n"/>
      <c r="K94" s="10" t="n"/>
      <c r="L94" s="11" t="n"/>
      <c r="M94" s="10" t="n"/>
      <c r="N94" s="14">
        <f>SUM(IF(ISNUMBER(H94),H94,0),IF(ISNUMBER(J94),J94,0),IF(ISNUMBER(L94),L94,0))</f>
        <v/>
      </c>
      <c r="O94" s="14">
        <f>G94-N94</f>
        <v/>
      </c>
      <c r="P94">
        <f>IF(AND($D94="",E94=0,F94=0),"Vacant",IF(O94&lt;-0.004,"Overpaid / Credit",IF(O94&lt;=0.004,"Paid",IF(N94&lt;=0.004,"Unpaid","Partial"))))</f>
        <v/>
      </c>
    </row>
    <row r="95">
      <c r="A95" s="13" t="n"/>
      <c r="B95" s="8" t="n"/>
      <c r="C95" s="8" t="n"/>
      <c r="D95" s="8" t="n"/>
      <c r="E95" s="11" t="n"/>
      <c r="F95" s="14">
        <f>O94</f>
        <v/>
      </c>
      <c r="G95" s="14">
        <f>E95+F95</f>
        <v/>
      </c>
      <c r="H95" s="11" t="n"/>
      <c r="I95" s="10" t="n"/>
      <c r="J95" s="11" t="n"/>
      <c r="K95" s="10" t="n"/>
      <c r="L95" s="11" t="n"/>
      <c r="M95" s="10" t="n"/>
      <c r="N95" s="14">
        <f>SUM(IF(ISNUMBER(H95),H95,0),IF(ISNUMBER(J95),J95,0),IF(ISNUMBER(L95),L95,0))</f>
        <v/>
      </c>
      <c r="O95" s="14">
        <f>G95-N95</f>
        <v/>
      </c>
      <c r="P95">
        <f>IF(AND($D95="",E95=0,F95=0),"Vacant",IF(O95&lt;-0.004,"Overpaid / Credit",IF(O95&lt;=0.004,"Paid",IF(N95&lt;=0.004,"Unpaid","Partial"))))</f>
        <v/>
      </c>
    </row>
    <row r="96">
      <c r="A96" s="13" t="n"/>
      <c r="B96" s="8" t="n"/>
      <c r="C96" s="8" t="n"/>
      <c r="D96" s="8" t="n"/>
      <c r="E96" s="11" t="n"/>
      <c r="F96" s="14">
        <f>O95</f>
        <v/>
      </c>
      <c r="G96" s="14">
        <f>E96+F96</f>
        <v/>
      </c>
      <c r="H96" s="11" t="n"/>
      <c r="I96" s="10" t="n"/>
      <c r="J96" s="11" t="n"/>
      <c r="K96" s="10" t="n"/>
      <c r="L96" s="11" t="n"/>
      <c r="M96" s="10" t="n"/>
      <c r="N96" s="14">
        <f>SUM(IF(ISNUMBER(H96),H96,0),IF(ISNUMBER(J96),J96,0),IF(ISNUMBER(L96),L96,0))</f>
        <v/>
      </c>
      <c r="O96" s="14">
        <f>G96-N96</f>
        <v/>
      </c>
      <c r="P96">
        <f>IF(AND($D96="",E96=0,F96=0),"Vacant",IF(O96&lt;-0.004,"Overpaid / Credit",IF(O96&lt;=0.004,"Paid",IF(N96&lt;=0.004,"Unpaid","Partial"))))</f>
        <v/>
      </c>
    </row>
    <row r="97">
      <c r="A97" s="13" t="n"/>
      <c r="B97" s="8" t="n"/>
      <c r="C97" s="8" t="n"/>
      <c r="D97" s="8" t="n"/>
      <c r="E97" s="11" t="n"/>
      <c r="F97" s="14">
        <f>O96</f>
        <v/>
      </c>
      <c r="G97" s="14">
        <f>E97+F97</f>
        <v/>
      </c>
      <c r="H97" s="11" t="n"/>
      <c r="I97" s="10" t="n"/>
      <c r="J97" s="11" t="n"/>
      <c r="K97" s="10" t="n"/>
      <c r="L97" s="11" t="n"/>
      <c r="M97" s="10" t="n"/>
      <c r="N97" s="14">
        <f>SUM(IF(ISNUMBER(H97),H97,0),IF(ISNUMBER(J97),J97,0),IF(ISNUMBER(L97),L97,0))</f>
        <v/>
      </c>
      <c r="O97" s="14">
        <f>G97-N97</f>
        <v/>
      </c>
      <c r="P97">
        <f>IF(AND($D97="",E97=0,F97=0),"Vacant",IF(O97&lt;-0.004,"Overpaid / Credit",IF(O97&lt;=0.004,"Paid",IF(N97&lt;=0.004,"Unpaid","Partial"))))</f>
        <v/>
      </c>
    </row>
    <row r="98">
      <c r="A98" s="13" t="n"/>
      <c r="B98" s="8" t="n"/>
      <c r="C98" s="8" t="n"/>
      <c r="D98" s="8" t="n"/>
      <c r="E98" s="11" t="n"/>
      <c r="F98" s="14">
        <f>O97</f>
        <v/>
      </c>
      <c r="G98" s="14">
        <f>E98+F98</f>
        <v/>
      </c>
      <c r="H98" s="11" t="n"/>
      <c r="I98" s="10" t="n"/>
      <c r="J98" s="11" t="n"/>
      <c r="K98" s="10" t="n"/>
      <c r="L98" s="11" t="n"/>
      <c r="M98" s="10" t="n"/>
      <c r="N98" s="14">
        <f>SUM(IF(ISNUMBER(H98),H98,0),IF(ISNUMBER(J98),J98,0),IF(ISNUMBER(L98),L98,0))</f>
        <v/>
      </c>
      <c r="O98" s="14">
        <f>G98-N98</f>
        <v/>
      </c>
      <c r="P98">
        <f>IF(AND($D98="",E98=0,F98=0),"Vacant",IF(O98&lt;-0.004,"Overpaid / Credit",IF(O98&lt;=0.004,"Paid",IF(N98&lt;=0.004,"Unpaid","Partial"))))</f>
        <v/>
      </c>
    </row>
    <row r="99">
      <c r="A99" s="13" t="n"/>
      <c r="B99" s="8" t="n"/>
      <c r="C99" s="8" t="n"/>
      <c r="D99" s="8" t="n"/>
      <c r="E99" s="11" t="n"/>
      <c r="F99" s="14">
        <f>O98</f>
        <v/>
      </c>
      <c r="G99" s="14">
        <f>E99+F99</f>
        <v/>
      </c>
      <c r="H99" s="11" t="n"/>
      <c r="I99" s="10" t="n"/>
      <c r="J99" s="11" t="n"/>
      <c r="K99" s="10" t="n"/>
      <c r="L99" s="11" t="n"/>
      <c r="M99" s="10" t="n"/>
      <c r="N99" s="14">
        <f>SUM(IF(ISNUMBER(H99),H99,0),IF(ISNUMBER(J99),J99,0),IF(ISNUMBER(L99),L99,0))</f>
        <v/>
      </c>
      <c r="O99" s="14">
        <f>G99-N99</f>
        <v/>
      </c>
      <c r="P99">
        <f>IF(AND($D99="",E99=0,F99=0),"Vacant",IF(O99&lt;-0.004,"Overpaid / Credit",IF(O99&lt;=0.004,"Paid",IF(N99&lt;=0.004,"Unpaid","Partial"))))</f>
        <v/>
      </c>
    </row>
    <row r="100">
      <c r="A100" s="13" t="n"/>
      <c r="B100" s="8" t="n"/>
      <c r="C100" s="8" t="n"/>
      <c r="D100" s="8" t="n"/>
      <c r="E100" s="11" t="n"/>
      <c r="F100" s="14">
        <f>O99</f>
        <v/>
      </c>
      <c r="G100" s="14">
        <f>E100+F100</f>
        <v/>
      </c>
      <c r="H100" s="11" t="n"/>
      <c r="I100" s="10" t="n"/>
      <c r="J100" s="11" t="n"/>
      <c r="K100" s="10" t="n"/>
      <c r="L100" s="11" t="n"/>
      <c r="M100" s="10" t="n"/>
      <c r="N100" s="14">
        <f>SUM(IF(ISNUMBER(H100),H100,0),IF(ISNUMBER(J100),J100,0),IF(ISNUMBER(L100),L100,0))</f>
        <v/>
      </c>
      <c r="O100" s="14">
        <f>G100-N100</f>
        <v/>
      </c>
      <c r="P100">
        <f>IF(AND($D100="",E100=0,F100=0),"Vacant",IF(O100&lt;-0.004,"Overpaid / Credit",IF(O100&lt;=0.004,"Paid",IF(N100&lt;=0.004,"Unpaid","Partial"))))</f>
        <v/>
      </c>
    </row>
    <row r="101">
      <c r="A101" s="13" t="n"/>
      <c r="B101" s="8" t="n"/>
      <c r="C101" s="8" t="n"/>
      <c r="D101" s="8" t="n"/>
      <c r="E101" s="11" t="n"/>
      <c r="F101" s="14">
        <f>O100</f>
        <v/>
      </c>
      <c r="G101" s="14">
        <f>E101+F101</f>
        <v/>
      </c>
      <c r="H101" s="11" t="n"/>
      <c r="I101" s="10" t="n"/>
      <c r="J101" s="11" t="n"/>
      <c r="K101" s="10" t="n"/>
      <c r="L101" s="11" t="n"/>
      <c r="M101" s="10" t="n"/>
      <c r="N101" s="14">
        <f>SUM(IF(ISNUMBER(H101),H101,0),IF(ISNUMBER(J101),J101,0),IF(ISNUMBER(L101),L101,0))</f>
        <v/>
      </c>
      <c r="O101" s="14">
        <f>G101-N101</f>
        <v/>
      </c>
      <c r="P101">
        <f>IF(AND($D101="",E101=0,F101=0),"Vacant",IF(O101&lt;-0.004,"Overpaid / Credit",IF(O101&lt;=0.004,"Paid",IF(N101&lt;=0.004,"Unpaid","Partial"))))</f>
        <v/>
      </c>
    </row>
    <row r="102">
      <c r="A102" s="13" t="n"/>
      <c r="B102" s="8" t="n"/>
      <c r="C102" s="8" t="n"/>
      <c r="D102" s="8" t="n"/>
      <c r="E102" s="11" t="n"/>
      <c r="F102" s="14">
        <f>O101</f>
        <v/>
      </c>
      <c r="G102" s="14">
        <f>E102+F102</f>
        <v/>
      </c>
      <c r="H102" s="11" t="n"/>
      <c r="I102" s="10" t="n"/>
      <c r="J102" s="11" t="n"/>
      <c r="K102" s="10" t="n"/>
      <c r="L102" s="11" t="n"/>
      <c r="M102" s="10" t="n"/>
      <c r="N102" s="14">
        <f>SUM(IF(ISNUMBER(H102),H102,0),IF(ISNUMBER(J102),J102,0),IF(ISNUMBER(L102),L102,0))</f>
        <v/>
      </c>
      <c r="O102" s="14">
        <f>G102-N102</f>
        <v/>
      </c>
      <c r="P102">
        <f>IF(AND($D102="",E102=0,F102=0),"Vacant",IF(O102&lt;-0.004,"Overpaid / Credit",IF(O102&lt;=0.004,"Paid",IF(N102&lt;=0.004,"Unpaid","Partial"))))</f>
        <v/>
      </c>
    </row>
    <row r="103">
      <c r="A103" s="13" t="n"/>
      <c r="B103" s="8" t="n"/>
      <c r="C103" s="8" t="n"/>
      <c r="D103" s="8" t="n"/>
      <c r="E103" s="11" t="n"/>
      <c r="F103" s="14">
        <f>O102</f>
        <v/>
      </c>
      <c r="G103" s="14">
        <f>E103+F103</f>
        <v/>
      </c>
      <c r="H103" s="11" t="n"/>
      <c r="I103" s="10" t="n"/>
      <c r="J103" s="11" t="n"/>
      <c r="K103" s="10" t="n"/>
      <c r="L103" s="11" t="n"/>
      <c r="M103" s="10" t="n"/>
      <c r="N103" s="14">
        <f>SUM(IF(ISNUMBER(H103),H103,0),IF(ISNUMBER(J103),J103,0),IF(ISNUMBER(L103),L103,0))</f>
        <v/>
      </c>
      <c r="O103" s="14">
        <f>G103-N103</f>
        <v/>
      </c>
      <c r="P103">
        <f>IF(AND($D103="",E103=0,F103=0),"Vacant",IF(O103&lt;-0.004,"Overpaid / Credit",IF(O103&lt;=0.004,"Paid",IF(N103&lt;=0.004,"Unpaid","Partial"))))</f>
        <v/>
      </c>
    </row>
    <row r="104">
      <c r="A104" s="13" t="n"/>
      <c r="B104" s="8" t="n"/>
      <c r="C104" s="8" t="n"/>
      <c r="D104" s="8" t="n"/>
      <c r="E104" s="11" t="n"/>
      <c r="F104" s="14">
        <f>O103</f>
        <v/>
      </c>
      <c r="G104" s="14">
        <f>E104+F104</f>
        <v/>
      </c>
      <c r="H104" s="11" t="n"/>
      <c r="I104" s="10" t="n"/>
      <c r="J104" s="11" t="n"/>
      <c r="K104" s="10" t="n"/>
      <c r="L104" s="11" t="n"/>
      <c r="M104" s="10" t="n"/>
      <c r="N104" s="14">
        <f>SUM(IF(ISNUMBER(H104),H104,0),IF(ISNUMBER(J104),J104,0),IF(ISNUMBER(L104),L104,0))</f>
        <v/>
      </c>
      <c r="O104" s="14">
        <f>G104-N104</f>
        <v/>
      </c>
      <c r="P104">
        <f>IF(AND($D104="",E104=0,F104=0),"Vacant",IF(O104&lt;-0.004,"Overpaid / Credit",IF(O104&lt;=0.004,"Paid",IF(N104&lt;=0.004,"Unpaid","Partial"))))</f>
        <v/>
      </c>
    </row>
    <row r="105">
      <c r="A105" s="13" t="n"/>
      <c r="B105" s="8" t="n"/>
      <c r="C105" s="8" t="n"/>
      <c r="D105" s="8" t="n"/>
      <c r="E105" s="11" t="n"/>
      <c r="F105" s="14">
        <f>O104</f>
        <v/>
      </c>
      <c r="G105" s="14">
        <f>E105+F105</f>
        <v/>
      </c>
      <c r="H105" s="11" t="n"/>
      <c r="I105" s="10" t="n"/>
      <c r="J105" s="11" t="n"/>
      <c r="K105" s="10" t="n"/>
      <c r="L105" s="11" t="n"/>
      <c r="M105" s="10" t="n"/>
      <c r="N105" s="14">
        <f>SUM(IF(ISNUMBER(H105),H105,0),IF(ISNUMBER(J105),J105,0),IF(ISNUMBER(L105),L105,0))</f>
        <v/>
      </c>
      <c r="O105" s="14">
        <f>G105-N105</f>
        <v/>
      </c>
      <c r="P105">
        <f>IF(AND($D105="",E105=0,F105=0),"Vacant",IF(O105&lt;-0.004,"Overpaid / Credit",IF(O105&lt;=0.004,"Paid",IF(N105&lt;=0.004,"Unpaid","Partial"))))</f>
        <v/>
      </c>
    </row>
    <row r="106">
      <c r="A106" s="13" t="n"/>
      <c r="B106" s="8" t="n"/>
      <c r="C106" s="8" t="n"/>
      <c r="D106" s="8" t="n"/>
      <c r="E106" s="11" t="n"/>
      <c r="F106" s="11" t="n">
        <v>0</v>
      </c>
      <c r="G106" s="14">
        <f>E106+F106</f>
        <v/>
      </c>
      <c r="H106" s="11" t="n"/>
      <c r="I106" s="10" t="n"/>
      <c r="J106" s="11" t="n"/>
      <c r="K106" s="10" t="n"/>
      <c r="L106" s="11" t="n"/>
      <c r="M106" s="10" t="n"/>
      <c r="N106" s="14">
        <f>SUM(IF(ISNUMBER(H106),H106,0),IF(ISNUMBER(J106),J106,0),IF(ISNUMBER(L106),L106,0))</f>
        <v/>
      </c>
      <c r="O106" s="14">
        <f>G106-N106</f>
        <v/>
      </c>
      <c r="P106">
        <f>IF(AND($D106="",E106=0,F106=0),"Vacant",IF(O106&lt;-0.004,"Overpaid / Credit",IF(O106&lt;=0.004,"Paid",IF(N106&lt;=0.004,"Unpaid","Partial"))))</f>
        <v/>
      </c>
    </row>
    <row r="107">
      <c r="A107" s="13" t="n"/>
      <c r="B107" s="8" t="n"/>
      <c r="C107" s="8" t="n"/>
      <c r="D107" s="8" t="n"/>
      <c r="E107" s="11" t="n"/>
      <c r="F107" s="14">
        <f>O106</f>
        <v/>
      </c>
      <c r="G107" s="14">
        <f>E107+F107</f>
        <v/>
      </c>
      <c r="H107" s="11" t="n"/>
      <c r="I107" s="10" t="n"/>
      <c r="J107" s="11" t="n"/>
      <c r="K107" s="10" t="n"/>
      <c r="L107" s="11" t="n"/>
      <c r="M107" s="10" t="n"/>
      <c r="N107" s="14">
        <f>SUM(IF(ISNUMBER(H107),H107,0),IF(ISNUMBER(J107),J107,0),IF(ISNUMBER(L107),L107,0))</f>
        <v/>
      </c>
      <c r="O107" s="14">
        <f>G107-N107</f>
        <v/>
      </c>
      <c r="P107">
        <f>IF(AND($D107="",E107=0,F107=0),"Vacant",IF(O107&lt;-0.004,"Overpaid / Credit",IF(O107&lt;=0.004,"Paid",IF(N107&lt;=0.004,"Unpaid","Partial"))))</f>
        <v/>
      </c>
    </row>
    <row r="108">
      <c r="A108" s="13" t="n"/>
      <c r="B108" s="8" t="n"/>
      <c r="C108" s="8" t="n"/>
      <c r="D108" s="8" t="n"/>
      <c r="E108" s="11" t="n"/>
      <c r="F108" s="14">
        <f>O107</f>
        <v/>
      </c>
      <c r="G108" s="14">
        <f>E108+F108</f>
        <v/>
      </c>
      <c r="H108" s="11" t="n"/>
      <c r="I108" s="10" t="n"/>
      <c r="J108" s="11" t="n"/>
      <c r="K108" s="10" t="n"/>
      <c r="L108" s="11" t="n"/>
      <c r="M108" s="10" t="n"/>
      <c r="N108" s="14">
        <f>SUM(IF(ISNUMBER(H108),H108,0),IF(ISNUMBER(J108),J108,0),IF(ISNUMBER(L108),L108,0))</f>
        <v/>
      </c>
      <c r="O108" s="14">
        <f>G108-N108</f>
        <v/>
      </c>
      <c r="P108">
        <f>IF(AND($D108="",E108=0,F108=0),"Vacant",IF(O108&lt;-0.004,"Overpaid / Credit",IF(O108&lt;=0.004,"Paid",IF(N108&lt;=0.004,"Unpaid","Partial"))))</f>
        <v/>
      </c>
    </row>
    <row r="109">
      <c r="A109" s="13" t="n"/>
      <c r="B109" s="8" t="n"/>
      <c r="C109" s="8" t="n"/>
      <c r="D109" s="8" t="n"/>
      <c r="E109" s="11" t="n"/>
      <c r="F109" s="14">
        <f>O108</f>
        <v/>
      </c>
      <c r="G109" s="14">
        <f>E109+F109</f>
        <v/>
      </c>
      <c r="H109" s="11" t="n"/>
      <c r="I109" s="10" t="n"/>
      <c r="J109" s="11" t="n"/>
      <c r="K109" s="10" t="n"/>
      <c r="L109" s="11" t="n"/>
      <c r="M109" s="10" t="n"/>
      <c r="N109" s="14">
        <f>SUM(IF(ISNUMBER(H109),H109,0),IF(ISNUMBER(J109),J109,0),IF(ISNUMBER(L109),L109,0))</f>
        <v/>
      </c>
      <c r="O109" s="14">
        <f>G109-N109</f>
        <v/>
      </c>
      <c r="P109">
        <f>IF(AND($D109="",E109=0,F109=0),"Vacant",IF(O109&lt;-0.004,"Overpaid / Credit",IF(O109&lt;=0.004,"Paid",IF(N109&lt;=0.004,"Unpaid","Partial"))))</f>
        <v/>
      </c>
    </row>
    <row r="110">
      <c r="A110" s="13" t="n"/>
      <c r="B110" s="8" t="n"/>
      <c r="C110" s="8" t="n"/>
      <c r="D110" s="8" t="n"/>
      <c r="E110" s="11" t="n"/>
      <c r="F110" s="14">
        <f>O109</f>
        <v/>
      </c>
      <c r="G110" s="14">
        <f>E110+F110</f>
        <v/>
      </c>
      <c r="H110" s="11" t="n"/>
      <c r="I110" s="10" t="n"/>
      <c r="J110" s="11" t="n"/>
      <c r="K110" s="10" t="n"/>
      <c r="L110" s="11" t="n"/>
      <c r="M110" s="10" t="n"/>
      <c r="N110" s="14">
        <f>SUM(IF(ISNUMBER(H110),H110,0),IF(ISNUMBER(J110),J110,0),IF(ISNUMBER(L110),L110,0))</f>
        <v/>
      </c>
      <c r="O110" s="14">
        <f>G110-N110</f>
        <v/>
      </c>
      <c r="P110">
        <f>IF(AND($D110="",E110=0,F110=0),"Vacant",IF(O110&lt;-0.004,"Overpaid / Credit",IF(O110&lt;=0.004,"Paid",IF(N110&lt;=0.004,"Unpaid","Partial"))))</f>
        <v/>
      </c>
    </row>
    <row r="111">
      <c r="A111" s="13" t="n"/>
      <c r="B111" s="8" t="n"/>
      <c r="C111" s="8" t="n"/>
      <c r="D111" s="8" t="n"/>
      <c r="E111" s="11" t="n"/>
      <c r="F111" s="14">
        <f>O110</f>
        <v/>
      </c>
      <c r="G111" s="14">
        <f>E111+F111</f>
        <v/>
      </c>
      <c r="H111" s="11" t="n"/>
      <c r="I111" s="10" t="n"/>
      <c r="J111" s="11" t="n"/>
      <c r="K111" s="10" t="n"/>
      <c r="L111" s="11" t="n"/>
      <c r="M111" s="10" t="n"/>
      <c r="N111" s="14">
        <f>SUM(IF(ISNUMBER(H111),H111,0),IF(ISNUMBER(J111),J111,0),IF(ISNUMBER(L111),L111,0))</f>
        <v/>
      </c>
      <c r="O111" s="14">
        <f>G111-N111</f>
        <v/>
      </c>
      <c r="P111">
        <f>IF(AND($D111="",E111=0,F111=0),"Vacant",IF(O111&lt;-0.004,"Overpaid / Credit",IF(O111&lt;=0.004,"Paid",IF(N111&lt;=0.004,"Unpaid","Partial"))))</f>
        <v/>
      </c>
    </row>
    <row r="112">
      <c r="A112" s="13" t="n"/>
      <c r="B112" s="8" t="n"/>
      <c r="C112" s="8" t="n"/>
      <c r="D112" s="8" t="n"/>
      <c r="E112" s="11" t="n"/>
      <c r="F112" s="14">
        <f>O111</f>
        <v/>
      </c>
      <c r="G112" s="14">
        <f>E112+F112</f>
        <v/>
      </c>
      <c r="H112" s="11" t="n"/>
      <c r="I112" s="10" t="n"/>
      <c r="J112" s="11" t="n"/>
      <c r="K112" s="10" t="n"/>
      <c r="L112" s="11" t="n"/>
      <c r="M112" s="10" t="n"/>
      <c r="N112" s="14">
        <f>SUM(IF(ISNUMBER(H112),H112,0),IF(ISNUMBER(J112),J112,0),IF(ISNUMBER(L112),L112,0))</f>
        <v/>
      </c>
      <c r="O112" s="14">
        <f>G112-N112</f>
        <v/>
      </c>
      <c r="P112">
        <f>IF(AND($D112="",E112=0,F112=0),"Vacant",IF(O112&lt;-0.004,"Overpaid / Credit",IF(O112&lt;=0.004,"Paid",IF(N112&lt;=0.004,"Unpaid","Partial"))))</f>
        <v/>
      </c>
    </row>
    <row r="113">
      <c r="A113" s="13" t="n"/>
      <c r="B113" s="8" t="n"/>
      <c r="C113" s="8" t="n"/>
      <c r="D113" s="8" t="n"/>
      <c r="E113" s="11" t="n"/>
      <c r="F113" s="14">
        <f>O112</f>
        <v/>
      </c>
      <c r="G113" s="14">
        <f>E113+F113</f>
        <v/>
      </c>
      <c r="H113" s="11" t="n"/>
      <c r="I113" s="10" t="n"/>
      <c r="J113" s="11" t="n"/>
      <c r="K113" s="10" t="n"/>
      <c r="L113" s="11" t="n"/>
      <c r="M113" s="10" t="n"/>
      <c r="N113" s="14">
        <f>SUM(IF(ISNUMBER(H113),H113,0),IF(ISNUMBER(J113),J113,0),IF(ISNUMBER(L113),L113,0))</f>
        <v/>
      </c>
      <c r="O113" s="14">
        <f>G113-N113</f>
        <v/>
      </c>
      <c r="P113">
        <f>IF(AND($D113="",E113=0,F113=0),"Vacant",IF(O113&lt;-0.004,"Overpaid / Credit",IF(O113&lt;=0.004,"Paid",IF(N113&lt;=0.004,"Unpaid","Partial"))))</f>
        <v/>
      </c>
    </row>
    <row r="114">
      <c r="A114" s="13" t="n"/>
      <c r="B114" s="8" t="n"/>
      <c r="C114" s="8" t="n"/>
      <c r="D114" s="8" t="n"/>
      <c r="E114" s="11" t="n"/>
      <c r="F114" s="14">
        <f>O113</f>
        <v/>
      </c>
      <c r="G114" s="14">
        <f>E114+F114</f>
        <v/>
      </c>
      <c r="H114" s="11" t="n"/>
      <c r="I114" s="10" t="n"/>
      <c r="J114" s="11" t="n"/>
      <c r="K114" s="10" t="n"/>
      <c r="L114" s="11" t="n"/>
      <c r="M114" s="10" t="n"/>
      <c r="N114" s="14">
        <f>SUM(IF(ISNUMBER(H114),H114,0),IF(ISNUMBER(J114),J114,0),IF(ISNUMBER(L114),L114,0))</f>
        <v/>
      </c>
      <c r="O114" s="14">
        <f>G114-N114</f>
        <v/>
      </c>
      <c r="P114">
        <f>IF(AND($D114="",E114=0,F114=0),"Vacant",IF(O114&lt;-0.004,"Overpaid / Credit",IF(O114&lt;=0.004,"Paid",IF(N114&lt;=0.004,"Unpaid","Partial"))))</f>
        <v/>
      </c>
    </row>
    <row r="115">
      <c r="A115" s="13" t="n"/>
      <c r="B115" s="8" t="n"/>
      <c r="C115" s="8" t="n"/>
      <c r="D115" s="8" t="n"/>
      <c r="E115" s="11" t="n"/>
      <c r="F115" s="14">
        <f>O114</f>
        <v/>
      </c>
      <c r="G115" s="14">
        <f>E115+F115</f>
        <v/>
      </c>
      <c r="H115" s="11" t="n"/>
      <c r="I115" s="10" t="n"/>
      <c r="J115" s="11" t="n"/>
      <c r="K115" s="10" t="n"/>
      <c r="L115" s="11" t="n"/>
      <c r="M115" s="10" t="n"/>
      <c r="N115" s="14">
        <f>SUM(IF(ISNUMBER(H115),H115,0),IF(ISNUMBER(J115),J115,0),IF(ISNUMBER(L115),L115,0))</f>
        <v/>
      </c>
      <c r="O115" s="14">
        <f>G115-N115</f>
        <v/>
      </c>
      <c r="P115">
        <f>IF(AND($D115="",E115=0,F115=0),"Vacant",IF(O115&lt;-0.004,"Overpaid / Credit",IF(O115&lt;=0.004,"Paid",IF(N115&lt;=0.004,"Unpaid","Partial"))))</f>
        <v/>
      </c>
    </row>
    <row r="116">
      <c r="A116" s="13" t="n"/>
      <c r="B116" s="8" t="n"/>
      <c r="C116" s="8" t="n"/>
      <c r="D116" s="8" t="n"/>
      <c r="E116" s="11" t="n"/>
      <c r="F116" s="14">
        <f>O115</f>
        <v/>
      </c>
      <c r="G116" s="14">
        <f>E116+F116</f>
        <v/>
      </c>
      <c r="H116" s="11" t="n"/>
      <c r="I116" s="10" t="n"/>
      <c r="J116" s="11" t="n"/>
      <c r="K116" s="10" t="n"/>
      <c r="L116" s="11" t="n"/>
      <c r="M116" s="10" t="n"/>
      <c r="N116" s="14">
        <f>SUM(IF(ISNUMBER(H116),H116,0),IF(ISNUMBER(J116),J116,0),IF(ISNUMBER(L116),L116,0))</f>
        <v/>
      </c>
      <c r="O116" s="14">
        <f>G116-N116</f>
        <v/>
      </c>
      <c r="P116">
        <f>IF(AND($D116="",E116=0,F116=0),"Vacant",IF(O116&lt;-0.004,"Overpaid / Credit",IF(O116&lt;=0.004,"Paid",IF(N116&lt;=0.004,"Unpaid","Partial"))))</f>
        <v/>
      </c>
    </row>
    <row r="117">
      <c r="A117" s="13" t="n"/>
      <c r="B117" s="8" t="n"/>
      <c r="C117" s="8" t="n"/>
      <c r="D117" s="8" t="n"/>
      <c r="E117" s="11" t="n"/>
      <c r="F117" s="14">
        <f>O116</f>
        <v/>
      </c>
      <c r="G117" s="14">
        <f>E117+F117</f>
        <v/>
      </c>
      <c r="H117" s="11" t="n"/>
      <c r="I117" s="10" t="n"/>
      <c r="J117" s="11" t="n"/>
      <c r="K117" s="10" t="n"/>
      <c r="L117" s="11" t="n"/>
      <c r="M117" s="10" t="n"/>
      <c r="N117" s="14">
        <f>SUM(IF(ISNUMBER(H117),H117,0),IF(ISNUMBER(J117),J117,0),IF(ISNUMBER(L117),L117,0))</f>
        <v/>
      </c>
      <c r="O117" s="14">
        <f>G117-N117</f>
        <v/>
      </c>
      <c r="P117">
        <f>IF(AND($D117="",E117=0,F117=0),"Vacant",IF(O117&lt;-0.004,"Overpaid / Credit",IF(O117&lt;=0.004,"Paid",IF(N117&lt;=0.004,"Unpaid","Partial"))))</f>
        <v/>
      </c>
    </row>
    <row r="118">
      <c r="A118" s="13" t="n"/>
      <c r="B118" s="8" t="n"/>
      <c r="C118" s="8" t="n"/>
      <c r="D118" s="8" t="n"/>
      <c r="E118" s="11" t="n"/>
      <c r="F118" s="11" t="n">
        <v>0</v>
      </c>
      <c r="G118" s="14">
        <f>E118+F118</f>
        <v/>
      </c>
      <c r="H118" s="11" t="n"/>
      <c r="I118" s="10" t="n"/>
      <c r="J118" s="11" t="n"/>
      <c r="K118" s="10" t="n"/>
      <c r="L118" s="11" t="n"/>
      <c r="M118" s="10" t="n"/>
      <c r="N118" s="14">
        <f>SUM(IF(ISNUMBER(H118),H118,0),IF(ISNUMBER(J118),J118,0),IF(ISNUMBER(L118),L118,0))</f>
        <v/>
      </c>
      <c r="O118" s="14">
        <f>G118-N118</f>
        <v/>
      </c>
      <c r="P118">
        <f>IF(AND($D118="",E118=0,F118=0),"Vacant",IF(O118&lt;-0.004,"Overpaid / Credit",IF(O118&lt;=0.004,"Paid",IF(N118&lt;=0.004,"Unpaid","Partial"))))</f>
        <v/>
      </c>
    </row>
    <row r="119">
      <c r="A119" s="13" t="n"/>
      <c r="B119" s="8" t="n"/>
      <c r="C119" s="8" t="n"/>
      <c r="D119" s="8" t="n"/>
      <c r="E119" s="11" t="n"/>
      <c r="F119" s="14">
        <f>O118</f>
        <v/>
      </c>
      <c r="G119" s="14">
        <f>E119+F119</f>
        <v/>
      </c>
      <c r="H119" s="11" t="n"/>
      <c r="I119" s="10" t="n"/>
      <c r="J119" s="11" t="n"/>
      <c r="K119" s="10" t="n"/>
      <c r="L119" s="11" t="n"/>
      <c r="M119" s="10" t="n"/>
      <c r="N119" s="14">
        <f>SUM(IF(ISNUMBER(H119),H119,0),IF(ISNUMBER(J119),J119,0),IF(ISNUMBER(L119),L119,0))</f>
        <v/>
      </c>
      <c r="O119" s="14">
        <f>G119-N119</f>
        <v/>
      </c>
      <c r="P119">
        <f>IF(AND($D119="",E119=0,F119=0),"Vacant",IF(O119&lt;-0.004,"Overpaid / Credit",IF(O119&lt;=0.004,"Paid",IF(N119&lt;=0.004,"Unpaid","Partial"))))</f>
        <v/>
      </c>
    </row>
    <row r="120">
      <c r="A120" s="13" t="n"/>
      <c r="B120" s="8" t="n"/>
      <c r="C120" s="8" t="n"/>
      <c r="D120" s="8" t="n"/>
      <c r="E120" s="11" t="n"/>
      <c r="F120" s="14">
        <f>O119</f>
        <v/>
      </c>
      <c r="G120" s="14">
        <f>E120+F120</f>
        <v/>
      </c>
      <c r="H120" s="11" t="n"/>
      <c r="I120" s="10" t="n"/>
      <c r="J120" s="11" t="n"/>
      <c r="K120" s="10" t="n"/>
      <c r="L120" s="11" t="n"/>
      <c r="M120" s="10" t="n"/>
      <c r="N120" s="14">
        <f>SUM(IF(ISNUMBER(H120),H120,0),IF(ISNUMBER(J120),J120,0),IF(ISNUMBER(L120),L120,0))</f>
        <v/>
      </c>
      <c r="O120" s="14">
        <f>G120-N120</f>
        <v/>
      </c>
      <c r="P120">
        <f>IF(AND($D120="",E120=0,F120=0),"Vacant",IF(O120&lt;-0.004,"Overpaid / Credit",IF(O120&lt;=0.004,"Paid",IF(N120&lt;=0.004,"Unpaid","Partial"))))</f>
        <v/>
      </c>
    </row>
    <row r="121">
      <c r="A121" s="13" t="n"/>
      <c r="B121" s="8" t="n"/>
      <c r="C121" s="8" t="n"/>
      <c r="D121" s="8" t="n"/>
      <c r="E121" s="11" t="n"/>
      <c r="F121" s="14">
        <f>O120</f>
        <v/>
      </c>
      <c r="G121" s="14">
        <f>E121+F121</f>
        <v/>
      </c>
      <c r="H121" s="11" t="n"/>
      <c r="I121" s="10" t="n"/>
      <c r="J121" s="11" t="n"/>
      <c r="K121" s="10" t="n"/>
      <c r="L121" s="11" t="n"/>
      <c r="M121" s="10" t="n"/>
      <c r="N121" s="14">
        <f>SUM(IF(ISNUMBER(H121),H121,0),IF(ISNUMBER(J121),J121,0),IF(ISNUMBER(L121),L121,0))</f>
        <v/>
      </c>
      <c r="O121" s="14">
        <f>G121-N121</f>
        <v/>
      </c>
      <c r="P121">
        <f>IF(AND($D121="",E121=0,F121=0),"Vacant",IF(O121&lt;-0.004,"Overpaid / Credit",IF(O121&lt;=0.004,"Paid",IF(N121&lt;=0.004,"Unpaid","Partial"))))</f>
        <v/>
      </c>
    </row>
    <row r="122">
      <c r="A122" s="13" t="n"/>
      <c r="B122" s="8" t="n"/>
      <c r="C122" s="8" t="n"/>
      <c r="D122" s="8" t="n"/>
      <c r="E122" s="11" t="n"/>
      <c r="F122" s="14">
        <f>O121</f>
        <v/>
      </c>
      <c r="G122" s="14">
        <f>E122+F122</f>
        <v/>
      </c>
      <c r="H122" s="11" t="n"/>
      <c r="I122" s="10" t="n"/>
      <c r="J122" s="11" t="n"/>
      <c r="K122" s="10" t="n"/>
      <c r="L122" s="11" t="n"/>
      <c r="M122" s="10" t="n"/>
      <c r="N122" s="14">
        <f>SUM(IF(ISNUMBER(H122),H122,0),IF(ISNUMBER(J122),J122,0),IF(ISNUMBER(L122),L122,0))</f>
        <v/>
      </c>
      <c r="O122" s="14">
        <f>G122-N122</f>
        <v/>
      </c>
      <c r="P122">
        <f>IF(AND($D122="",E122=0,F122=0),"Vacant",IF(O122&lt;-0.004,"Overpaid / Credit",IF(O122&lt;=0.004,"Paid",IF(N122&lt;=0.004,"Unpaid","Partial"))))</f>
        <v/>
      </c>
    </row>
    <row r="123">
      <c r="A123" s="13" t="n"/>
      <c r="B123" s="8" t="n"/>
      <c r="C123" s="8" t="n"/>
      <c r="D123" s="8" t="n"/>
      <c r="E123" s="11" t="n"/>
      <c r="F123" s="14">
        <f>O122</f>
        <v/>
      </c>
      <c r="G123" s="14">
        <f>E123+F123</f>
        <v/>
      </c>
      <c r="H123" s="11" t="n"/>
      <c r="I123" s="10" t="n"/>
      <c r="J123" s="11" t="n"/>
      <c r="K123" s="10" t="n"/>
      <c r="L123" s="11" t="n"/>
      <c r="M123" s="10" t="n"/>
      <c r="N123" s="14">
        <f>SUM(IF(ISNUMBER(H123),H123,0),IF(ISNUMBER(J123),J123,0),IF(ISNUMBER(L123),L123,0))</f>
        <v/>
      </c>
      <c r="O123" s="14">
        <f>G123-N123</f>
        <v/>
      </c>
      <c r="P123">
        <f>IF(AND($D123="",E123=0,F123=0),"Vacant",IF(O123&lt;-0.004,"Overpaid / Credit",IF(O123&lt;=0.004,"Paid",IF(N123&lt;=0.004,"Unpaid","Partial"))))</f>
        <v/>
      </c>
    </row>
    <row r="124">
      <c r="A124" s="13" t="n"/>
      <c r="B124" s="8" t="n"/>
      <c r="C124" s="8" t="n"/>
      <c r="D124" s="8" t="n"/>
      <c r="E124" s="11" t="n"/>
      <c r="F124" s="14">
        <f>O123</f>
        <v/>
      </c>
      <c r="G124" s="14">
        <f>E124+F124</f>
        <v/>
      </c>
      <c r="H124" s="11" t="n"/>
      <c r="I124" s="10" t="n"/>
      <c r="J124" s="11" t="n"/>
      <c r="K124" s="10" t="n"/>
      <c r="L124" s="11" t="n"/>
      <c r="M124" s="10" t="n"/>
      <c r="N124" s="14">
        <f>SUM(IF(ISNUMBER(H124),H124,0),IF(ISNUMBER(J124),J124,0),IF(ISNUMBER(L124),L124,0))</f>
        <v/>
      </c>
      <c r="O124" s="14">
        <f>G124-N124</f>
        <v/>
      </c>
      <c r="P124">
        <f>IF(AND($D124="",E124=0,F124=0),"Vacant",IF(O124&lt;-0.004,"Overpaid / Credit",IF(O124&lt;=0.004,"Paid",IF(N124&lt;=0.004,"Unpaid","Partial"))))</f>
        <v/>
      </c>
    </row>
    <row r="125">
      <c r="A125" s="13" t="n"/>
      <c r="B125" s="8" t="n"/>
      <c r="C125" s="8" t="n"/>
      <c r="D125" s="8" t="n"/>
      <c r="E125" s="11" t="n"/>
      <c r="F125" s="14">
        <f>O124</f>
        <v/>
      </c>
      <c r="G125" s="14">
        <f>E125+F125</f>
        <v/>
      </c>
      <c r="H125" s="11" t="n"/>
      <c r="I125" s="10" t="n"/>
      <c r="J125" s="11" t="n"/>
      <c r="K125" s="10" t="n"/>
      <c r="L125" s="11" t="n"/>
      <c r="M125" s="10" t="n"/>
      <c r="N125" s="14">
        <f>SUM(IF(ISNUMBER(H125),H125,0),IF(ISNUMBER(J125),J125,0),IF(ISNUMBER(L125),L125,0))</f>
        <v/>
      </c>
      <c r="O125" s="14">
        <f>G125-N125</f>
        <v/>
      </c>
      <c r="P125">
        <f>IF(AND($D125="",E125=0,F125=0),"Vacant",IF(O125&lt;-0.004,"Overpaid / Credit",IF(O125&lt;=0.004,"Paid",IF(N125&lt;=0.004,"Unpaid","Partial"))))</f>
        <v/>
      </c>
    </row>
    <row r="126">
      <c r="A126" s="13" t="n"/>
      <c r="B126" s="8" t="n"/>
      <c r="C126" s="8" t="n"/>
      <c r="D126" s="8" t="n"/>
      <c r="E126" s="11" t="n"/>
      <c r="F126" s="14">
        <f>O125</f>
        <v/>
      </c>
      <c r="G126" s="14">
        <f>E126+F126</f>
        <v/>
      </c>
      <c r="H126" s="11" t="n"/>
      <c r="I126" s="10" t="n"/>
      <c r="J126" s="11" t="n"/>
      <c r="K126" s="10" t="n"/>
      <c r="L126" s="11" t="n"/>
      <c r="M126" s="10" t="n"/>
      <c r="N126" s="14">
        <f>SUM(IF(ISNUMBER(H126),H126,0),IF(ISNUMBER(J126),J126,0),IF(ISNUMBER(L126),L126,0))</f>
        <v/>
      </c>
      <c r="O126" s="14">
        <f>G126-N126</f>
        <v/>
      </c>
      <c r="P126">
        <f>IF(AND($D126="",E126=0,F126=0),"Vacant",IF(O126&lt;-0.004,"Overpaid / Credit",IF(O126&lt;=0.004,"Paid",IF(N126&lt;=0.004,"Unpaid","Partial"))))</f>
        <v/>
      </c>
    </row>
    <row r="127">
      <c r="A127" s="13" t="n"/>
      <c r="B127" s="8" t="n"/>
      <c r="C127" s="8" t="n"/>
      <c r="D127" s="8" t="n"/>
      <c r="E127" s="11" t="n"/>
      <c r="F127" s="14">
        <f>O126</f>
        <v/>
      </c>
      <c r="G127" s="14">
        <f>E127+F127</f>
        <v/>
      </c>
      <c r="H127" s="11" t="n"/>
      <c r="I127" s="10" t="n"/>
      <c r="J127" s="11" t="n"/>
      <c r="K127" s="10" t="n"/>
      <c r="L127" s="11" t="n"/>
      <c r="M127" s="10" t="n"/>
      <c r="N127" s="14">
        <f>SUM(IF(ISNUMBER(H127),H127,0),IF(ISNUMBER(J127),J127,0),IF(ISNUMBER(L127),L127,0))</f>
        <v/>
      </c>
      <c r="O127" s="14">
        <f>G127-N127</f>
        <v/>
      </c>
      <c r="P127">
        <f>IF(AND($D127="",E127=0,F127=0),"Vacant",IF(O127&lt;-0.004,"Overpaid / Credit",IF(O127&lt;=0.004,"Paid",IF(N127&lt;=0.004,"Unpaid","Partial"))))</f>
        <v/>
      </c>
    </row>
    <row r="128">
      <c r="A128" s="13" t="n"/>
      <c r="B128" s="8" t="n"/>
      <c r="C128" s="8" t="n"/>
      <c r="D128" s="8" t="n"/>
      <c r="E128" s="11" t="n"/>
      <c r="F128" s="14">
        <f>O127</f>
        <v/>
      </c>
      <c r="G128" s="14">
        <f>E128+F128</f>
        <v/>
      </c>
      <c r="H128" s="11" t="n"/>
      <c r="I128" s="10" t="n"/>
      <c r="J128" s="11" t="n"/>
      <c r="K128" s="10" t="n"/>
      <c r="L128" s="11" t="n"/>
      <c r="M128" s="10" t="n"/>
      <c r="N128" s="14">
        <f>SUM(IF(ISNUMBER(H128),H128,0),IF(ISNUMBER(J128),J128,0),IF(ISNUMBER(L128),L128,0))</f>
        <v/>
      </c>
      <c r="O128" s="14">
        <f>G128-N128</f>
        <v/>
      </c>
      <c r="P128">
        <f>IF(AND($D128="",E128=0,F128=0),"Vacant",IF(O128&lt;-0.004,"Overpaid / Credit",IF(O128&lt;=0.004,"Paid",IF(N128&lt;=0.004,"Unpaid","Partial"))))</f>
        <v/>
      </c>
    </row>
    <row r="129">
      <c r="A129" s="13" t="n"/>
      <c r="B129" s="8" t="n"/>
      <c r="C129" s="8" t="n"/>
      <c r="D129" s="8" t="n"/>
      <c r="E129" s="11" t="n"/>
      <c r="F129" s="14">
        <f>O128</f>
        <v/>
      </c>
      <c r="G129" s="14">
        <f>E129+F129</f>
        <v/>
      </c>
      <c r="H129" s="11" t="n"/>
      <c r="I129" s="10" t="n"/>
      <c r="J129" s="11" t="n"/>
      <c r="K129" s="10" t="n"/>
      <c r="L129" s="11" t="n"/>
      <c r="M129" s="10" t="n"/>
      <c r="N129" s="14">
        <f>SUM(IF(ISNUMBER(H129),H129,0),IF(ISNUMBER(J129),J129,0),IF(ISNUMBER(L129),L129,0))</f>
        <v/>
      </c>
      <c r="O129" s="14">
        <f>G129-N129</f>
        <v/>
      </c>
      <c r="P129">
        <f>IF(AND($D129="",E129=0,F129=0),"Vacant",IF(O129&lt;-0.004,"Overpaid / Credit",IF(O129&lt;=0.004,"Paid",IF(N129&lt;=0.004,"Unpaid","Partial"))))</f>
        <v/>
      </c>
    </row>
    <row r="130">
      <c r="A130" s="13" t="n"/>
      <c r="B130" s="8" t="n"/>
      <c r="C130" s="8" t="n"/>
      <c r="D130" s="8" t="n"/>
      <c r="E130" s="11" t="n"/>
      <c r="F130" s="11" t="n">
        <v>0</v>
      </c>
      <c r="G130" s="14">
        <f>E130+F130</f>
        <v/>
      </c>
      <c r="H130" s="11" t="n"/>
      <c r="I130" s="10" t="n"/>
      <c r="J130" s="11" t="n"/>
      <c r="K130" s="10" t="n"/>
      <c r="L130" s="11" t="n"/>
      <c r="M130" s="10" t="n"/>
      <c r="N130" s="14">
        <f>SUM(IF(ISNUMBER(H130),H130,0),IF(ISNUMBER(J130),J130,0),IF(ISNUMBER(L130),L130,0))</f>
        <v/>
      </c>
      <c r="O130" s="14">
        <f>G130-N130</f>
        <v/>
      </c>
      <c r="P130">
        <f>IF(AND($D130="",E130=0,F130=0),"Vacant",IF(O130&lt;-0.004,"Overpaid / Credit",IF(O130&lt;=0.004,"Paid",IF(N130&lt;=0.004,"Unpaid","Partial"))))</f>
        <v/>
      </c>
    </row>
    <row r="131">
      <c r="A131" s="13" t="n"/>
      <c r="B131" s="8" t="n"/>
      <c r="C131" s="8" t="n"/>
      <c r="D131" s="8" t="n"/>
      <c r="E131" s="11" t="n"/>
      <c r="F131" s="14">
        <f>O130</f>
        <v/>
      </c>
      <c r="G131" s="14">
        <f>E131+F131</f>
        <v/>
      </c>
      <c r="H131" s="11" t="n"/>
      <c r="I131" s="10" t="n"/>
      <c r="J131" s="11" t="n"/>
      <c r="K131" s="10" t="n"/>
      <c r="L131" s="11" t="n"/>
      <c r="M131" s="10" t="n"/>
      <c r="N131" s="14">
        <f>SUM(IF(ISNUMBER(H131),H131,0),IF(ISNUMBER(J131),J131,0),IF(ISNUMBER(L131),L131,0))</f>
        <v/>
      </c>
      <c r="O131" s="14">
        <f>G131-N131</f>
        <v/>
      </c>
      <c r="P131">
        <f>IF(AND($D131="",E131=0,F131=0),"Vacant",IF(O131&lt;-0.004,"Overpaid / Credit",IF(O131&lt;=0.004,"Paid",IF(N131&lt;=0.004,"Unpaid","Partial"))))</f>
        <v/>
      </c>
    </row>
    <row r="132">
      <c r="A132" s="13" t="n"/>
      <c r="B132" s="8" t="n"/>
      <c r="C132" s="8" t="n"/>
      <c r="D132" s="8" t="n"/>
      <c r="E132" s="11" t="n"/>
      <c r="F132" s="14">
        <f>O131</f>
        <v/>
      </c>
      <c r="G132" s="14">
        <f>E132+F132</f>
        <v/>
      </c>
      <c r="H132" s="11" t="n"/>
      <c r="I132" s="10" t="n"/>
      <c r="J132" s="11" t="n"/>
      <c r="K132" s="10" t="n"/>
      <c r="L132" s="11" t="n"/>
      <c r="M132" s="10" t="n"/>
      <c r="N132" s="14">
        <f>SUM(IF(ISNUMBER(H132),H132,0),IF(ISNUMBER(J132),J132,0),IF(ISNUMBER(L132),L132,0))</f>
        <v/>
      </c>
      <c r="O132" s="14">
        <f>G132-N132</f>
        <v/>
      </c>
      <c r="P132">
        <f>IF(AND($D132="",E132=0,F132=0),"Vacant",IF(O132&lt;-0.004,"Overpaid / Credit",IF(O132&lt;=0.004,"Paid",IF(N132&lt;=0.004,"Unpaid","Partial"))))</f>
        <v/>
      </c>
    </row>
    <row r="133">
      <c r="A133" s="13" t="n"/>
      <c r="B133" s="8" t="n"/>
      <c r="C133" s="8" t="n"/>
      <c r="D133" s="8" t="n"/>
      <c r="E133" s="11" t="n"/>
      <c r="F133" s="14">
        <f>O132</f>
        <v/>
      </c>
      <c r="G133" s="14">
        <f>E133+F133</f>
        <v/>
      </c>
      <c r="H133" s="11" t="n"/>
      <c r="I133" s="10" t="n"/>
      <c r="J133" s="11" t="n"/>
      <c r="K133" s="10" t="n"/>
      <c r="L133" s="11" t="n"/>
      <c r="M133" s="10" t="n"/>
      <c r="N133" s="14">
        <f>SUM(IF(ISNUMBER(H133),H133,0),IF(ISNUMBER(J133),J133,0),IF(ISNUMBER(L133),L133,0))</f>
        <v/>
      </c>
      <c r="O133" s="14">
        <f>G133-N133</f>
        <v/>
      </c>
      <c r="P133">
        <f>IF(AND($D133="",E133=0,F133=0),"Vacant",IF(O133&lt;-0.004,"Overpaid / Credit",IF(O133&lt;=0.004,"Paid",IF(N133&lt;=0.004,"Unpaid","Partial"))))</f>
        <v/>
      </c>
    </row>
    <row r="134">
      <c r="A134" s="13" t="n"/>
      <c r="B134" s="8" t="n"/>
      <c r="C134" s="8" t="n"/>
      <c r="D134" s="8" t="n"/>
      <c r="E134" s="11" t="n"/>
      <c r="F134" s="14">
        <f>O133</f>
        <v/>
      </c>
      <c r="G134" s="14">
        <f>E134+F134</f>
        <v/>
      </c>
      <c r="H134" s="11" t="n"/>
      <c r="I134" s="10" t="n"/>
      <c r="J134" s="11" t="n"/>
      <c r="K134" s="10" t="n"/>
      <c r="L134" s="11" t="n"/>
      <c r="M134" s="10" t="n"/>
      <c r="N134" s="14">
        <f>SUM(IF(ISNUMBER(H134),H134,0),IF(ISNUMBER(J134),J134,0),IF(ISNUMBER(L134),L134,0))</f>
        <v/>
      </c>
      <c r="O134" s="14">
        <f>G134-N134</f>
        <v/>
      </c>
      <c r="P134">
        <f>IF(AND($D134="",E134=0,F134=0),"Vacant",IF(O134&lt;-0.004,"Overpaid / Credit",IF(O134&lt;=0.004,"Paid",IF(N134&lt;=0.004,"Unpaid","Partial"))))</f>
        <v/>
      </c>
    </row>
    <row r="135">
      <c r="A135" s="13" t="n"/>
      <c r="B135" s="8" t="n"/>
      <c r="C135" s="8" t="n"/>
      <c r="D135" s="8" t="n"/>
      <c r="E135" s="11" t="n"/>
      <c r="F135" s="14">
        <f>O134</f>
        <v/>
      </c>
      <c r="G135" s="14">
        <f>E135+F135</f>
        <v/>
      </c>
      <c r="H135" s="11" t="n"/>
      <c r="I135" s="10" t="n"/>
      <c r="J135" s="11" t="n"/>
      <c r="K135" s="10" t="n"/>
      <c r="L135" s="11" t="n"/>
      <c r="M135" s="10" t="n"/>
      <c r="N135" s="14">
        <f>SUM(IF(ISNUMBER(H135),H135,0),IF(ISNUMBER(J135),J135,0),IF(ISNUMBER(L135),L135,0))</f>
        <v/>
      </c>
      <c r="O135" s="14">
        <f>G135-N135</f>
        <v/>
      </c>
      <c r="P135">
        <f>IF(AND($D135="",E135=0,F135=0),"Vacant",IF(O135&lt;-0.004,"Overpaid / Credit",IF(O135&lt;=0.004,"Paid",IF(N135&lt;=0.004,"Unpaid","Partial"))))</f>
        <v/>
      </c>
    </row>
    <row r="136">
      <c r="A136" s="13" t="n"/>
      <c r="B136" s="8" t="n"/>
      <c r="C136" s="8" t="n"/>
      <c r="D136" s="8" t="n"/>
      <c r="E136" s="11" t="n"/>
      <c r="F136" s="14">
        <f>O135</f>
        <v/>
      </c>
      <c r="G136" s="14">
        <f>E136+F136</f>
        <v/>
      </c>
      <c r="H136" s="11" t="n"/>
      <c r="I136" s="10" t="n"/>
      <c r="J136" s="11" t="n"/>
      <c r="K136" s="10" t="n"/>
      <c r="L136" s="11" t="n"/>
      <c r="M136" s="10" t="n"/>
      <c r="N136" s="14">
        <f>SUM(IF(ISNUMBER(H136),H136,0),IF(ISNUMBER(J136),J136,0),IF(ISNUMBER(L136),L136,0))</f>
        <v/>
      </c>
      <c r="O136" s="14">
        <f>G136-N136</f>
        <v/>
      </c>
      <c r="P136">
        <f>IF(AND($D136="",E136=0,F136=0),"Vacant",IF(O136&lt;-0.004,"Overpaid / Credit",IF(O136&lt;=0.004,"Paid",IF(N136&lt;=0.004,"Unpaid","Partial"))))</f>
        <v/>
      </c>
    </row>
    <row r="137">
      <c r="A137" s="13" t="n"/>
      <c r="B137" s="8" t="n"/>
      <c r="C137" s="8" t="n"/>
      <c r="D137" s="8" t="n"/>
      <c r="E137" s="11" t="n"/>
      <c r="F137" s="14">
        <f>O136</f>
        <v/>
      </c>
      <c r="G137" s="14">
        <f>E137+F137</f>
        <v/>
      </c>
      <c r="H137" s="11" t="n"/>
      <c r="I137" s="10" t="n"/>
      <c r="J137" s="11" t="n"/>
      <c r="K137" s="10" t="n"/>
      <c r="L137" s="11" t="n"/>
      <c r="M137" s="10" t="n"/>
      <c r="N137" s="14">
        <f>SUM(IF(ISNUMBER(H137),H137,0),IF(ISNUMBER(J137),J137,0),IF(ISNUMBER(L137),L137,0))</f>
        <v/>
      </c>
      <c r="O137" s="14">
        <f>G137-N137</f>
        <v/>
      </c>
      <c r="P137">
        <f>IF(AND($D137="",E137=0,F137=0),"Vacant",IF(O137&lt;-0.004,"Overpaid / Credit",IF(O137&lt;=0.004,"Paid",IF(N137&lt;=0.004,"Unpaid","Partial"))))</f>
        <v/>
      </c>
    </row>
    <row r="138">
      <c r="A138" s="13" t="n"/>
      <c r="B138" s="8" t="n"/>
      <c r="C138" s="8" t="n"/>
      <c r="D138" s="8" t="n"/>
      <c r="E138" s="11" t="n"/>
      <c r="F138" s="14">
        <f>O137</f>
        <v/>
      </c>
      <c r="G138" s="14">
        <f>E138+F138</f>
        <v/>
      </c>
      <c r="H138" s="11" t="n"/>
      <c r="I138" s="10" t="n"/>
      <c r="J138" s="11" t="n"/>
      <c r="K138" s="10" t="n"/>
      <c r="L138" s="11" t="n"/>
      <c r="M138" s="10" t="n"/>
      <c r="N138" s="14">
        <f>SUM(IF(ISNUMBER(H138),H138,0),IF(ISNUMBER(J138),J138,0),IF(ISNUMBER(L138),L138,0))</f>
        <v/>
      </c>
      <c r="O138" s="14">
        <f>G138-N138</f>
        <v/>
      </c>
      <c r="P138">
        <f>IF(AND($D138="",E138=0,F138=0),"Vacant",IF(O138&lt;-0.004,"Overpaid / Credit",IF(O138&lt;=0.004,"Paid",IF(N138&lt;=0.004,"Unpaid","Partial"))))</f>
        <v/>
      </c>
    </row>
    <row r="139">
      <c r="A139" s="13" t="n"/>
      <c r="B139" s="8" t="n"/>
      <c r="C139" s="8" t="n"/>
      <c r="D139" s="8" t="n"/>
      <c r="E139" s="11" t="n"/>
      <c r="F139" s="14">
        <f>O138</f>
        <v/>
      </c>
      <c r="G139" s="14">
        <f>E139+F139</f>
        <v/>
      </c>
      <c r="H139" s="11" t="n"/>
      <c r="I139" s="10" t="n"/>
      <c r="J139" s="11" t="n"/>
      <c r="K139" s="10" t="n"/>
      <c r="L139" s="11" t="n"/>
      <c r="M139" s="10" t="n"/>
      <c r="N139" s="14">
        <f>SUM(IF(ISNUMBER(H139),H139,0),IF(ISNUMBER(J139),J139,0),IF(ISNUMBER(L139),L139,0))</f>
        <v/>
      </c>
      <c r="O139" s="14">
        <f>G139-N139</f>
        <v/>
      </c>
      <c r="P139">
        <f>IF(AND($D139="",E139=0,F139=0),"Vacant",IF(O139&lt;-0.004,"Overpaid / Credit",IF(O139&lt;=0.004,"Paid",IF(N139&lt;=0.004,"Unpaid","Partial"))))</f>
        <v/>
      </c>
    </row>
    <row r="140">
      <c r="A140" s="13" t="n"/>
      <c r="B140" s="8" t="n"/>
      <c r="C140" s="8" t="n"/>
      <c r="D140" s="8" t="n"/>
      <c r="E140" s="11" t="n"/>
      <c r="F140" s="14">
        <f>O139</f>
        <v/>
      </c>
      <c r="G140" s="14">
        <f>E140+F140</f>
        <v/>
      </c>
      <c r="H140" s="11" t="n"/>
      <c r="I140" s="10" t="n"/>
      <c r="J140" s="11" t="n"/>
      <c r="K140" s="10" t="n"/>
      <c r="L140" s="11" t="n"/>
      <c r="M140" s="10" t="n"/>
      <c r="N140" s="14">
        <f>SUM(IF(ISNUMBER(H140),H140,0),IF(ISNUMBER(J140),J140,0),IF(ISNUMBER(L140),L140,0))</f>
        <v/>
      </c>
      <c r="O140" s="14">
        <f>G140-N140</f>
        <v/>
      </c>
      <c r="P140">
        <f>IF(AND($D140="",E140=0,F140=0),"Vacant",IF(O140&lt;-0.004,"Overpaid / Credit",IF(O140&lt;=0.004,"Paid",IF(N140&lt;=0.004,"Unpaid","Partial"))))</f>
        <v/>
      </c>
    </row>
    <row r="141">
      <c r="A141" s="13" t="n"/>
      <c r="B141" s="8" t="n"/>
      <c r="C141" s="8" t="n"/>
      <c r="D141" s="8" t="n"/>
      <c r="E141" s="11" t="n"/>
      <c r="F141" s="14">
        <f>O140</f>
        <v/>
      </c>
      <c r="G141" s="14">
        <f>E141+F141</f>
        <v/>
      </c>
      <c r="H141" s="11" t="n"/>
      <c r="I141" s="10" t="n"/>
      <c r="J141" s="11" t="n"/>
      <c r="K141" s="10" t="n"/>
      <c r="L141" s="11" t="n"/>
      <c r="M141" s="10" t="n"/>
      <c r="N141" s="14">
        <f>SUM(IF(ISNUMBER(H141),H141,0),IF(ISNUMBER(J141),J141,0),IF(ISNUMBER(L141),L141,0))</f>
        <v/>
      </c>
      <c r="O141" s="14">
        <f>G141-N141</f>
        <v/>
      </c>
      <c r="P141">
        <f>IF(AND($D141="",E141=0,F141=0),"Vacant",IF(O141&lt;-0.004,"Overpaid / Credit",IF(O141&lt;=0.004,"Paid",IF(N141&lt;=0.004,"Unpaid","Partial"))))</f>
        <v/>
      </c>
    </row>
    <row r="142">
      <c r="A142" s="13" t="n"/>
      <c r="B142" s="8" t="n"/>
      <c r="C142" s="8" t="n"/>
      <c r="D142" s="8" t="n"/>
      <c r="E142" s="11" t="n"/>
      <c r="F142" s="11" t="n">
        <v>0</v>
      </c>
      <c r="G142" s="14">
        <f>E142+F142</f>
        <v/>
      </c>
      <c r="H142" s="11" t="n"/>
      <c r="I142" s="10" t="n"/>
      <c r="J142" s="11" t="n"/>
      <c r="K142" s="10" t="n"/>
      <c r="L142" s="11" t="n"/>
      <c r="M142" s="10" t="n"/>
      <c r="N142" s="14">
        <f>SUM(IF(ISNUMBER(H142),H142,0),IF(ISNUMBER(J142),J142,0),IF(ISNUMBER(L142),L142,0))</f>
        <v/>
      </c>
      <c r="O142" s="14">
        <f>G142-N142</f>
        <v/>
      </c>
      <c r="P142">
        <f>IF(AND($D142="",E142=0,F142=0),"Vacant",IF(O142&lt;-0.004,"Overpaid / Credit",IF(O142&lt;=0.004,"Paid",IF(N142&lt;=0.004,"Unpaid","Partial"))))</f>
        <v/>
      </c>
    </row>
    <row r="143">
      <c r="A143" s="13" t="n"/>
      <c r="B143" s="8" t="n"/>
      <c r="C143" s="8" t="n"/>
      <c r="D143" s="8" t="n"/>
      <c r="E143" s="11" t="n"/>
      <c r="F143" s="14">
        <f>O142</f>
        <v/>
      </c>
      <c r="G143" s="14">
        <f>E143+F143</f>
        <v/>
      </c>
      <c r="H143" s="11" t="n"/>
      <c r="I143" s="10" t="n"/>
      <c r="J143" s="11" t="n"/>
      <c r="K143" s="10" t="n"/>
      <c r="L143" s="11" t="n"/>
      <c r="M143" s="10" t="n"/>
      <c r="N143" s="14">
        <f>SUM(IF(ISNUMBER(H143),H143,0),IF(ISNUMBER(J143),J143,0),IF(ISNUMBER(L143),L143,0))</f>
        <v/>
      </c>
      <c r="O143" s="14">
        <f>G143-N143</f>
        <v/>
      </c>
      <c r="P143">
        <f>IF(AND($D143="",E143=0,F143=0),"Vacant",IF(O143&lt;-0.004,"Overpaid / Credit",IF(O143&lt;=0.004,"Paid",IF(N143&lt;=0.004,"Unpaid","Partial"))))</f>
        <v/>
      </c>
    </row>
    <row r="144">
      <c r="A144" s="13" t="n"/>
      <c r="B144" s="8" t="n"/>
      <c r="C144" s="8" t="n"/>
      <c r="D144" s="8" t="n"/>
      <c r="E144" s="11" t="n"/>
      <c r="F144" s="14">
        <f>O143</f>
        <v/>
      </c>
      <c r="G144" s="14">
        <f>E144+F144</f>
        <v/>
      </c>
      <c r="H144" s="11" t="n"/>
      <c r="I144" s="10" t="n"/>
      <c r="J144" s="11" t="n"/>
      <c r="K144" s="10" t="n"/>
      <c r="L144" s="11" t="n"/>
      <c r="M144" s="10" t="n"/>
      <c r="N144" s="14">
        <f>SUM(IF(ISNUMBER(H144),H144,0),IF(ISNUMBER(J144),J144,0),IF(ISNUMBER(L144),L144,0))</f>
        <v/>
      </c>
      <c r="O144" s="14">
        <f>G144-N144</f>
        <v/>
      </c>
      <c r="P144">
        <f>IF(AND($D144="",E144=0,F144=0),"Vacant",IF(O144&lt;-0.004,"Overpaid / Credit",IF(O144&lt;=0.004,"Paid",IF(N144&lt;=0.004,"Unpaid","Partial"))))</f>
        <v/>
      </c>
    </row>
    <row r="145">
      <c r="A145" s="13" t="n"/>
      <c r="B145" s="8" t="n"/>
      <c r="C145" s="8" t="n"/>
      <c r="D145" s="8" t="n"/>
      <c r="E145" s="11" t="n"/>
      <c r="F145" s="14">
        <f>O144</f>
        <v/>
      </c>
      <c r="G145" s="14">
        <f>E145+F145</f>
        <v/>
      </c>
      <c r="H145" s="11" t="n"/>
      <c r="I145" s="10" t="n"/>
      <c r="J145" s="11" t="n"/>
      <c r="K145" s="10" t="n"/>
      <c r="L145" s="11" t="n"/>
      <c r="M145" s="10" t="n"/>
      <c r="N145" s="14">
        <f>SUM(IF(ISNUMBER(H145),H145,0),IF(ISNUMBER(J145),J145,0),IF(ISNUMBER(L145),L145,0))</f>
        <v/>
      </c>
      <c r="O145" s="14">
        <f>G145-N145</f>
        <v/>
      </c>
      <c r="P145">
        <f>IF(AND($D145="",E145=0,F145=0),"Vacant",IF(O145&lt;-0.004,"Overpaid / Credit",IF(O145&lt;=0.004,"Paid",IF(N145&lt;=0.004,"Unpaid","Partial"))))</f>
        <v/>
      </c>
    </row>
    <row r="146">
      <c r="A146" s="13" t="n"/>
      <c r="B146" s="8" t="n"/>
      <c r="C146" s="8" t="n"/>
      <c r="D146" s="8" t="n"/>
      <c r="E146" s="11" t="n"/>
      <c r="F146" s="14">
        <f>O145</f>
        <v/>
      </c>
      <c r="G146" s="14">
        <f>E146+F146</f>
        <v/>
      </c>
      <c r="H146" s="11" t="n"/>
      <c r="I146" s="10" t="n"/>
      <c r="J146" s="11" t="n"/>
      <c r="K146" s="10" t="n"/>
      <c r="L146" s="11" t="n"/>
      <c r="M146" s="10" t="n"/>
      <c r="N146" s="14">
        <f>SUM(IF(ISNUMBER(H146),H146,0),IF(ISNUMBER(J146),J146,0),IF(ISNUMBER(L146),L146,0))</f>
        <v/>
      </c>
      <c r="O146" s="14">
        <f>G146-N146</f>
        <v/>
      </c>
      <c r="P146">
        <f>IF(AND($D146="",E146=0,F146=0),"Vacant",IF(O146&lt;-0.004,"Overpaid / Credit",IF(O146&lt;=0.004,"Paid",IF(N146&lt;=0.004,"Unpaid","Partial"))))</f>
        <v/>
      </c>
    </row>
    <row r="147">
      <c r="A147" s="13" t="n"/>
      <c r="B147" s="8" t="n"/>
      <c r="C147" s="8" t="n"/>
      <c r="D147" s="8" t="n"/>
      <c r="E147" s="11" t="n"/>
      <c r="F147" s="14">
        <f>O146</f>
        <v/>
      </c>
      <c r="G147" s="14">
        <f>E147+F147</f>
        <v/>
      </c>
      <c r="H147" s="11" t="n"/>
      <c r="I147" s="10" t="n"/>
      <c r="J147" s="11" t="n"/>
      <c r="K147" s="10" t="n"/>
      <c r="L147" s="11" t="n"/>
      <c r="M147" s="10" t="n"/>
      <c r="N147" s="14">
        <f>SUM(IF(ISNUMBER(H147),H147,0),IF(ISNUMBER(J147),J147,0),IF(ISNUMBER(L147),L147,0))</f>
        <v/>
      </c>
      <c r="O147" s="14">
        <f>G147-N147</f>
        <v/>
      </c>
      <c r="P147">
        <f>IF(AND($D147="",E147=0,F147=0),"Vacant",IF(O147&lt;-0.004,"Overpaid / Credit",IF(O147&lt;=0.004,"Paid",IF(N147&lt;=0.004,"Unpaid","Partial"))))</f>
        <v/>
      </c>
    </row>
    <row r="148">
      <c r="A148" s="13" t="n"/>
      <c r="B148" s="8" t="n"/>
      <c r="C148" s="8" t="n"/>
      <c r="D148" s="8" t="n"/>
      <c r="E148" s="11" t="n"/>
      <c r="F148" s="14">
        <f>O147</f>
        <v/>
      </c>
      <c r="G148" s="14">
        <f>E148+F148</f>
        <v/>
      </c>
      <c r="H148" s="11" t="n"/>
      <c r="I148" s="10" t="n"/>
      <c r="J148" s="11" t="n"/>
      <c r="K148" s="10" t="n"/>
      <c r="L148" s="11" t="n"/>
      <c r="M148" s="10" t="n"/>
      <c r="N148" s="14">
        <f>SUM(IF(ISNUMBER(H148),H148,0),IF(ISNUMBER(J148),J148,0),IF(ISNUMBER(L148),L148,0))</f>
        <v/>
      </c>
      <c r="O148" s="14">
        <f>G148-N148</f>
        <v/>
      </c>
      <c r="P148">
        <f>IF(AND($D148="",E148=0,F148=0),"Vacant",IF(O148&lt;-0.004,"Overpaid / Credit",IF(O148&lt;=0.004,"Paid",IF(N148&lt;=0.004,"Unpaid","Partial"))))</f>
        <v/>
      </c>
    </row>
    <row r="149">
      <c r="A149" s="13" t="n"/>
      <c r="B149" s="8" t="n"/>
      <c r="C149" s="8" t="n"/>
      <c r="D149" s="8" t="n"/>
      <c r="E149" s="11" t="n"/>
      <c r="F149" s="14">
        <f>O148</f>
        <v/>
      </c>
      <c r="G149" s="14">
        <f>E149+F149</f>
        <v/>
      </c>
      <c r="H149" s="11" t="n"/>
      <c r="I149" s="10" t="n"/>
      <c r="J149" s="11" t="n"/>
      <c r="K149" s="10" t="n"/>
      <c r="L149" s="11" t="n"/>
      <c r="M149" s="10" t="n"/>
      <c r="N149" s="14">
        <f>SUM(IF(ISNUMBER(H149),H149,0),IF(ISNUMBER(J149),J149,0),IF(ISNUMBER(L149),L149,0))</f>
        <v/>
      </c>
      <c r="O149" s="14">
        <f>G149-N149</f>
        <v/>
      </c>
      <c r="P149">
        <f>IF(AND($D149="",E149=0,F149=0),"Vacant",IF(O149&lt;-0.004,"Overpaid / Credit",IF(O149&lt;=0.004,"Paid",IF(N149&lt;=0.004,"Unpaid","Partial"))))</f>
        <v/>
      </c>
    </row>
    <row r="150">
      <c r="A150" s="13" t="n"/>
      <c r="B150" s="8" t="n"/>
      <c r="C150" s="8" t="n"/>
      <c r="D150" s="8" t="n"/>
      <c r="E150" s="11" t="n"/>
      <c r="F150" s="14">
        <f>O149</f>
        <v/>
      </c>
      <c r="G150" s="14">
        <f>E150+F150</f>
        <v/>
      </c>
      <c r="H150" s="11" t="n"/>
      <c r="I150" s="10" t="n"/>
      <c r="J150" s="11" t="n"/>
      <c r="K150" s="10" t="n"/>
      <c r="L150" s="11" t="n"/>
      <c r="M150" s="10" t="n"/>
      <c r="N150" s="14">
        <f>SUM(IF(ISNUMBER(H150),H150,0),IF(ISNUMBER(J150),J150,0),IF(ISNUMBER(L150),L150,0))</f>
        <v/>
      </c>
      <c r="O150" s="14">
        <f>G150-N150</f>
        <v/>
      </c>
      <c r="P150">
        <f>IF(AND($D150="",E150=0,F150=0),"Vacant",IF(O150&lt;-0.004,"Overpaid / Credit",IF(O150&lt;=0.004,"Paid",IF(N150&lt;=0.004,"Unpaid","Partial"))))</f>
        <v/>
      </c>
    </row>
    <row r="151">
      <c r="A151" s="13" t="n"/>
      <c r="B151" s="8" t="n"/>
      <c r="C151" s="8" t="n"/>
      <c r="D151" s="8" t="n"/>
      <c r="E151" s="11" t="n"/>
      <c r="F151" s="14">
        <f>O150</f>
        <v/>
      </c>
      <c r="G151" s="14">
        <f>E151+F151</f>
        <v/>
      </c>
      <c r="H151" s="11" t="n"/>
      <c r="I151" s="10" t="n"/>
      <c r="J151" s="11" t="n"/>
      <c r="K151" s="10" t="n"/>
      <c r="L151" s="11" t="n"/>
      <c r="M151" s="10" t="n"/>
      <c r="N151" s="14">
        <f>SUM(IF(ISNUMBER(H151),H151,0),IF(ISNUMBER(J151),J151,0),IF(ISNUMBER(L151),L151,0))</f>
        <v/>
      </c>
      <c r="O151" s="14">
        <f>G151-N151</f>
        <v/>
      </c>
      <c r="P151">
        <f>IF(AND($D151="",E151=0,F151=0),"Vacant",IF(O151&lt;-0.004,"Overpaid / Credit",IF(O151&lt;=0.004,"Paid",IF(N151&lt;=0.004,"Unpaid","Partial"))))</f>
        <v/>
      </c>
    </row>
    <row r="152">
      <c r="A152" s="13" t="n"/>
      <c r="B152" s="8" t="n"/>
      <c r="C152" s="8" t="n"/>
      <c r="D152" s="8" t="n"/>
      <c r="E152" s="11" t="n"/>
      <c r="F152" s="14">
        <f>O151</f>
        <v/>
      </c>
      <c r="G152" s="14">
        <f>E152+F152</f>
        <v/>
      </c>
      <c r="H152" s="11" t="n"/>
      <c r="I152" s="10" t="n"/>
      <c r="J152" s="11" t="n"/>
      <c r="K152" s="10" t="n"/>
      <c r="L152" s="11" t="n"/>
      <c r="M152" s="10" t="n"/>
      <c r="N152" s="14">
        <f>SUM(IF(ISNUMBER(H152),H152,0),IF(ISNUMBER(J152),J152,0),IF(ISNUMBER(L152),L152,0))</f>
        <v/>
      </c>
      <c r="O152" s="14">
        <f>G152-N152</f>
        <v/>
      </c>
      <c r="P152">
        <f>IF(AND($D152="",E152=0,F152=0),"Vacant",IF(O152&lt;-0.004,"Overpaid / Credit",IF(O152&lt;=0.004,"Paid",IF(N152&lt;=0.004,"Unpaid","Partial"))))</f>
        <v/>
      </c>
    </row>
    <row r="153">
      <c r="A153" s="13" t="n"/>
      <c r="B153" s="8" t="n"/>
      <c r="C153" s="8" t="n"/>
      <c r="D153" s="8" t="n"/>
      <c r="E153" s="11" t="n"/>
      <c r="F153" s="14">
        <f>O152</f>
        <v/>
      </c>
      <c r="G153" s="14">
        <f>E153+F153</f>
        <v/>
      </c>
      <c r="H153" s="11" t="n"/>
      <c r="I153" s="10" t="n"/>
      <c r="J153" s="11" t="n"/>
      <c r="K153" s="10" t="n"/>
      <c r="L153" s="11" t="n"/>
      <c r="M153" s="10" t="n"/>
      <c r="N153" s="14">
        <f>SUM(IF(ISNUMBER(H153),H153,0),IF(ISNUMBER(J153),J153,0),IF(ISNUMBER(L153),L153,0))</f>
        <v/>
      </c>
      <c r="O153" s="14">
        <f>G153-N153</f>
        <v/>
      </c>
      <c r="P153">
        <f>IF(AND($D153="",E153=0,F153=0),"Vacant",IF(O153&lt;-0.004,"Overpaid / Credit",IF(O153&lt;=0.004,"Paid",IF(N153&lt;=0.004,"Unpaid","Partial"))))</f>
        <v/>
      </c>
    </row>
    <row r="154">
      <c r="A154" s="13" t="n"/>
      <c r="B154" s="8" t="n"/>
      <c r="C154" s="8" t="n"/>
      <c r="D154" s="8" t="n"/>
      <c r="E154" s="11" t="n"/>
      <c r="F154" s="11" t="n">
        <v>0</v>
      </c>
      <c r="G154" s="14">
        <f>E154+F154</f>
        <v/>
      </c>
      <c r="H154" s="11" t="n"/>
      <c r="I154" s="10" t="n"/>
      <c r="J154" s="11" t="n"/>
      <c r="K154" s="10" t="n"/>
      <c r="L154" s="11" t="n"/>
      <c r="M154" s="10" t="n"/>
      <c r="N154" s="14">
        <f>SUM(IF(ISNUMBER(H154),H154,0),IF(ISNUMBER(J154),J154,0),IF(ISNUMBER(L154),L154,0))</f>
        <v/>
      </c>
      <c r="O154" s="14">
        <f>G154-N154</f>
        <v/>
      </c>
      <c r="P154">
        <f>IF(AND($D154="",E154=0,F154=0),"Vacant",IF(O154&lt;-0.004,"Overpaid / Credit",IF(O154&lt;=0.004,"Paid",IF(N154&lt;=0.004,"Unpaid","Partial"))))</f>
        <v/>
      </c>
    </row>
    <row r="155">
      <c r="A155" s="13" t="n"/>
      <c r="B155" s="8" t="n"/>
      <c r="C155" s="8" t="n"/>
      <c r="D155" s="8" t="n"/>
      <c r="E155" s="11" t="n"/>
      <c r="F155" s="14">
        <f>O154</f>
        <v/>
      </c>
      <c r="G155" s="14">
        <f>E155+F155</f>
        <v/>
      </c>
      <c r="H155" s="11" t="n"/>
      <c r="I155" s="10" t="n"/>
      <c r="J155" s="11" t="n"/>
      <c r="K155" s="10" t="n"/>
      <c r="L155" s="11" t="n"/>
      <c r="M155" s="10" t="n"/>
      <c r="N155" s="14">
        <f>SUM(IF(ISNUMBER(H155),H155,0),IF(ISNUMBER(J155),J155,0),IF(ISNUMBER(L155),L155,0))</f>
        <v/>
      </c>
      <c r="O155" s="14">
        <f>G155-N155</f>
        <v/>
      </c>
      <c r="P155">
        <f>IF(AND($D155="",E155=0,F155=0),"Vacant",IF(O155&lt;-0.004,"Overpaid / Credit",IF(O155&lt;=0.004,"Paid",IF(N155&lt;=0.004,"Unpaid","Partial"))))</f>
        <v/>
      </c>
    </row>
    <row r="156">
      <c r="A156" s="13" t="n"/>
      <c r="B156" s="8" t="n"/>
      <c r="C156" s="8" t="n"/>
      <c r="D156" s="8" t="n"/>
      <c r="E156" s="11" t="n"/>
      <c r="F156" s="14">
        <f>O155</f>
        <v/>
      </c>
      <c r="G156" s="14">
        <f>E156+F156</f>
        <v/>
      </c>
      <c r="H156" s="11" t="n"/>
      <c r="I156" s="10" t="n"/>
      <c r="J156" s="11" t="n"/>
      <c r="K156" s="10" t="n"/>
      <c r="L156" s="11" t="n"/>
      <c r="M156" s="10" t="n"/>
      <c r="N156" s="14">
        <f>SUM(IF(ISNUMBER(H156),H156,0),IF(ISNUMBER(J156),J156,0),IF(ISNUMBER(L156),L156,0))</f>
        <v/>
      </c>
      <c r="O156" s="14">
        <f>G156-N156</f>
        <v/>
      </c>
      <c r="P156">
        <f>IF(AND($D156="",E156=0,F156=0),"Vacant",IF(O156&lt;-0.004,"Overpaid / Credit",IF(O156&lt;=0.004,"Paid",IF(N156&lt;=0.004,"Unpaid","Partial"))))</f>
        <v/>
      </c>
    </row>
    <row r="157">
      <c r="A157" s="13" t="n"/>
      <c r="B157" s="8" t="n"/>
      <c r="C157" s="8" t="n"/>
      <c r="D157" s="8" t="n"/>
      <c r="E157" s="11" t="n"/>
      <c r="F157" s="14">
        <f>O156</f>
        <v/>
      </c>
      <c r="G157" s="14">
        <f>E157+F157</f>
        <v/>
      </c>
      <c r="H157" s="11" t="n"/>
      <c r="I157" s="10" t="n"/>
      <c r="J157" s="11" t="n"/>
      <c r="K157" s="10" t="n"/>
      <c r="L157" s="11" t="n"/>
      <c r="M157" s="10" t="n"/>
      <c r="N157" s="14">
        <f>SUM(IF(ISNUMBER(H157),H157,0),IF(ISNUMBER(J157),J157,0),IF(ISNUMBER(L157),L157,0))</f>
        <v/>
      </c>
      <c r="O157" s="14">
        <f>G157-N157</f>
        <v/>
      </c>
      <c r="P157">
        <f>IF(AND($D157="",E157=0,F157=0),"Vacant",IF(O157&lt;-0.004,"Overpaid / Credit",IF(O157&lt;=0.004,"Paid",IF(N157&lt;=0.004,"Unpaid","Partial"))))</f>
        <v/>
      </c>
    </row>
    <row r="158">
      <c r="A158" s="13" t="n"/>
      <c r="B158" s="8" t="n"/>
      <c r="C158" s="8" t="n"/>
      <c r="D158" s="8" t="n"/>
      <c r="E158" s="11" t="n"/>
      <c r="F158" s="14">
        <f>O157</f>
        <v/>
      </c>
      <c r="G158" s="14">
        <f>E158+F158</f>
        <v/>
      </c>
      <c r="H158" s="11" t="n"/>
      <c r="I158" s="10" t="n"/>
      <c r="J158" s="11" t="n"/>
      <c r="K158" s="10" t="n"/>
      <c r="L158" s="11" t="n"/>
      <c r="M158" s="10" t="n"/>
      <c r="N158" s="14">
        <f>SUM(IF(ISNUMBER(H158),H158,0),IF(ISNUMBER(J158),J158,0),IF(ISNUMBER(L158),L158,0))</f>
        <v/>
      </c>
      <c r="O158" s="14">
        <f>G158-N158</f>
        <v/>
      </c>
      <c r="P158">
        <f>IF(AND($D158="",E158=0,F158=0),"Vacant",IF(O158&lt;-0.004,"Overpaid / Credit",IF(O158&lt;=0.004,"Paid",IF(N158&lt;=0.004,"Unpaid","Partial"))))</f>
        <v/>
      </c>
    </row>
    <row r="159">
      <c r="A159" s="13" t="n"/>
      <c r="B159" s="8" t="n"/>
      <c r="C159" s="8" t="n"/>
      <c r="D159" s="8" t="n"/>
      <c r="E159" s="11" t="n"/>
      <c r="F159" s="14">
        <f>O158</f>
        <v/>
      </c>
      <c r="G159" s="14">
        <f>E159+F159</f>
        <v/>
      </c>
      <c r="H159" s="11" t="n"/>
      <c r="I159" s="10" t="n"/>
      <c r="J159" s="11" t="n"/>
      <c r="K159" s="10" t="n"/>
      <c r="L159" s="11" t="n"/>
      <c r="M159" s="10" t="n"/>
      <c r="N159" s="14">
        <f>SUM(IF(ISNUMBER(H159),H159,0),IF(ISNUMBER(J159),J159,0),IF(ISNUMBER(L159),L159,0))</f>
        <v/>
      </c>
      <c r="O159" s="14">
        <f>G159-N159</f>
        <v/>
      </c>
      <c r="P159">
        <f>IF(AND($D159="",E159=0,F159=0),"Vacant",IF(O159&lt;-0.004,"Overpaid / Credit",IF(O159&lt;=0.004,"Paid",IF(N159&lt;=0.004,"Unpaid","Partial"))))</f>
        <v/>
      </c>
    </row>
    <row r="160">
      <c r="A160" s="13" t="n"/>
      <c r="B160" s="8" t="n"/>
      <c r="C160" s="8" t="n"/>
      <c r="D160" s="8" t="n"/>
      <c r="E160" s="11" t="n"/>
      <c r="F160" s="14">
        <f>O159</f>
        <v/>
      </c>
      <c r="G160" s="14">
        <f>E160+F160</f>
        <v/>
      </c>
      <c r="H160" s="11" t="n"/>
      <c r="I160" s="10" t="n"/>
      <c r="J160" s="11" t="n"/>
      <c r="K160" s="10" t="n"/>
      <c r="L160" s="11" t="n"/>
      <c r="M160" s="10" t="n"/>
      <c r="N160" s="14">
        <f>SUM(IF(ISNUMBER(H160),H160,0),IF(ISNUMBER(J160),J160,0),IF(ISNUMBER(L160),L160,0))</f>
        <v/>
      </c>
      <c r="O160" s="14">
        <f>G160-N160</f>
        <v/>
      </c>
      <c r="P160">
        <f>IF(AND($D160="",E160=0,F160=0),"Vacant",IF(O160&lt;-0.004,"Overpaid / Credit",IF(O160&lt;=0.004,"Paid",IF(N160&lt;=0.004,"Unpaid","Partial"))))</f>
        <v/>
      </c>
    </row>
    <row r="161">
      <c r="A161" s="13" t="n"/>
      <c r="B161" s="8" t="n"/>
      <c r="C161" s="8" t="n"/>
      <c r="D161" s="8" t="n"/>
      <c r="E161" s="11" t="n"/>
      <c r="F161" s="14">
        <f>O160</f>
        <v/>
      </c>
      <c r="G161" s="14">
        <f>E161+F161</f>
        <v/>
      </c>
      <c r="H161" s="11" t="n"/>
      <c r="I161" s="10" t="n"/>
      <c r="J161" s="11" t="n"/>
      <c r="K161" s="10" t="n"/>
      <c r="L161" s="11" t="n"/>
      <c r="M161" s="10" t="n"/>
      <c r="N161" s="14">
        <f>SUM(IF(ISNUMBER(H161),H161,0),IF(ISNUMBER(J161),J161,0),IF(ISNUMBER(L161),L161,0))</f>
        <v/>
      </c>
      <c r="O161" s="14">
        <f>G161-N161</f>
        <v/>
      </c>
      <c r="P161">
        <f>IF(AND($D161="",E161=0,F161=0),"Vacant",IF(O161&lt;-0.004,"Overpaid / Credit",IF(O161&lt;=0.004,"Paid",IF(N161&lt;=0.004,"Unpaid","Partial"))))</f>
        <v/>
      </c>
    </row>
    <row r="162">
      <c r="A162" s="13" t="n"/>
      <c r="B162" s="8" t="n"/>
      <c r="C162" s="8" t="n"/>
      <c r="D162" s="8" t="n"/>
      <c r="E162" s="11" t="n"/>
      <c r="F162" s="14">
        <f>O161</f>
        <v/>
      </c>
      <c r="G162" s="14">
        <f>E162+F162</f>
        <v/>
      </c>
      <c r="H162" s="11" t="n"/>
      <c r="I162" s="10" t="n"/>
      <c r="J162" s="11" t="n"/>
      <c r="K162" s="10" t="n"/>
      <c r="L162" s="11" t="n"/>
      <c r="M162" s="10" t="n"/>
      <c r="N162" s="14">
        <f>SUM(IF(ISNUMBER(H162),H162,0),IF(ISNUMBER(J162),J162,0),IF(ISNUMBER(L162),L162,0))</f>
        <v/>
      </c>
      <c r="O162" s="14">
        <f>G162-N162</f>
        <v/>
      </c>
      <c r="P162">
        <f>IF(AND($D162="",E162=0,F162=0),"Vacant",IF(O162&lt;-0.004,"Overpaid / Credit",IF(O162&lt;=0.004,"Paid",IF(N162&lt;=0.004,"Unpaid","Partial"))))</f>
        <v/>
      </c>
    </row>
    <row r="163">
      <c r="A163" s="13" t="n"/>
      <c r="B163" s="8" t="n"/>
      <c r="C163" s="8" t="n"/>
      <c r="D163" s="8" t="n"/>
      <c r="E163" s="11" t="n"/>
      <c r="F163" s="14">
        <f>O162</f>
        <v/>
      </c>
      <c r="G163" s="14">
        <f>E163+F163</f>
        <v/>
      </c>
      <c r="H163" s="11" t="n"/>
      <c r="I163" s="10" t="n"/>
      <c r="J163" s="11" t="n"/>
      <c r="K163" s="10" t="n"/>
      <c r="L163" s="11" t="n"/>
      <c r="M163" s="10" t="n"/>
      <c r="N163" s="14">
        <f>SUM(IF(ISNUMBER(H163),H163,0),IF(ISNUMBER(J163),J163,0),IF(ISNUMBER(L163),L163,0))</f>
        <v/>
      </c>
      <c r="O163" s="14">
        <f>G163-N163</f>
        <v/>
      </c>
      <c r="P163">
        <f>IF(AND($D163="",E163=0,F163=0),"Vacant",IF(O163&lt;-0.004,"Overpaid / Credit",IF(O163&lt;=0.004,"Paid",IF(N163&lt;=0.004,"Unpaid","Partial"))))</f>
        <v/>
      </c>
    </row>
    <row r="164">
      <c r="A164" s="13" t="n"/>
      <c r="B164" s="8" t="n"/>
      <c r="C164" s="8" t="n"/>
      <c r="D164" s="8" t="n"/>
      <c r="E164" s="11" t="n"/>
      <c r="F164" s="14">
        <f>O163</f>
        <v/>
      </c>
      <c r="G164" s="14">
        <f>E164+F164</f>
        <v/>
      </c>
      <c r="H164" s="11" t="n"/>
      <c r="I164" s="10" t="n"/>
      <c r="J164" s="11" t="n"/>
      <c r="K164" s="10" t="n"/>
      <c r="L164" s="11" t="n"/>
      <c r="M164" s="10" t="n"/>
      <c r="N164" s="14">
        <f>SUM(IF(ISNUMBER(H164),H164,0),IF(ISNUMBER(J164),J164,0),IF(ISNUMBER(L164),L164,0))</f>
        <v/>
      </c>
      <c r="O164" s="14">
        <f>G164-N164</f>
        <v/>
      </c>
      <c r="P164">
        <f>IF(AND($D164="",E164=0,F164=0),"Vacant",IF(O164&lt;-0.004,"Overpaid / Credit",IF(O164&lt;=0.004,"Paid",IF(N164&lt;=0.004,"Unpaid","Partial"))))</f>
        <v/>
      </c>
    </row>
    <row r="165">
      <c r="A165" s="13" t="n"/>
      <c r="B165" s="8" t="n"/>
      <c r="C165" s="8" t="n"/>
      <c r="D165" s="8" t="n"/>
      <c r="E165" s="11" t="n"/>
      <c r="F165" s="14">
        <f>O164</f>
        <v/>
      </c>
      <c r="G165" s="14">
        <f>E165+F165</f>
        <v/>
      </c>
      <c r="H165" s="11" t="n"/>
      <c r="I165" s="10" t="n"/>
      <c r="J165" s="11" t="n"/>
      <c r="K165" s="10" t="n"/>
      <c r="L165" s="11" t="n"/>
      <c r="M165" s="10" t="n"/>
      <c r="N165" s="14">
        <f>SUM(IF(ISNUMBER(H165),H165,0),IF(ISNUMBER(J165),J165,0),IF(ISNUMBER(L165),L165,0))</f>
        <v/>
      </c>
      <c r="O165" s="14">
        <f>G165-N165</f>
        <v/>
      </c>
      <c r="P165">
        <f>IF(AND($D165="",E165=0,F165=0),"Vacant",IF(O165&lt;-0.004,"Overpaid / Credit",IF(O165&lt;=0.004,"Paid",IF(N165&lt;=0.004,"Unpaid","Partial"))))</f>
        <v/>
      </c>
    </row>
    <row r="166">
      <c r="A166" s="13" t="n"/>
      <c r="B166" s="8" t="n"/>
      <c r="C166" s="8" t="n"/>
      <c r="D166" s="8" t="n"/>
      <c r="E166" s="11" t="n"/>
      <c r="F166" s="11" t="n">
        <v>0</v>
      </c>
      <c r="G166" s="14">
        <f>E166+F166</f>
        <v/>
      </c>
      <c r="H166" s="11" t="n"/>
      <c r="I166" s="10" t="n"/>
      <c r="J166" s="11" t="n"/>
      <c r="K166" s="10" t="n"/>
      <c r="L166" s="11" t="n"/>
      <c r="M166" s="10" t="n"/>
      <c r="N166" s="14">
        <f>SUM(IF(ISNUMBER(H166),H166,0),IF(ISNUMBER(J166),J166,0),IF(ISNUMBER(L166),L166,0))</f>
        <v/>
      </c>
      <c r="O166" s="14">
        <f>G166-N166</f>
        <v/>
      </c>
      <c r="P166">
        <f>IF(AND($D166="",E166=0,F166=0),"Vacant",IF(O166&lt;-0.004,"Overpaid / Credit",IF(O166&lt;=0.004,"Paid",IF(N166&lt;=0.004,"Unpaid","Partial"))))</f>
        <v/>
      </c>
    </row>
    <row r="167">
      <c r="A167" s="13" t="n"/>
      <c r="B167" s="8" t="n"/>
      <c r="C167" s="8" t="n"/>
      <c r="D167" s="8" t="n"/>
      <c r="E167" s="11" t="n"/>
      <c r="F167" s="14">
        <f>O166</f>
        <v/>
      </c>
      <c r="G167" s="14">
        <f>E167+F167</f>
        <v/>
      </c>
      <c r="H167" s="11" t="n"/>
      <c r="I167" s="10" t="n"/>
      <c r="J167" s="11" t="n"/>
      <c r="K167" s="10" t="n"/>
      <c r="L167" s="11" t="n"/>
      <c r="M167" s="10" t="n"/>
      <c r="N167" s="14">
        <f>SUM(IF(ISNUMBER(H167),H167,0),IF(ISNUMBER(J167),J167,0),IF(ISNUMBER(L167),L167,0))</f>
        <v/>
      </c>
      <c r="O167" s="14">
        <f>G167-N167</f>
        <v/>
      </c>
      <c r="P167">
        <f>IF(AND($D167="",E167=0,F167=0),"Vacant",IF(O167&lt;-0.004,"Overpaid / Credit",IF(O167&lt;=0.004,"Paid",IF(N167&lt;=0.004,"Unpaid","Partial"))))</f>
        <v/>
      </c>
    </row>
    <row r="168">
      <c r="A168" s="13" t="n"/>
      <c r="B168" s="8" t="n"/>
      <c r="C168" s="8" t="n"/>
      <c r="D168" s="8" t="n"/>
      <c r="E168" s="11" t="n"/>
      <c r="F168" s="14">
        <f>O167</f>
        <v/>
      </c>
      <c r="G168" s="14">
        <f>E168+F168</f>
        <v/>
      </c>
      <c r="H168" s="11" t="n"/>
      <c r="I168" s="10" t="n"/>
      <c r="J168" s="11" t="n"/>
      <c r="K168" s="10" t="n"/>
      <c r="L168" s="11" t="n"/>
      <c r="M168" s="10" t="n"/>
      <c r="N168" s="14">
        <f>SUM(IF(ISNUMBER(H168),H168,0),IF(ISNUMBER(J168),J168,0),IF(ISNUMBER(L168),L168,0))</f>
        <v/>
      </c>
      <c r="O168" s="14">
        <f>G168-N168</f>
        <v/>
      </c>
      <c r="P168">
        <f>IF(AND($D168="",E168=0,F168=0),"Vacant",IF(O168&lt;-0.004,"Overpaid / Credit",IF(O168&lt;=0.004,"Paid",IF(N168&lt;=0.004,"Unpaid","Partial"))))</f>
        <v/>
      </c>
    </row>
    <row r="169">
      <c r="A169" s="13" t="n"/>
      <c r="B169" s="8" t="n"/>
      <c r="C169" s="8" t="n"/>
      <c r="D169" s="8" t="n"/>
      <c r="E169" s="11" t="n"/>
      <c r="F169" s="14">
        <f>O168</f>
        <v/>
      </c>
      <c r="G169" s="14">
        <f>E169+F169</f>
        <v/>
      </c>
      <c r="H169" s="11" t="n"/>
      <c r="I169" s="10" t="n"/>
      <c r="J169" s="11" t="n"/>
      <c r="K169" s="10" t="n"/>
      <c r="L169" s="11" t="n"/>
      <c r="M169" s="10" t="n"/>
      <c r="N169" s="14">
        <f>SUM(IF(ISNUMBER(H169),H169,0),IF(ISNUMBER(J169),J169,0),IF(ISNUMBER(L169),L169,0))</f>
        <v/>
      </c>
      <c r="O169" s="14">
        <f>G169-N169</f>
        <v/>
      </c>
      <c r="P169">
        <f>IF(AND($D169="",E169=0,F169=0),"Vacant",IF(O169&lt;-0.004,"Overpaid / Credit",IF(O169&lt;=0.004,"Paid",IF(N169&lt;=0.004,"Unpaid","Partial"))))</f>
        <v/>
      </c>
    </row>
    <row r="170">
      <c r="A170" s="13" t="n"/>
      <c r="B170" s="8" t="n"/>
      <c r="C170" s="8" t="n"/>
      <c r="D170" s="8" t="n"/>
      <c r="E170" s="11" t="n"/>
      <c r="F170" s="14">
        <f>O169</f>
        <v/>
      </c>
      <c r="G170" s="14">
        <f>E170+F170</f>
        <v/>
      </c>
      <c r="H170" s="11" t="n"/>
      <c r="I170" s="10" t="n"/>
      <c r="J170" s="11" t="n"/>
      <c r="K170" s="10" t="n"/>
      <c r="L170" s="11" t="n"/>
      <c r="M170" s="10" t="n"/>
      <c r="N170" s="14">
        <f>SUM(IF(ISNUMBER(H170),H170,0),IF(ISNUMBER(J170),J170,0),IF(ISNUMBER(L170),L170,0))</f>
        <v/>
      </c>
      <c r="O170" s="14">
        <f>G170-N170</f>
        <v/>
      </c>
      <c r="P170">
        <f>IF(AND($D170="",E170=0,F170=0),"Vacant",IF(O170&lt;-0.004,"Overpaid / Credit",IF(O170&lt;=0.004,"Paid",IF(N170&lt;=0.004,"Unpaid","Partial"))))</f>
        <v/>
      </c>
    </row>
    <row r="171">
      <c r="A171" s="13" t="n"/>
      <c r="B171" s="8" t="n"/>
      <c r="C171" s="8" t="n"/>
      <c r="D171" s="8" t="n"/>
      <c r="E171" s="11" t="n"/>
      <c r="F171" s="14">
        <f>O170</f>
        <v/>
      </c>
      <c r="G171" s="14">
        <f>E171+F171</f>
        <v/>
      </c>
      <c r="H171" s="11" t="n"/>
      <c r="I171" s="10" t="n"/>
      <c r="J171" s="11" t="n"/>
      <c r="K171" s="10" t="n"/>
      <c r="L171" s="11" t="n"/>
      <c r="M171" s="10" t="n"/>
      <c r="N171" s="14">
        <f>SUM(IF(ISNUMBER(H171),H171,0),IF(ISNUMBER(J171),J171,0),IF(ISNUMBER(L171),L171,0))</f>
        <v/>
      </c>
      <c r="O171" s="14">
        <f>G171-N171</f>
        <v/>
      </c>
      <c r="P171">
        <f>IF(AND($D171="",E171=0,F171=0),"Vacant",IF(O171&lt;-0.004,"Overpaid / Credit",IF(O171&lt;=0.004,"Paid",IF(N171&lt;=0.004,"Unpaid","Partial"))))</f>
        <v/>
      </c>
    </row>
    <row r="172">
      <c r="A172" s="13" t="n"/>
      <c r="B172" s="8" t="n"/>
      <c r="C172" s="8" t="n"/>
      <c r="D172" s="8" t="n"/>
      <c r="E172" s="11" t="n"/>
      <c r="F172" s="14">
        <f>O171</f>
        <v/>
      </c>
      <c r="G172" s="14">
        <f>E172+F172</f>
        <v/>
      </c>
      <c r="H172" s="11" t="n"/>
      <c r="I172" s="10" t="n"/>
      <c r="J172" s="11" t="n"/>
      <c r="K172" s="10" t="n"/>
      <c r="L172" s="11" t="n"/>
      <c r="M172" s="10" t="n"/>
      <c r="N172" s="14">
        <f>SUM(IF(ISNUMBER(H172),H172,0),IF(ISNUMBER(J172),J172,0),IF(ISNUMBER(L172),L172,0))</f>
        <v/>
      </c>
      <c r="O172" s="14">
        <f>G172-N172</f>
        <v/>
      </c>
      <c r="P172">
        <f>IF(AND($D172="",E172=0,F172=0),"Vacant",IF(O172&lt;-0.004,"Overpaid / Credit",IF(O172&lt;=0.004,"Paid",IF(N172&lt;=0.004,"Unpaid","Partial"))))</f>
        <v/>
      </c>
    </row>
    <row r="173">
      <c r="A173" s="13" t="n"/>
      <c r="B173" s="8" t="n"/>
      <c r="C173" s="8" t="n"/>
      <c r="D173" s="8" t="n"/>
      <c r="E173" s="11" t="n"/>
      <c r="F173" s="14">
        <f>O172</f>
        <v/>
      </c>
      <c r="G173" s="14">
        <f>E173+F173</f>
        <v/>
      </c>
      <c r="H173" s="11" t="n"/>
      <c r="I173" s="10" t="n"/>
      <c r="J173" s="11" t="n"/>
      <c r="K173" s="10" t="n"/>
      <c r="L173" s="11" t="n"/>
      <c r="M173" s="10" t="n"/>
      <c r="N173" s="14">
        <f>SUM(IF(ISNUMBER(H173),H173,0),IF(ISNUMBER(J173),J173,0),IF(ISNUMBER(L173),L173,0))</f>
        <v/>
      </c>
      <c r="O173" s="14">
        <f>G173-N173</f>
        <v/>
      </c>
      <c r="P173">
        <f>IF(AND($D173="",E173=0,F173=0),"Vacant",IF(O173&lt;-0.004,"Overpaid / Credit",IF(O173&lt;=0.004,"Paid",IF(N173&lt;=0.004,"Unpaid","Partial"))))</f>
        <v/>
      </c>
    </row>
    <row r="174">
      <c r="A174" s="13" t="n"/>
      <c r="B174" s="8" t="n"/>
      <c r="C174" s="8" t="n"/>
      <c r="D174" s="8" t="n"/>
      <c r="E174" s="11" t="n"/>
      <c r="F174" s="14">
        <f>O173</f>
        <v/>
      </c>
      <c r="G174" s="14">
        <f>E174+F174</f>
        <v/>
      </c>
      <c r="H174" s="11" t="n"/>
      <c r="I174" s="10" t="n"/>
      <c r="J174" s="11" t="n"/>
      <c r="K174" s="10" t="n"/>
      <c r="L174" s="11" t="n"/>
      <c r="M174" s="10" t="n"/>
      <c r="N174" s="14">
        <f>SUM(IF(ISNUMBER(H174),H174,0),IF(ISNUMBER(J174),J174,0),IF(ISNUMBER(L174),L174,0))</f>
        <v/>
      </c>
      <c r="O174" s="14">
        <f>G174-N174</f>
        <v/>
      </c>
      <c r="P174">
        <f>IF(AND($D174="",E174=0,F174=0),"Vacant",IF(O174&lt;-0.004,"Overpaid / Credit",IF(O174&lt;=0.004,"Paid",IF(N174&lt;=0.004,"Unpaid","Partial"))))</f>
        <v/>
      </c>
    </row>
    <row r="175">
      <c r="A175" s="13" t="n"/>
      <c r="B175" s="8" t="n"/>
      <c r="C175" s="8" t="n"/>
      <c r="D175" s="8" t="n"/>
      <c r="E175" s="11" t="n"/>
      <c r="F175" s="14">
        <f>O174</f>
        <v/>
      </c>
      <c r="G175" s="14">
        <f>E175+F175</f>
        <v/>
      </c>
      <c r="H175" s="11" t="n"/>
      <c r="I175" s="10" t="n"/>
      <c r="J175" s="11" t="n"/>
      <c r="K175" s="10" t="n"/>
      <c r="L175" s="11" t="n"/>
      <c r="M175" s="10" t="n"/>
      <c r="N175" s="14">
        <f>SUM(IF(ISNUMBER(H175),H175,0),IF(ISNUMBER(J175),J175,0),IF(ISNUMBER(L175),L175,0))</f>
        <v/>
      </c>
      <c r="O175" s="14">
        <f>G175-N175</f>
        <v/>
      </c>
      <c r="P175">
        <f>IF(AND($D175="",E175=0,F175=0),"Vacant",IF(O175&lt;-0.004,"Overpaid / Credit",IF(O175&lt;=0.004,"Paid",IF(N175&lt;=0.004,"Unpaid","Partial"))))</f>
        <v/>
      </c>
    </row>
    <row r="176">
      <c r="A176" s="13" t="n"/>
      <c r="B176" s="8" t="n"/>
      <c r="C176" s="8" t="n"/>
      <c r="D176" s="8" t="n"/>
      <c r="E176" s="11" t="n"/>
      <c r="F176" s="14">
        <f>O175</f>
        <v/>
      </c>
      <c r="G176" s="14">
        <f>E176+F176</f>
        <v/>
      </c>
      <c r="H176" s="11" t="n"/>
      <c r="I176" s="10" t="n"/>
      <c r="J176" s="11" t="n"/>
      <c r="K176" s="10" t="n"/>
      <c r="L176" s="11" t="n"/>
      <c r="M176" s="10" t="n"/>
      <c r="N176" s="14">
        <f>SUM(IF(ISNUMBER(H176),H176,0),IF(ISNUMBER(J176),J176,0),IF(ISNUMBER(L176),L176,0))</f>
        <v/>
      </c>
      <c r="O176" s="14">
        <f>G176-N176</f>
        <v/>
      </c>
      <c r="P176">
        <f>IF(AND($D176="",E176=0,F176=0),"Vacant",IF(O176&lt;-0.004,"Overpaid / Credit",IF(O176&lt;=0.004,"Paid",IF(N176&lt;=0.004,"Unpaid","Partial"))))</f>
        <v/>
      </c>
    </row>
    <row r="177">
      <c r="A177" s="13" t="n"/>
      <c r="B177" s="8" t="n"/>
      <c r="C177" s="8" t="n"/>
      <c r="D177" s="8" t="n"/>
      <c r="E177" s="11" t="n"/>
      <c r="F177" s="14">
        <f>O176</f>
        <v/>
      </c>
      <c r="G177" s="14">
        <f>E177+F177</f>
        <v/>
      </c>
      <c r="H177" s="11" t="n"/>
      <c r="I177" s="10" t="n"/>
      <c r="J177" s="11" t="n"/>
      <c r="K177" s="10" t="n"/>
      <c r="L177" s="11" t="n"/>
      <c r="M177" s="10" t="n"/>
      <c r="N177" s="14">
        <f>SUM(IF(ISNUMBER(H177),H177,0),IF(ISNUMBER(J177),J177,0),IF(ISNUMBER(L177),L177,0))</f>
        <v/>
      </c>
      <c r="O177" s="14">
        <f>G177-N177</f>
        <v/>
      </c>
      <c r="P177">
        <f>IF(AND($D177="",E177=0,F177=0),"Vacant",IF(O177&lt;-0.004,"Overpaid / Credit",IF(O177&lt;=0.004,"Paid",IF(N177&lt;=0.004,"Unpaid","Partial"))))</f>
        <v/>
      </c>
    </row>
    <row r="178">
      <c r="A178" s="13" t="n"/>
      <c r="B178" s="8" t="n"/>
      <c r="C178" s="8" t="n"/>
      <c r="D178" s="8" t="n"/>
      <c r="E178" s="11" t="n"/>
      <c r="F178" s="11" t="n">
        <v>0</v>
      </c>
      <c r="G178" s="14">
        <f>E178+F178</f>
        <v/>
      </c>
      <c r="H178" s="11" t="n"/>
      <c r="I178" s="10" t="n"/>
      <c r="J178" s="11" t="n"/>
      <c r="K178" s="10" t="n"/>
      <c r="L178" s="11" t="n"/>
      <c r="M178" s="10" t="n"/>
      <c r="N178" s="14">
        <f>SUM(IF(ISNUMBER(H178),H178,0),IF(ISNUMBER(J178),J178,0),IF(ISNUMBER(L178),L178,0))</f>
        <v/>
      </c>
      <c r="O178" s="14">
        <f>G178-N178</f>
        <v/>
      </c>
      <c r="P178">
        <f>IF(AND($D178="",E178=0,F178=0),"Vacant",IF(O178&lt;-0.004,"Overpaid / Credit",IF(O178&lt;=0.004,"Paid",IF(N178&lt;=0.004,"Unpaid","Partial"))))</f>
        <v/>
      </c>
    </row>
    <row r="179">
      <c r="A179" s="13" t="n"/>
      <c r="B179" s="8" t="n"/>
      <c r="C179" s="8" t="n"/>
      <c r="D179" s="8" t="n"/>
      <c r="E179" s="11" t="n"/>
      <c r="F179" s="14">
        <f>O178</f>
        <v/>
      </c>
      <c r="G179" s="14">
        <f>E179+F179</f>
        <v/>
      </c>
      <c r="H179" s="11" t="n"/>
      <c r="I179" s="10" t="n"/>
      <c r="J179" s="11" t="n"/>
      <c r="K179" s="10" t="n"/>
      <c r="L179" s="11" t="n"/>
      <c r="M179" s="10" t="n"/>
      <c r="N179" s="14">
        <f>SUM(IF(ISNUMBER(H179),H179,0),IF(ISNUMBER(J179),J179,0),IF(ISNUMBER(L179),L179,0))</f>
        <v/>
      </c>
      <c r="O179" s="14">
        <f>G179-N179</f>
        <v/>
      </c>
      <c r="P179">
        <f>IF(AND($D179="",E179=0,F179=0),"Vacant",IF(O179&lt;-0.004,"Overpaid / Credit",IF(O179&lt;=0.004,"Paid",IF(N179&lt;=0.004,"Unpaid","Partial"))))</f>
        <v/>
      </c>
    </row>
    <row r="180">
      <c r="A180" s="13" t="n"/>
      <c r="B180" s="8" t="n"/>
      <c r="C180" s="8" t="n"/>
      <c r="D180" s="8" t="n"/>
      <c r="E180" s="11" t="n"/>
      <c r="F180" s="14">
        <f>O179</f>
        <v/>
      </c>
      <c r="G180" s="14">
        <f>E180+F180</f>
        <v/>
      </c>
      <c r="H180" s="11" t="n"/>
      <c r="I180" s="10" t="n"/>
      <c r="J180" s="11" t="n"/>
      <c r="K180" s="10" t="n"/>
      <c r="L180" s="11" t="n"/>
      <c r="M180" s="10" t="n"/>
      <c r="N180" s="14">
        <f>SUM(IF(ISNUMBER(H180),H180,0),IF(ISNUMBER(J180),J180,0),IF(ISNUMBER(L180),L180,0))</f>
        <v/>
      </c>
      <c r="O180" s="14">
        <f>G180-N180</f>
        <v/>
      </c>
      <c r="P180">
        <f>IF(AND($D180="",E180=0,F180=0),"Vacant",IF(O180&lt;-0.004,"Overpaid / Credit",IF(O180&lt;=0.004,"Paid",IF(N180&lt;=0.004,"Unpaid","Partial"))))</f>
        <v/>
      </c>
    </row>
    <row r="181">
      <c r="A181" s="13" t="n"/>
      <c r="B181" s="8" t="n"/>
      <c r="C181" s="8" t="n"/>
      <c r="D181" s="8" t="n"/>
      <c r="E181" s="11" t="n"/>
      <c r="F181" s="14">
        <f>O180</f>
        <v/>
      </c>
      <c r="G181" s="14">
        <f>E181+F181</f>
        <v/>
      </c>
      <c r="H181" s="11" t="n"/>
      <c r="I181" s="10" t="n"/>
      <c r="J181" s="11" t="n"/>
      <c r="K181" s="10" t="n"/>
      <c r="L181" s="11" t="n"/>
      <c r="M181" s="10" t="n"/>
      <c r="N181" s="14">
        <f>SUM(IF(ISNUMBER(H181),H181,0),IF(ISNUMBER(J181),J181,0),IF(ISNUMBER(L181),L181,0))</f>
        <v/>
      </c>
      <c r="O181" s="14">
        <f>G181-N181</f>
        <v/>
      </c>
      <c r="P181">
        <f>IF(AND($D181="",E181=0,F181=0),"Vacant",IF(O181&lt;-0.004,"Overpaid / Credit",IF(O181&lt;=0.004,"Paid",IF(N181&lt;=0.004,"Unpaid","Partial"))))</f>
        <v/>
      </c>
    </row>
    <row r="182">
      <c r="A182" s="13" t="n"/>
      <c r="B182" s="8" t="n"/>
      <c r="C182" s="8" t="n"/>
      <c r="D182" s="8" t="n"/>
      <c r="E182" s="11" t="n"/>
      <c r="F182" s="14">
        <f>O181</f>
        <v/>
      </c>
      <c r="G182" s="14">
        <f>E182+F182</f>
        <v/>
      </c>
      <c r="H182" s="11" t="n"/>
      <c r="I182" s="10" t="n"/>
      <c r="J182" s="11" t="n"/>
      <c r="K182" s="10" t="n"/>
      <c r="L182" s="11" t="n"/>
      <c r="M182" s="10" t="n"/>
      <c r="N182" s="14">
        <f>SUM(IF(ISNUMBER(H182),H182,0),IF(ISNUMBER(J182),J182,0),IF(ISNUMBER(L182),L182,0))</f>
        <v/>
      </c>
      <c r="O182" s="14">
        <f>G182-N182</f>
        <v/>
      </c>
      <c r="P182">
        <f>IF(AND($D182="",E182=0,F182=0),"Vacant",IF(O182&lt;-0.004,"Overpaid / Credit",IF(O182&lt;=0.004,"Paid",IF(N182&lt;=0.004,"Unpaid","Partial"))))</f>
        <v/>
      </c>
    </row>
    <row r="183">
      <c r="A183" s="13" t="n"/>
      <c r="B183" s="8" t="n"/>
      <c r="C183" s="8" t="n"/>
      <c r="D183" s="8" t="n"/>
      <c r="E183" s="11" t="n"/>
      <c r="F183" s="14">
        <f>O182</f>
        <v/>
      </c>
      <c r="G183" s="14">
        <f>E183+F183</f>
        <v/>
      </c>
      <c r="H183" s="11" t="n"/>
      <c r="I183" s="10" t="n"/>
      <c r="J183" s="11" t="n"/>
      <c r="K183" s="10" t="n"/>
      <c r="L183" s="11" t="n"/>
      <c r="M183" s="10" t="n"/>
      <c r="N183" s="14">
        <f>SUM(IF(ISNUMBER(H183),H183,0),IF(ISNUMBER(J183),J183,0),IF(ISNUMBER(L183),L183,0))</f>
        <v/>
      </c>
      <c r="O183" s="14">
        <f>G183-N183</f>
        <v/>
      </c>
      <c r="P183">
        <f>IF(AND($D183="",E183=0,F183=0),"Vacant",IF(O183&lt;-0.004,"Overpaid / Credit",IF(O183&lt;=0.004,"Paid",IF(N183&lt;=0.004,"Unpaid","Partial"))))</f>
        <v/>
      </c>
    </row>
    <row r="184">
      <c r="A184" s="13" t="n"/>
      <c r="B184" s="8" t="n"/>
      <c r="C184" s="8" t="n"/>
      <c r="D184" s="8" t="n"/>
      <c r="E184" s="11" t="n"/>
      <c r="F184" s="14">
        <f>O183</f>
        <v/>
      </c>
      <c r="G184" s="14">
        <f>E184+F184</f>
        <v/>
      </c>
      <c r="H184" s="11" t="n"/>
      <c r="I184" s="10" t="n"/>
      <c r="J184" s="11" t="n"/>
      <c r="K184" s="10" t="n"/>
      <c r="L184" s="11" t="n"/>
      <c r="M184" s="10" t="n"/>
      <c r="N184" s="14">
        <f>SUM(IF(ISNUMBER(H184),H184,0),IF(ISNUMBER(J184),J184,0),IF(ISNUMBER(L184),L184,0))</f>
        <v/>
      </c>
      <c r="O184" s="14">
        <f>G184-N184</f>
        <v/>
      </c>
      <c r="P184">
        <f>IF(AND($D184="",E184=0,F184=0),"Vacant",IF(O184&lt;-0.004,"Overpaid / Credit",IF(O184&lt;=0.004,"Paid",IF(N184&lt;=0.004,"Unpaid","Partial"))))</f>
        <v/>
      </c>
    </row>
    <row r="185">
      <c r="A185" s="13" t="n"/>
      <c r="B185" s="8" t="n"/>
      <c r="C185" s="8" t="n"/>
      <c r="D185" s="8" t="n"/>
      <c r="E185" s="11" t="n"/>
      <c r="F185" s="14">
        <f>O184</f>
        <v/>
      </c>
      <c r="G185" s="14">
        <f>E185+F185</f>
        <v/>
      </c>
      <c r="H185" s="11" t="n"/>
      <c r="I185" s="10" t="n"/>
      <c r="J185" s="11" t="n"/>
      <c r="K185" s="10" t="n"/>
      <c r="L185" s="11" t="n"/>
      <c r="M185" s="10" t="n"/>
      <c r="N185" s="14">
        <f>SUM(IF(ISNUMBER(H185),H185,0),IF(ISNUMBER(J185),J185,0),IF(ISNUMBER(L185),L185,0))</f>
        <v/>
      </c>
      <c r="O185" s="14">
        <f>G185-N185</f>
        <v/>
      </c>
      <c r="P185">
        <f>IF(AND($D185="",E185=0,F185=0),"Vacant",IF(O185&lt;-0.004,"Overpaid / Credit",IF(O185&lt;=0.004,"Paid",IF(N185&lt;=0.004,"Unpaid","Partial"))))</f>
        <v/>
      </c>
    </row>
    <row r="186">
      <c r="A186" s="13" t="n"/>
      <c r="B186" s="8" t="n"/>
      <c r="C186" s="8" t="n"/>
      <c r="D186" s="8" t="n"/>
      <c r="E186" s="11" t="n"/>
      <c r="F186" s="14">
        <f>O185</f>
        <v/>
      </c>
      <c r="G186" s="14">
        <f>E186+F186</f>
        <v/>
      </c>
      <c r="H186" s="11" t="n"/>
      <c r="I186" s="10" t="n"/>
      <c r="J186" s="11" t="n"/>
      <c r="K186" s="10" t="n"/>
      <c r="L186" s="11" t="n"/>
      <c r="M186" s="10" t="n"/>
      <c r="N186" s="14">
        <f>SUM(IF(ISNUMBER(H186),H186,0),IF(ISNUMBER(J186),J186,0),IF(ISNUMBER(L186),L186,0))</f>
        <v/>
      </c>
      <c r="O186" s="14">
        <f>G186-N186</f>
        <v/>
      </c>
      <c r="P186">
        <f>IF(AND($D186="",E186=0,F186=0),"Vacant",IF(O186&lt;-0.004,"Overpaid / Credit",IF(O186&lt;=0.004,"Paid",IF(N186&lt;=0.004,"Unpaid","Partial"))))</f>
        <v/>
      </c>
    </row>
    <row r="187">
      <c r="A187" s="13" t="n"/>
      <c r="B187" s="8" t="n"/>
      <c r="C187" s="8" t="n"/>
      <c r="D187" s="8" t="n"/>
      <c r="E187" s="11" t="n"/>
      <c r="F187" s="14">
        <f>O186</f>
        <v/>
      </c>
      <c r="G187" s="14">
        <f>E187+F187</f>
        <v/>
      </c>
      <c r="H187" s="11" t="n"/>
      <c r="I187" s="10" t="n"/>
      <c r="J187" s="11" t="n"/>
      <c r="K187" s="10" t="n"/>
      <c r="L187" s="11" t="n"/>
      <c r="M187" s="10" t="n"/>
      <c r="N187" s="14">
        <f>SUM(IF(ISNUMBER(H187),H187,0),IF(ISNUMBER(J187),J187,0),IF(ISNUMBER(L187),L187,0))</f>
        <v/>
      </c>
      <c r="O187" s="14">
        <f>G187-N187</f>
        <v/>
      </c>
      <c r="P187">
        <f>IF(AND($D187="",E187=0,F187=0),"Vacant",IF(O187&lt;-0.004,"Overpaid / Credit",IF(O187&lt;=0.004,"Paid",IF(N187&lt;=0.004,"Unpaid","Partial"))))</f>
        <v/>
      </c>
    </row>
    <row r="188">
      <c r="A188" s="13" t="n"/>
      <c r="B188" s="8" t="n"/>
      <c r="C188" s="8" t="n"/>
      <c r="D188" s="8" t="n"/>
      <c r="E188" s="11" t="n"/>
      <c r="F188" s="14">
        <f>O187</f>
        <v/>
      </c>
      <c r="G188" s="14">
        <f>E188+F188</f>
        <v/>
      </c>
      <c r="H188" s="11" t="n"/>
      <c r="I188" s="10" t="n"/>
      <c r="J188" s="11" t="n"/>
      <c r="K188" s="10" t="n"/>
      <c r="L188" s="11" t="n"/>
      <c r="M188" s="10" t="n"/>
      <c r="N188" s="14">
        <f>SUM(IF(ISNUMBER(H188),H188,0),IF(ISNUMBER(J188),J188,0),IF(ISNUMBER(L188),L188,0))</f>
        <v/>
      </c>
      <c r="O188" s="14">
        <f>G188-N188</f>
        <v/>
      </c>
      <c r="P188">
        <f>IF(AND($D188="",E188=0,F188=0),"Vacant",IF(O188&lt;-0.004,"Overpaid / Credit",IF(O188&lt;=0.004,"Paid",IF(N188&lt;=0.004,"Unpaid","Partial"))))</f>
        <v/>
      </c>
    </row>
    <row r="189">
      <c r="A189" s="13" t="n"/>
      <c r="B189" s="8" t="n"/>
      <c r="C189" s="8" t="n"/>
      <c r="D189" s="8" t="n"/>
      <c r="E189" s="11" t="n"/>
      <c r="F189" s="14">
        <f>O188</f>
        <v/>
      </c>
      <c r="G189" s="14">
        <f>E189+F189</f>
        <v/>
      </c>
      <c r="H189" s="11" t="n"/>
      <c r="I189" s="10" t="n"/>
      <c r="J189" s="11" t="n"/>
      <c r="K189" s="10" t="n"/>
      <c r="L189" s="11" t="n"/>
      <c r="M189" s="10" t="n"/>
      <c r="N189" s="14">
        <f>SUM(IF(ISNUMBER(H189),H189,0),IF(ISNUMBER(J189),J189,0),IF(ISNUMBER(L189),L189,0))</f>
        <v/>
      </c>
      <c r="O189" s="14">
        <f>G189-N189</f>
        <v/>
      </c>
      <c r="P189">
        <f>IF(AND($D189="",E189=0,F189=0),"Vacant",IF(O189&lt;-0.004,"Overpaid / Credit",IF(O189&lt;=0.004,"Paid",IF(N189&lt;=0.004,"Unpaid","Partial"))))</f>
        <v/>
      </c>
    </row>
    <row r="190">
      <c r="A190" s="13" t="n"/>
      <c r="B190" s="8" t="n"/>
      <c r="C190" s="8" t="n"/>
      <c r="D190" s="8" t="n"/>
      <c r="E190" s="11" t="n"/>
      <c r="F190" s="11" t="n">
        <v>0</v>
      </c>
      <c r="G190" s="14">
        <f>E190+F190</f>
        <v/>
      </c>
      <c r="H190" s="11" t="n"/>
      <c r="I190" s="10" t="n"/>
      <c r="J190" s="11" t="n"/>
      <c r="K190" s="10" t="n"/>
      <c r="L190" s="11" t="n"/>
      <c r="M190" s="10" t="n"/>
      <c r="N190" s="14">
        <f>SUM(IF(ISNUMBER(H190),H190,0),IF(ISNUMBER(J190),J190,0),IF(ISNUMBER(L190),L190,0))</f>
        <v/>
      </c>
      <c r="O190" s="14">
        <f>G190-N190</f>
        <v/>
      </c>
      <c r="P190">
        <f>IF(AND($D190="",E190=0,F190=0),"Vacant",IF(O190&lt;-0.004,"Overpaid / Credit",IF(O190&lt;=0.004,"Paid",IF(N190&lt;=0.004,"Unpaid","Partial"))))</f>
        <v/>
      </c>
    </row>
    <row r="191">
      <c r="A191" s="13" t="n"/>
      <c r="B191" s="8" t="n"/>
      <c r="C191" s="8" t="n"/>
      <c r="D191" s="8" t="n"/>
      <c r="E191" s="11" t="n"/>
      <c r="F191" s="14">
        <f>O190</f>
        <v/>
      </c>
      <c r="G191" s="14">
        <f>E191+F191</f>
        <v/>
      </c>
      <c r="H191" s="11" t="n"/>
      <c r="I191" s="10" t="n"/>
      <c r="J191" s="11" t="n"/>
      <c r="K191" s="10" t="n"/>
      <c r="L191" s="11" t="n"/>
      <c r="M191" s="10" t="n"/>
      <c r="N191" s="14">
        <f>SUM(IF(ISNUMBER(H191),H191,0),IF(ISNUMBER(J191),J191,0),IF(ISNUMBER(L191),L191,0))</f>
        <v/>
      </c>
      <c r="O191" s="14">
        <f>G191-N191</f>
        <v/>
      </c>
      <c r="P191">
        <f>IF(AND($D191="",E191=0,F191=0),"Vacant",IF(O191&lt;-0.004,"Overpaid / Credit",IF(O191&lt;=0.004,"Paid",IF(N191&lt;=0.004,"Unpaid","Partial"))))</f>
        <v/>
      </c>
    </row>
    <row r="192">
      <c r="A192" s="13" t="n"/>
      <c r="B192" s="8" t="n"/>
      <c r="C192" s="8" t="n"/>
      <c r="D192" s="8" t="n"/>
      <c r="E192" s="11" t="n"/>
      <c r="F192" s="14">
        <f>O191</f>
        <v/>
      </c>
      <c r="G192" s="14">
        <f>E192+F192</f>
        <v/>
      </c>
      <c r="H192" s="11" t="n"/>
      <c r="I192" s="10" t="n"/>
      <c r="J192" s="11" t="n"/>
      <c r="K192" s="10" t="n"/>
      <c r="L192" s="11" t="n"/>
      <c r="M192" s="10" t="n"/>
      <c r="N192" s="14">
        <f>SUM(IF(ISNUMBER(H192),H192,0),IF(ISNUMBER(J192),J192,0),IF(ISNUMBER(L192),L192,0))</f>
        <v/>
      </c>
      <c r="O192" s="14">
        <f>G192-N192</f>
        <v/>
      </c>
      <c r="P192">
        <f>IF(AND($D192="",E192=0,F192=0),"Vacant",IF(O192&lt;-0.004,"Overpaid / Credit",IF(O192&lt;=0.004,"Paid",IF(N192&lt;=0.004,"Unpaid","Partial"))))</f>
        <v/>
      </c>
    </row>
    <row r="193">
      <c r="A193" s="13" t="n"/>
      <c r="B193" s="8" t="n"/>
      <c r="C193" s="8" t="n"/>
      <c r="D193" s="8" t="n"/>
      <c r="E193" s="11" t="n"/>
      <c r="F193" s="14">
        <f>O192</f>
        <v/>
      </c>
      <c r="G193" s="14">
        <f>E193+F193</f>
        <v/>
      </c>
      <c r="H193" s="11" t="n"/>
      <c r="I193" s="10" t="n"/>
      <c r="J193" s="11" t="n"/>
      <c r="K193" s="10" t="n"/>
      <c r="L193" s="11" t="n"/>
      <c r="M193" s="10" t="n"/>
      <c r="N193" s="14">
        <f>SUM(IF(ISNUMBER(H193),H193,0),IF(ISNUMBER(J193),J193,0),IF(ISNUMBER(L193),L193,0))</f>
        <v/>
      </c>
      <c r="O193" s="14">
        <f>G193-N193</f>
        <v/>
      </c>
      <c r="P193">
        <f>IF(AND($D193="",E193=0,F193=0),"Vacant",IF(O193&lt;-0.004,"Overpaid / Credit",IF(O193&lt;=0.004,"Paid",IF(N193&lt;=0.004,"Unpaid","Partial"))))</f>
        <v/>
      </c>
    </row>
    <row r="194">
      <c r="A194" s="13" t="n"/>
      <c r="B194" s="8" t="n"/>
      <c r="C194" s="8" t="n"/>
      <c r="D194" s="8" t="n"/>
      <c r="E194" s="11" t="n"/>
      <c r="F194" s="14">
        <f>O193</f>
        <v/>
      </c>
      <c r="G194" s="14">
        <f>E194+F194</f>
        <v/>
      </c>
      <c r="H194" s="11" t="n"/>
      <c r="I194" s="10" t="n"/>
      <c r="J194" s="11" t="n"/>
      <c r="K194" s="10" t="n"/>
      <c r="L194" s="11" t="n"/>
      <c r="M194" s="10" t="n"/>
      <c r="N194" s="14">
        <f>SUM(IF(ISNUMBER(H194),H194,0),IF(ISNUMBER(J194),J194,0),IF(ISNUMBER(L194),L194,0))</f>
        <v/>
      </c>
      <c r="O194" s="14">
        <f>G194-N194</f>
        <v/>
      </c>
      <c r="P194">
        <f>IF(AND($D194="",E194=0,F194=0),"Vacant",IF(O194&lt;-0.004,"Overpaid / Credit",IF(O194&lt;=0.004,"Paid",IF(N194&lt;=0.004,"Unpaid","Partial"))))</f>
        <v/>
      </c>
    </row>
    <row r="195">
      <c r="A195" s="13" t="n"/>
      <c r="B195" s="8" t="n"/>
      <c r="C195" s="8" t="n"/>
      <c r="D195" s="8" t="n"/>
      <c r="E195" s="11" t="n"/>
      <c r="F195" s="14">
        <f>O194</f>
        <v/>
      </c>
      <c r="G195" s="14">
        <f>E195+F195</f>
        <v/>
      </c>
      <c r="H195" s="11" t="n"/>
      <c r="I195" s="10" t="n"/>
      <c r="J195" s="11" t="n"/>
      <c r="K195" s="10" t="n"/>
      <c r="L195" s="11" t="n"/>
      <c r="M195" s="10" t="n"/>
      <c r="N195" s="14">
        <f>SUM(IF(ISNUMBER(H195),H195,0),IF(ISNUMBER(J195),J195,0),IF(ISNUMBER(L195),L195,0))</f>
        <v/>
      </c>
      <c r="O195" s="14">
        <f>G195-N195</f>
        <v/>
      </c>
      <c r="P195">
        <f>IF(AND($D195="",E195=0,F195=0),"Vacant",IF(O195&lt;-0.004,"Overpaid / Credit",IF(O195&lt;=0.004,"Paid",IF(N195&lt;=0.004,"Unpaid","Partial"))))</f>
        <v/>
      </c>
    </row>
    <row r="196">
      <c r="A196" s="13" t="n"/>
      <c r="B196" s="8" t="n"/>
      <c r="C196" s="8" t="n"/>
      <c r="D196" s="8" t="n"/>
      <c r="E196" s="11" t="n"/>
      <c r="F196" s="14">
        <f>O195</f>
        <v/>
      </c>
      <c r="G196" s="14">
        <f>E196+F196</f>
        <v/>
      </c>
      <c r="H196" s="11" t="n"/>
      <c r="I196" s="10" t="n"/>
      <c r="J196" s="11" t="n"/>
      <c r="K196" s="10" t="n"/>
      <c r="L196" s="11" t="n"/>
      <c r="M196" s="10" t="n"/>
      <c r="N196" s="14">
        <f>SUM(IF(ISNUMBER(H196),H196,0),IF(ISNUMBER(J196),J196,0),IF(ISNUMBER(L196),L196,0))</f>
        <v/>
      </c>
      <c r="O196" s="14">
        <f>G196-N196</f>
        <v/>
      </c>
      <c r="P196">
        <f>IF(AND($D196="",E196=0,F196=0),"Vacant",IF(O196&lt;-0.004,"Overpaid / Credit",IF(O196&lt;=0.004,"Paid",IF(N196&lt;=0.004,"Unpaid","Partial"))))</f>
        <v/>
      </c>
    </row>
    <row r="197">
      <c r="A197" s="13" t="n"/>
      <c r="B197" s="8" t="n"/>
      <c r="C197" s="8" t="n"/>
      <c r="D197" s="8" t="n"/>
      <c r="E197" s="11" t="n"/>
      <c r="F197" s="14">
        <f>O196</f>
        <v/>
      </c>
      <c r="G197" s="14">
        <f>E197+F197</f>
        <v/>
      </c>
      <c r="H197" s="11" t="n"/>
      <c r="I197" s="10" t="n"/>
      <c r="J197" s="11" t="n"/>
      <c r="K197" s="10" t="n"/>
      <c r="L197" s="11" t="n"/>
      <c r="M197" s="10" t="n"/>
      <c r="N197" s="14">
        <f>SUM(IF(ISNUMBER(H197),H197,0),IF(ISNUMBER(J197),J197,0),IF(ISNUMBER(L197),L197,0))</f>
        <v/>
      </c>
      <c r="O197" s="14">
        <f>G197-N197</f>
        <v/>
      </c>
      <c r="P197">
        <f>IF(AND($D197="",E197=0,F197=0),"Vacant",IF(O197&lt;-0.004,"Overpaid / Credit",IF(O197&lt;=0.004,"Paid",IF(N197&lt;=0.004,"Unpaid","Partial"))))</f>
        <v/>
      </c>
    </row>
    <row r="198">
      <c r="A198" s="13" t="n"/>
      <c r="B198" s="8" t="n"/>
      <c r="C198" s="8" t="n"/>
      <c r="D198" s="8" t="n"/>
      <c r="E198" s="11" t="n"/>
      <c r="F198" s="14">
        <f>O197</f>
        <v/>
      </c>
      <c r="G198" s="14">
        <f>E198+F198</f>
        <v/>
      </c>
      <c r="H198" s="11" t="n"/>
      <c r="I198" s="10" t="n"/>
      <c r="J198" s="11" t="n"/>
      <c r="K198" s="10" t="n"/>
      <c r="L198" s="11" t="n"/>
      <c r="M198" s="10" t="n"/>
      <c r="N198" s="14">
        <f>SUM(IF(ISNUMBER(H198),H198,0),IF(ISNUMBER(J198),J198,0),IF(ISNUMBER(L198),L198,0))</f>
        <v/>
      </c>
      <c r="O198" s="14">
        <f>G198-N198</f>
        <v/>
      </c>
      <c r="P198">
        <f>IF(AND($D198="",E198=0,F198=0),"Vacant",IF(O198&lt;-0.004,"Overpaid / Credit",IF(O198&lt;=0.004,"Paid",IF(N198&lt;=0.004,"Unpaid","Partial"))))</f>
        <v/>
      </c>
    </row>
    <row r="199">
      <c r="A199" s="13" t="n"/>
      <c r="B199" s="8" t="n"/>
      <c r="C199" s="8" t="n"/>
      <c r="D199" s="8" t="n"/>
      <c r="E199" s="11" t="n"/>
      <c r="F199" s="14">
        <f>O198</f>
        <v/>
      </c>
      <c r="G199" s="14">
        <f>E199+F199</f>
        <v/>
      </c>
      <c r="H199" s="11" t="n"/>
      <c r="I199" s="10" t="n"/>
      <c r="J199" s="11" t="n"/>
      <c r="K199" s="10" t="n"/>
      <c r="L199" s="11" t="n"/>
      <c r="M199" s="10" t="n"/>
      <c r="N199" s="14">
        <f>SUM(IF(ISNUMBER(H199),H199,0),IF(ISNUMBER(J199),J199,0),IF(ISNUMBER(L199),L199,0))</f>
        <v/>
      </c>
      <c r="O199" s="14">
        <f>G199-N199</f>
        <v/>
      </c>
      <c r="P199">
        <f>IF(AND($D199="",E199=0,F199=0),"Vacant",IF(O199&lt;-0.004,"Overpaid / Credit",IF(O199&lt;=0.004,"Paid",IF(N199&lt;=0.004,"Unpaid","Partial"))))</f>
        <v/>
      </c>
    </row>
    <row r="200">
      <c r="A200" s="13" t="n"/>
      <c r="B200" s="8" t="n"/>
      <c r="C200" s="8" t="n"/>
      <c r="D200" s="8" t="n"/>
      <c r="E200" s="11" t="n"/>
      <c r="F200" s="14">
        <f>O199</f>
        <v/>
      </c>
      <c r="G200" s="14">
        <f>E200+F200</f>
        <v/>
      </c>
      <c r="H200" s="11" t="n"/>
      <c r="I200" s="10" t="n"/>
      <c r="J200" s="11" t="n"/>
      <c r="K200" s="10" t="n"/>
      <c r="L200" s="11" t="n"/>
      <c r="M200" s="10" t="n"/>
      <c r="N200" s="14">
        <f>SUM(IF(ISNUMBER(H200),H200,0),IF(ISNUMBER(J200),J200,0),IF(ISNUMBER(L200),L200,0))</f>
        <v/>
      </c>
      <c r="O200" s="14">
        <f>G200-N200</f>
        <v/>
      </c>
      <c r="P200">
        <f>IF(AND($D200="",E200=0,F200=0),"Vacant",IF(O200&lt;-0.004,"Overpaid / Credit",IF(O200&lt;=0.004,"Paid",IF(N200&lt;=0.004,"Unpaid","Partial"))))</f>
        <v/>
      </c>
    </row>
    <row r="201">
      <c r="A201" s="13" t="n"/>
      <c r="B201" s="8" t="n"/>
      <c r="C201" s="8" t="n"/>
      <c r="D201" s="8" t="n"/>
      <c r="E201" s="11" t="n"/>
      <c r="F201" s="14">
        <f>O200</f>
        <v/>
      </c>
      <c r="G201" s="14">
        <f>E201+F201</f>
        <v/>
      </c>
      <c r="H201" s="11" t="n"/>
      <c r="I201" s="10" t="n"/>
      <c r="J201" s="11" t="n"/>
      <c r="K201" s="10" t="n"/>
      <c r="L201" s="11" t="n"/>
      <c r="M201" s="10" t="n"/>
      <c r="N201" s="14">
        <f>SUM(IF(ISNUMBER(H201),H201,0),IF(ISNUMBER(J201),J201,0),IF(ISNUMBER(L201),L201,0))</f>
        <v/>
      </c>
      <c r="O201" s="14">
        <f>G201-N201</f>
        <v/>
      </c>
      <c r="P201">
        <f>IF(AND($D201="",E201=0,F201=0),"Vacant",IF(O201&lt;-0.004,"Overpaid / Credit",IF(O201&lt;=0.004,"Paid",IF(N201&lt;=0.004,"Unpaid","Partial"))))</f>
        <v/>
      </c>
    </row>
    <row r="202">
      <c r="A202" s="13" t="n"/>
      <c r="B202" s="8" t="n"/>
      <c r="C202" s="8" t="n"/>
      <c r="D202" s="8" t="n"/>
      <c r="E202" s="11" t="n"/>
      <c r="F202" s="11" t="n">
        <v>0</v>
      </c>
      <c r="G202" s="14">
        <f>E202+F202</f>
        <v/>
      </c>
      <c r="H202" s="11" t="n"/>
      <c r="I202" s="10" t="n"/>
      <c r="J202" s="11" t="n"/>
      <c r="K202" s="10" t="n"/>
      <c r="L202" s="11" t="n"/>
      <c r="M202" s="10" t="n"/>
      <c r="N202" s="14">
        <f>SUM(IF(ISNUMBER(H202),H202,0),IF(ISNUMBER(J202),J202,0),IF(ISNUMBER(L202),L202,0))</f>
        <v/>
      </c>
      <c r="O202" s="14">
        <f>G202-N202</f>
        <v/>
      </c>
      <c r="P202">
        <f>IF(AND($D202="",E202=0,F202=0),"Vacant",IF(O202&lt;-0.004,"Overpaid / Credit",IF(O202&lt;=0.004,"Paid",IF(N202&lt;=0.004,"Unpaid","Partial"))))</f>
        <v/>
      </c>
    </row>
    <row r="203">
      <c r="A203" s="13" t="n"/>
      <c r="B203" s="8" t="n"/>
      <c r="C203" s="8" t="n"/>
      <c r="D203" s="8" t="n"/>
      <c r="E203" s="11" t="n"/>
      <c r="F203" s="14">
        <f>O202</f>
        <v/>
      </c>
      <c r="G203" s="14">
        <f>E203+F203</f>
        <v/>
      </c>
      <c r="H203" s="11" t="n"/>
      <c r="I203" s="10" t="n"/>
      <c r="J203" s="11" t="n"/>
      <c r="K203" s="10" t="n"/>
      <c r="L203" s="11" t="n"/>
      <c r="M203" s="10" t="n"/>
      <c r="N203" s="14">
        <f>SUM(IF(ISNUMBER(H203),H203,0),IF(ISNUMBER(J203),J203,0),IF(ISNUMBER(L203),L203,0))</f>
        <v/>
      </c>
      <c r="O203" s="14">
        <f>G203-N203</f>
        <v/>
      </c>
      <c r="P203">
        <f>IF(AND($D203="",E203=0,F203=0),"Vacant",IF(O203&lt;-0.004,"Overpaid / Credit",IF(O203&lt;=0.004,"Paid",IF(N203&lt;=0.004,"Unpaid","Partial"))))</f>
        <v/>
      </c>
    </row>
    <row r="204">
      <c r="A204" s="13" t="n"/>
      <c r="B204" s="8" t="n"/>
      <c r="C204" s="8" t="n"/>
      <c r="D204" s="8" t="n"/>
      <c r="E204" s="11" t="n"/>
      <c r="F204" s="14">
        <f>O203</f>
        <v/>
      </c>
      <c r="G204" s="14">
        <f>E204+F204</f>
        <v/>
      </c>
      <c r="H204" s="11" t="n"/>
      <c r="I204" s="10" t="n"/>
      <c r="J204" s="11" t="n"/>
      <c r="K204" s="10" t="n"/>
      <c r="L204" s="11" t="n"/>
      <c r="M204" s="10" t="n"/>
      <c r="N204" s="14">
        <f>SUM(IF(ISNUMBER(H204),H204,0),IF(ISNUMBER(J204),J204,0),IF(ISNUMBER(L204),L204,0))</f>
        <v/>
      </c>
      <c r="O204" s="14">
        <f>G204-N204</f>
        <v/>
      </c>
      <c r="P204">
        <f>IF(AND($D204="",E204=0,F204=0),"Vacant",IF(O204&lt;-0.004,"Overpaid / Credit",IF(O204&lt;=0.004,"Paid",IF(N204&lt;=0.004,"Unpaid","Partial"))))</f>
        <v/>
      </c>
    </row>
    <row r="205">
      <c r="A205" s="13" t="n"/>
      <c r="B205" s="8" t="n"/>
      <c r="C205" s="8" t="n"/>
      <c r="D205" s="8" t="n"/>
      <c r="E205" s="11" t="n"/>
      <c r="F205" s="14">
        <f>O204</f>
        <v/>
      </c>
      <c r="G205" s="14">
        <f>E205+F205</f>
        <v/>
      </c>
      <c r="H205" s="11" t="n"/>
      <c r="I205" s="10" t="n"/>
      <c r="J205" s="11" t="n"/>
      <c r="K205" s="10" t="n"/>
      <c r="L205" s="11" t="n"/>
      <c r="M205" s="10" t="n"/>
      <c r="N205" s="14">
        <f>SUM(IF(ISNUMBER(H205),H205,0),IF(ISNUMBER(J205),J205,0),IF(ISNUMBER(L205),L205,0))</f>
        <v/>
      </c>
      <c r="O205" s="14">
        <f>G205-N205</f>
        <v/>
      </c>
      <c r="P205">
        <f>IF(AND($D205="",E205=0,F205=0),"Vacant",IF(O205&lt;-0.004,"Overpaid / Credit",IF(O205&lt;=0.004,"Paid",IF(N205&lt;=0.004,"Unpaid","Partial"))))</f>
        <v/>
      </c>
    </row>
    <row r="206">
      <c r="A206" s="13" t="n"/>
      <c r="B206" s="8" t="n"/>
      <c r="C206" s="8" t="n"/>
      <c r="D206" s="8" t="n"/>
      <c r="E206" s="11" t="n"/>
      <c r="F206" s="14">
        <f>O205</f>
        <v/>
      </c>
      <c r="G206" s="14">
        <f>E206+F206</f>
        <v/>
      </c>
      <c r="H206" s="11" t="n"/>
      <c r="I206" s="10" t="n"/>
      <c r="J206" s="11" t="n"/>
      <c r="K206" s="10" t="n"/>
      <c r="L206" s="11" t="n"/>
      <c r="M206" s="10" t="n"/>
      <c r="N206" s="14">
        <f>SUM(IF(ISNUMBER(H206),H206,0),IF(ISNUMBER(J206),J206,0),IF(ISNUMBER(L206),L206,0))</f>
        <v/>
      </c>
      <c r="O206" s="14">
        <f>G206-N206</f>
        <v/>
      </c>
      <c r="P206">
        <f>IF(AND($D206="",E206=0,F206=0),"Vacant",IF(O206&lt;-0.004,"Overpaid / Credit",IF(O206&lt;=0.004,"Paid",IF(N206&lt;=0.004,"Unpaid","Partial"))))</f>
        <v/>
      </c>
    </row>
    <row r="207">
      <c r="A207" s="13" t="n"/>
      <c r="B207" s="8" t="n"/>
      <c r="C207" s="8" t="n"/>
      <c r="D207" s="8" t="n"/>
      <c r="E207" s="11" t="n"/>
      <c r="F207" s="14">
        <f>O206</f>
        <v/>
      </c>
      <c r="G207" s="14">
        <f>E207+F207</f>
        <v/>
      </c>
      <c r="H207" s="11" t="n"/>
      <c r="I207" s="10" t="n"/>
      <c r="J207" s="11" t="n"/>
      <c r="K207" s="10" t="n"/>
      <c r="L207" s="11" t="n"/>
      <c r="M207" s="10" t="n"/>
      <c r="N207" s="14">
        <f>SUM(IF(ISNUMBER(H207),H207,0),IF(ISNUMBER(J207),J207,0),IF(ISNUMBER(L207),L207,0))</f>
        <v/>
      </c>
      <c r="O207" s="14">
        <f>G207-N207</f>
        <v/>
      </c>
      <c r="P207">
        <f>IF(AND($D207="",E207=0,F207=0),"Vacant",IF(O207&lt;-0.004,"Overpaid / Credit",IF(O207&lt;=0.004,"Paid",IF(N207&lt;=0.004,"Unpaid","Partial"))))</f>
        <v/>
      </c>
    </row>
    <row r="208">
      <c r="A208" s="13" t="n"/>
      <c r="B208" s="8" t="n"/>
      <c r="C208" s="8" t="n"/>
      <c r="D208" s="8" t="n"/>
      <c r="E208" s="11" t="n"/>
      <c r="F208" s="14">
        <f>O207</f>
        <v/>
      </c>
      <c r="G208" s="14">
        <f>E208+F208</f>
        <v/>
      </c>
      <c r="H208" s="11" t="n"/>
      <c r="I208" s="10" t="n"/>
      <c r="J208" s="11" t="n"/>
      <c r="K208" s="10" t="n"/>
      <c r="L208" s="11" t="n"/>
      <c r="M208" s="10" t="n"/>
      <c r="N208" s="14">
        <f>SUM(IF(ISNUMBER(H208),H208,0),IF(ISNUMBER(J208),J208,0),IF(ISNUMBER(L208),L208,0))</f>
        <v/>
      </c>
      <c r="O208" s="14">
        <f>G208-N208</f>
        <v/>
      </c>
      <c r="P208">
        <f>IF(AND($D208="",E208=0,F208=0),"Vacant",IF(O208&lt;-0.004,"Overpaid / Credit",IF(O208&lt;=0.004,"Paid",IF(N208&lt;=0.004,"Unpaid","Partial"))))</f>
        <v/>
      </c>
    </row>
    <row r="209">
      <c r="A209" s="13" t="n"/>
      <c r="B209" s="8" t="n"/>
      <c r="C209" s="8" t="n"/>
      <c r="D209" s="8" t="n"/>
      <c r="E209" s="11" t="n"/>
      <c r="F209" s="14">
        <f>O208</f>
        <v/>
      </c>
      <c r="G209" s="14">
        <f>E209+F209</f>
        <v/>
      </c>
      <c r="H209" s="11" t="n"/>
      <c r="I209" s="10" t="n"/>
      <c r="J209" s="11" t="n"/>
      <c r="K209" s="10" t="n"/>
      <c r="L209" s="11" t="n"/>
      <c r="M209" s="10" t="n"/>
      <c r="N209" s="14">
        <f>SUM(IF(ISNUMBER(H209),H209,0),IF(ISNUMBER(J209),J209,0),IF(ISNUMBER(L209),L209,0))</f>
        <v/>
      </c>
      <c r="O209" s="14">
        <f>G209-N209</f>
        <v/>
      </c>
      <c r="P209">
        <f>IF(AND($D209="",E209=0,F209=0),"Vacant",IF(O209&lt;-0.004,"Overpaid / Credit",IF(O209&lt;=0.004,"Paid",IF(N209&lt;=0.004,"Unpaid","Partial"))))</f>
        <v/>
      </c>
    </row>
    <row r="210">
      <c r="A210" s="13" t="n"/>
      <c r="B210" s="8" t="n"/>
      <c r="C210" s="8" t="n"/>
      <c r="D210" s="8" t="n"/>
      <c r="E210" s="11" t="n"/>
      <c r="F210" s="14">
        <f>O209</f>
        <v/>
      </c>
      <c r="G210" s="14">
        <f>E210+F210</f>
        <v/>
      </c>
      <c r="H210" s="11" t="n"/>
      <c r="I210" s="10" t="n"/>
      <c r="J210" s="11" t="n"/>
      <c r="K210" s="10" t="n"/>
      <c r="L210" s="11" t="n"/>
      <c r="M210" s="10" t="n"/>
      <c r="N210" s="14">
        <f>SUM(IF(ISNUMBER(H210),H210,0),IF(ISNUMBER(J210),J210,0),IF(ISNUMBER(L210),L210,0))</f>
        <v/>
      </c>
      <c r="O210" s="14">
        <f>G210-N210</f>
        <v/>
      </c>
      <c r="P210">
        <f>IF(AND($D210="",E210=0,F210=0),"Vacant",IF(O210&lt;-0.004,"Overpaid / Credit",IF(O210&lt;=0.004,"Paid",IF(N210&lt;=0.004,"Unpaid","Partial"))))</f>
        <v/>
      </c>
    </row>
    <row r="211">
      <c r="A211" s="13" t="n"/>
      <c r="B211" s="8" t="n"/>
      <c r="C211" s="8" t="n"/>
      <c r="D211" s="8" t="n"/>
      <c r="E211" s="11" t="n"/>
      <c r="F211" s="14">
        <f>O210</f>
        <v/>
      </c>
      <c r="G211" s="14">
        <f>E211+F211</f>
        <v/>
      </c>
      <c r="H211" s="11" t="n"/>
      <c r="I211" s="10" t="n"/>
      <c r="J211" s="11" t="n"/>
      <c r="K211" s="10" t="n"/>
      <c r="L211" s="11" t="n"/>
      <c r="M211" s="10" t="n"/>
      <c r="N211" s="14">
        <f>SUM(IF(ISNUMBER(H211),H211,0),IF(ISNUMBER(J211),J211,0),IF(ISNUMBER(L211),L211,0))</f>
        <v/>
      </c>
      <c r="O211" s="14">
        <f>G211-N211</f>
        <v/>
      </c>
      <c r="P211">
        <f>IF(AND($D211="",E211=0,F211=0),"Vacant",IF(O211&lt;-0.004,"Overpaid / Credit",IF(O211&lt;=0.004,"Paid",IF(N211&lt;=0.004,"Unpaid","Partial"))))</f>
        <v/>
      </c>
    </row>
    <row r="212">
      <c r="A212" s="13" t="n"/>
      <c r="B212" s="8" t="n"/>
      <c r="C212" s="8" t="n"/>
      <c r="D212" s="8" t="n"/>
      <c r="E212" s="11" t="n"/>
      <c r="F212" s="14">
        <f>O211</f>
        <v/>
      </c>
      <c r="G212" s="14">
        <f>E212+F212</f>
        <v/>
      </c>
      <c r="H212" s="11" t="n"/>
      <c r="I212" s="10" t="n"/>
      <c r="J212" s="11" t="n"/>
      <c r="K212" s="10" t="n"/>
      <c r="L212" s="11" t="n"/>
      <c r="M212" s="10" t="n"/>
      <c r="N212" s="14">
        <f>SUM(IF(ISNUMBER(H212),H212,0),IF(ISNUMBER(J212),J212,0),IF(ISNUMBER(L212),L212,0))</f>
        <v/>
      </c>
      <c r="O212" s="14">
        <f>G212-N212</f>
        <v/>
      </c>
      <c r="P212">
        <f>IF(AND($D212="",E212=0,F212=0),"Vacant",IF(O212&lt;-0.004,"Overpaid / Credit",IF(O212&lt;=0.004,"Paid",IF(N212&lt;=0.004,"Unpaid","Partial"))))</f>
        <v/>
      </c>
    </row>
    <row r="213">
      <c r="A213" s="13" t="n"/>
      <c r="B213" s="8" t="n"/>
      <c r="C213" s="8" t="n"/>
      <c r="D213" s="8" t="n"/>
      <c r="E213" s="11" t="n"/>
      <c r="F213" s="14">
        <f>O212</f>
        <v/>
      </c>
      <c r="G213" s="14">
        <f>E213+F213</f>
        <v/>
      </c>
      <c r="H213" s="11" t="n"/>
      <c r="I213" s="10" t="n"/>
      <c r="J213" s="11" t="n"/>
      <c r="K213" s="10" t="n"/>
      <c r="L213" s="11" t="n"/>
      <c r="M213" s="10" t="n"/>
      <c r="N213" s="14">
        <f>SUM(IF(ISNUMBER(H213),H213,0),IF(ISNUMBER(J213),J213,0),IF(ISNUMBER(L213),L213,0))</f>
        <v/>
      </c>
      <c r="O213" s="14">
        <f>G213-N213</f>
        <v/>
      </c>
      <c r="P213">
        <f>IF(AND($D213="",E213=0,F213=0),"Vacant",IF(O213&lt;-0.004,"Overpaid / Credit",IF(O213&lt;=0.004,"Paid",IF(N213&lt;=0.004,"Unpaid","Partial"))))</f>
        <v/>
      </c>
    </row>
    <row r="214">
      <c r="A214" s="13" t="n"/>
      <c r="B214" s="8" t="n"/>
      <c r="C214" s="8" t="n"/>
      <c r="D214" s="8" t="n"/>
      <c r="E214" s="11" t="n"/>
      <c r="F214" s="11" t="n">
        <v>0</v>
      </c>
      <c r="G214" s="14">
        <f>E214+F214</f>
        <v/>
      </c>
      <c r="H214" s="11" t="n"/>
      <c r="I214" s="10" t="n"/>
      <c r="J214" s="11" t="n"/>
      <c r="K214" s="10" t="n"/>
      <c r="L214" s="11" t="n"/>
      <c r="M214" s="10" t="n"/>
      <c r="N214" s="14">
        <f>SUM(IF(ISNUMBER(H214),H214,0),IF(ISNUMBER(J214),J214,0),IF(ISNUMBER(L214),L214,0))</f>
        <v/>
      </c>
      <c r="O214" s="14">
        <f>G214-N214</f>
        <v/>
      </c>
      <c r="P214">
        <f>IF(AND($D214="",E214=0,F214=0),"Vacant",IF(O214&lt;-0.004,"Overpaid / Credit",IF(O214&lt;=0.004,"Paid",IF(N214&lt;=0.004,"Unpaid","Partial"))))</f>
        <v/>
      </c>
    </row>
    <row r="215">
      <c r="A215" s="13" t="n"/>
      <c r="B215" s="8" t="n"/>
      <c r="C215" s="8" t="n"/>
      <c r="D215" s="8" t="n"/>
      <c r="E215" s="11" t="n"/>
      <c r="F215" s="14">
        <f>O214</f>
        <v/>
      </c>
      <c r="G215" s="14">
        <f>E215+F215</f>
        <v/>
      </c>
      <c r="H215" s="11" t="n"/>
      <c r="I215" s="10" t="n"/>
      <c r="J215" s="11" t="n"/>
      <c r="K215" s="10" t="n"/>
      <c r="L215" s="11" t="n"/>
      <c r="M215" s="10" t="n"/>
      <c r="N215" s="14">
        <f>SUM(IF(ISNUMBER(H215),H215,0),IF(ISNUMBER(J215),J215,0),IF(ISNUMBER(L215),L215,0))</f>
        <v/>
      </c>
      <c r="O215" s="14">
        <f>G215-N215</f>
        <v/>
      </c>
      <c r="P215">
        <f>IF(AND($D215="",E215=0,F215=0),"Vacant",IF(O215&lt;-0.004,"Overpaid / Credit",IF(O215&lt;=0.004,"Paid",IF(N215&lt;=0.004,"Unpaid","Partial"))))</f>
        <v/>
      </c>
    </row>
    <row r="216">
      <c r="A216" s="13" t="n"/>
      <c r="B216" s="8" t="n"/>
      <c r="C216" s="8" t="n"/>
      <c r="D216" s="8" t="n"/>
      <c r="E216" s="11" t="n"/>
      <c r="F216" s="14">
        <f>O215</f>
        <v/>
      </c>
      <c r="G216" s="14">
        <f>E216+F216</f>
        <v/>
      </c>
      <c r="H216" s="11" t="n"/>
      <c r="I216" s="10" t="n"/>
      <c r="J216" s="11" t="n"/>
      <c r="K216" s="10" t="n"/>
      <c r="L216" s="11" t="n"/>
      <c r="M216" s="10" t="n"/>
      <c r="N216" s="14">
        <f>SUM(IF(ISNUMBER(H216),H216,0),IF(ISNUMBER(J216),J216,0),IF(ISNUMBER(L216),L216,0))</f>
        <v/>
      </c>
      <c r="O216" s="14">
        <f>G216-N216</f>
        <v/>
      </c>
      <c r="P216">
        <f>IF(AND($D216="",E216=0,F216=0),"Vacant",IF(O216&lt;-0.004,"Overpaid / Credit",IF(O216&lt;=0.004,"Paid",IF(N216&lt;=0.004,"Unpaid","Partial"))))</f>
        <v/>
      </c>
    </row>
    <row r="217">
      <c r="A217" s="13" t="n"/>
      <c r="B217" s="8" t="n"/>
      <c r="C217" s="8" t="n"/>
      <c r="D217" s="8" t="n"/>
      <c r="E217" s="11" t="n"/>
      <c r="F217" s="14">
        <f>O216</f>
        <v/>
      </c>
      <c r="G217" s="14">
        <f>E217+F217</f>
        <v/>
      </c>
      <c r="H217" s="11" t="n"/>
      <c r="I217" s="10" t="n"/>
      <c r="J217" s="11" t="n"/>
      <c r="K217" s="10" t="n"/>
      <c r="L217" s="11" t="n"/>
      <c r="M217" s="10" t="n"/>
      <c r="N217" s="14">
        <f>SUM(IF(ISNUMBER(H217),H217,0),IF(ISNUMBER(J217),J217,0),IF(ISNUMBER(L217),L217,0))</f>
        <v/>
      </c>
      <c r="O217" s="14">
        <f>G217-N217</f>
        <v/>
      </c>
      <c r="P217">
        <f>IF(AND($D217="",E217=0,F217=0),"Vacant",IF(O217&lt;-0.004,"Overpaid / Credit",IF(O217&lt;=0.004,"Paid",IF(N217&lt;=0.004,"Unpaid","Partial"))))</f>
        <v/>
      </c>
    </row>
    <row r="218">
      <c r="A218" s="13" t="n"/>
      <c r="B218" s="8" t="n"/>
      <c r="C218" s="8" t="n"/>
      <c r="D218" s="8" t="n"/>
      <c r="E218" s="11" t="n"/>
      <c r="F218" s="14">
        <f>O217</f>
        <v/>
      </c>
      <c r="G218" s="14">
        <f>E218+F218</f>
        <v/>
      </c>
      <c r="H218" s="11" t="n"/>
      <c r="I218" s="10" t="n"/>
      <c r="J218" s="11" t="n"/>
      <c r="K218" s="10" t="n"/>
      <c r="L218" s="11" t="n"/>
      <c r="M218" s="10" t="n"/>
      <c r="N218" s="14">
        <f>SUM(IF(ISNUMBER(H218),H218,0),IF(ISNUMBER(J218),J218,0),IF(ISNUMBER(L218),L218,0))</f>
        <v/>
      </c>
      <c r="O218" s="14">
        <f>G218-N218</f>
        <v/>
      </c>
      <c r="P218">
        <f>IF(AND($D218="",E218=0,F218=0),"Vacant",IF(O218&lt;-0.004,"Overpaid / Credit",IF(O218&lt;=0.004,"Paid",IF(N218&lt;=0.004,"Unpaid","Partial"))))</f>
        <v/>
      </c>
    </row>
    <row r="219">
      <c r="A219" s="13" t="n"/>
      <c r="B219" s="8" t="n"/>
      <c r="C219" s="8" t="n"/>
      <c r="D219" s="8" t="n"/>
      <c r="E219" s="11" t="n"/>
      <c r="F219" s="14">
        <f>O218</f>
        <v/>
      </c>
      <c r="G219" s="14">
        <f>E219+F219</f>
        <v/>
      </c>
      <c r="H219" s="11" t="n"/>
      <c r="I219" s="10" t="n"/>
      <c r="J219" s="11" t="n"/>
      <c r="K219" s="10" t="n"/>
      <c r="L219" s="11" t="n"/>
      <c r="M219" s="10" t="n"/>
      <c r="N219" s="14">
        <f>SUM(IF(ISNUMBER(H219),H219,0),IF(ISNUMBER(J219),J219,0),IF(ISNUMBER(L219),L219,0))</f>
        <v/>
      </c>
      <c r="O219" s="14">
        <f>G219-N219</f>
        <v/>
      </c>
      <c r="P219">
        <f>IF(AND($D219="",E219=0,F219=0),"Vacant",IF(O219&lt;-0.004,"Overpaid / Credit",IF(O219&lt;=0.004,"Paid",IF(N219&lt;=0.004,"Unpaid","Partial"))))</f>
        <v/>
      </c>
    </row>
    <row r="220">
      <c r="A220" s="13" t="n"/>
      <c r="B220" s="8" t="n"/>
      <c r="C220" s="8" t="n"/>
      <c r="D220" s="8" t="n"/>
      <c r="E220" s="11" t="n"/>
      <c r="F220" s="14">
        <f>O219</f>
        <v/>
      </c>
      <c r="G220" s="14">
        <f>E220+F220</f>
        <v/>
      </c>
      <c r="H220" s="11" t="n"/>
      <c r="I220" s="10" t="n"/>
      <c r="J220" s="11" t="n"/>
      <c r="K220" s="10" t="n"/>
      <c r="L220" s="11" t="n"/>
      <c r="M220" s="10" t="n"/>
      <c r="N220" s="14">
        <f>SUM(IF(ISNUMBER(H220),H220,0),IF(ISNUMBER(J220),J220,0),IF(ISNUMBER(L220),L220,0))</f>
        <v/>
      </c>
      <c r="O220" s="14">
        <f>G220-N220</f>
        <v/>
      </c>
      <c r="P220">
        <f>IF(AND($D220="",E220=0,F220=0),"Vacant",IF(O220&lt;-0.004,"Overpaid / Credit",IF(O220&lt;=0.004,"Paid",IF(N220&lt;=0.004,"Unpaid","Partial"))))</f>
        <v/>
      </c>
    </row>
    <row r="221">
      <c r="A221" s="13" t="n"/>
      <c r="B221" s="8" t="n"/>
      <c r="C221" s="8" t="n"/>
      <c r="D221" s="8" t="n"/>
      <c r="E221" s="11" t="n"/>
      <c r="F221" s="14">
        <f>O220</f>
        <v/>
      </c>
      <c r="G221" s="14">
        <f>E221+F221</f>
        <v/>
      </c>
      <c r="H221" s="11" t="n"/>
      <c r="I221" s="10" t="n"/>
      <c r="J221" s="11" t="n"/>
      <c r="K221" s="10" t="n"/>
      <c r="L221" s="11" t="n"/>
      <c r="M221" s="10" t="n"/>
      <c r="N221" s="14">
        <f>SUM(IF(ISNUMBER(H221),H221,0),IF(ISNUMBER(J221),J221,0),IF(ISNUMBER(L221),L221,0))</f>
        <v/>
      </c>
      <c r="O221" s="14">
        <f>G221-N221</f>
        <v/>
      </c>
      <c r="P221">
        <f>IF(AND($D221="",E221=0,F221=0),"Vacant",IF(O221&lt;-0.004,"Overpaid / Credit",IF(O221&lt;=0.004,"Paid",IF(N221&lt;=0.004,"Unpaid","Partial"))))</f>
        <v/>
      </c>
    </row>
    <row r="222">
      <c r="A222" s="13" t="n"/>
      <c r="B222" s="8" t="n"/>
      <c r="C222" s="8" t="n"/>
      <c r="D222" s="8" t="n"/>
      <c r="E222" s="11" t="n"/>
      <c r="F222" s="14">
        <f>O221</f>
        <v/>
      </c>
      <c r="G222" s="14">
        <f>E222+F222</f>
        <v/>
      </c>
      <c r="H222" s="11" t="n"/>
      <c r="I222" s="10" t="n"/>
      <c r="J222" s="11" t="n"/>
      <c r="K222" s="10" t="n"/>
      <c r="L222" s="11" t="n"/>
      <c r="M222" s="10" t="n"/>
      <c r="N222" s="14">
        <f>SUM(IF(ISNUMBER(H222),H222,0),IF(ISNUMBER(J222),J222,0),IF(ISNUMBER(L222),L222,0))</f>
        <v/>
      </c>
      <c r="O222" s="14">
        <f>G222-N222</f>
        <v/>
      </c>
      <c r="P222">
        <f>IF(AND($D222="",E222=0,F222=0),"Vacant",IF(O222&lt;-0.004,"Overpaid / Credit",IF(O222&lt;=0.004,"Paid",IF(N222&lt;=0.004,"Unpaid","Partial"))))</f>
        <v/>
      </c>
    </row>
    <row r="223">
      <c r="A223" s="13" t="n"/>
      <c r="B223" s="8" t="n"/>
      <c r="C223" s="8" t="n"/>
      <c r="D223" s="8" t="n"/>
      <c r="E223" s="11" t="n"/>
      <c r="F223" s="14">
        <f>O222</f>
        <v/>
      </c>
      <c r="G223" s="14">
        <f>E223+F223</f>
        <v/>
      </c>
      <c r="H223" s="11" t="n"/>
      <c r="I223" s="10" t="n"/>
      <c r="J223" s="11" t="n"/>
      <c r="K223" s="10" t="n"/>
      <c r="L223" s="11" t="n"/>
      <c r="M223" s="10" t="n"/>
      <c r="N223" s="14">
        <f>SUM(IF(ISNUMBER(H223),H223,0),IF(ISNUMBER(J223),J223,0),IF(ISNUMBER(L223),L223,0))</f>
        <v/>
      </c>
      <c r="O223" s="14">
        <f>G223-N223</f>
        <v/>
      </c>
      <c r="P223">
        <f>IF(AND($D223="",E223=0,F223=0),"Vacant",IF(O223&lt;-0.004,"Overpaid / Credit",IF(O223&lt;=0.004,"Paid",IF(N223&lt;=0.004,"Unpaid","Partial"))))</f>
        <v/>
      </c>
    </row>
    <row r="224">
      <c r="A224" s="13" t="n"/>
      <c r="B224" s="8" t="n"/>
      <c r="C224" s="8" t="n"/>
      <c r="D224" s="8" t="n"/>
      <c r="E224" s="11" t="n"/>
      <c r="F224" s="14">
        <f>O223</f>
        <v/>
      </c>
      <c r="G224" s="14">
        <f>E224+F224</f>
        <v/>
      </c>
      <c r="H224" s="11" t="n"/>
      <c r="I224" s="10" t="n"/>
      <c r="J224" s="11" t="n"/>
      <c r="K224" s="10" t="n"/>
      <c r="L224" s="11" t="n"/>
      <c r="M224" s="10" t="n"/>
      <c r="N224" s="14">
        <f>SUM(IF(ISNUMBER(H224),H224,0),IF(ISNUMBER(J224),J224,0),IF(ISNUMBER(L224),L224,0))</f>
        <v/>
      </c>
      <c r="O224" s="14">
        <f>G224-N224</f>
        <v/>
      </c>
      <c r="P224">
        <f>IF(AND($D224="",E224=0,F224=0),"Vacant",IF(O224&lt;-0.004,"Overpaid / Credit",IF(O224&lt;=0.004,"Paid",IF(N224&lt;=0.004,"Unpaid","Partial"))))</f>
        <v/>
      </c>
    </row>
    <row r="225">
      <c r="A225" s="13" t="n"/>
      <c r="B225" s="8" t="n"/>
      <c r="C225" s="8" t="n"/>
      <c r="D225" s="8" t="n"/>
      <c r="E225" s="11" t="n"/>
      <c r="F225" s="14">
        <f>O224</f>
        <v/>
      </c>
      <c r="G225" s="14">
        <f>E225+F225</f>
        <v/>
      </c>
      <c r="H225" s="11" t="n"/>
      <c r="I225" s="10" t="n"/>
      <c r="J225" s="11" t="n"/>
      <c r="K225" s="10" t="n"/>
      <c r="L225" s="11" t="n"/>
      <c r="M225" s="10" t="n"/>
      <c r="N225" s="14">
        <f>SUM(IF(ISNUMBER(H225),H225,0),IF(ISNUMBER(J225),J225,0),IF(ISNUMBER(L225),L225,0))</f>
        <v/>
      </c>
      <c r="O225" s="14">
        <f>G225-N225</f>
        <v/>
      </c>
      <c r="P225">
        <f>IF(AND($D225="",E225=0,F225=0),"Vacant",IF(O225&lt;-0.004,"Overpaid / Credit",IF(O225&lt;=0.004,"Paid",IF(N225&lt;=0.004,"Unpaid","Partial"))))</f>
        <v/>
      </c>
    </row>
    <row r="226">
      <c r="A226" s="13" t="n"/>
      <c r="B226" s="8" t="n"/>
      <c r="C226" s="8" t="n"/>
      <c r="D226" s="8" t="n"/>
      <c r="E226" s="11" t="n"/>
      <c r="F226" s="11" t="n">
        <v>0</v>
      </c>
      <c r="G226" s="14">
        <f>E226+F226</f>
        <v/>
      </c>
      <c r="H226" s="11" t="n"/>
      <c r="I226" s="10" t="n"/>
      <c r="J226" s="11" t="n"/>
      <c r="K226" s="10" t="n"/>
      <c r="L226" s="11" t="n"/>
      <c r="M226" s="10" t="n"/>
      <c r="N226" s="14">
        <f>SUM(IF(ISNUMBER(H226),H226,0),IF(ISNUMBER(J226),J226,0),IF(ISNUMBER(L226),L226,0))</f>
        <v/>
      </c>
      <c r="O226" s="14">
        <f>G226-N226</f>
        <v/>
      </c>
      <c r="P226">
        <f>IF(AND($D226="",E226=0,F226=0),"Vacant",IF(O226&lt;-0.004,"Overpaid / Credit",IF(O226&lt;=0.004,"Paid",IF(N226&lt;=0.004,"Unpaid","Partial"))))</f>
        <v/>
      </c>
    </row>
    <row r="227">
      <c r="A227" s="13" t="n"/>
      <c r="B227" s="8" t="n"/>
      <c r="C227" s="8" t="n"/>
      <c r="D227" s="8" t="n"/>
      <c r="E227" s="11" t="n"/>
      <c r="F227" s="14">
        <f>O226</f>
        <v/>
      </c>
      <c r="G227" s="14">
        <f>E227+F227</f>
        <v/>
      </c>
      <c r="H227" s="11" t="n"/>
      <c r="I227" s="10" t="n"/>
      <c r="J227" s="11" t="n"/>
      <c r="K227" s="10" t="n"/>
      <c r="L227" s="11" t="n"/>
      <c r="M227" s="10" t="n"/>
      <c r="N227" s="14">
        <f>SUM(IF(ISNUMBER(H227),H227,0),IF(ISNUMBER(J227),J227,0),IF(ISNUMBER(L227),L227,0))</f>
        <v/>
      </c>
      <c r="O227" s="14">
        <f>G227-N227</f>
        <v/>
      </c>
      <c r="P227">
        <f>IF(AND($D227="",E227=0,F227=0),"Vacant",IF(O227&lt;-0.004,"Overpaid / Credit",IF(O227&lt;=0.004,"Paid",IF(N227&lt;=0.004,"Unpaid","Partial"))))</f>
        <v/>
      </c>
    </row>
    <row r="228">
      <c r="A228" s="13" t="n"/>
      <c r="B228" s="8" t="n"/>
      <c r="C228" s="8" t="n"/>
      <c r="D228" s="8" t="n"/>
      <c r="E228" s="11" t="n"/>
      <c r="F228" s="14">
        <f>O227</f>
        <v/>
      </c>
      <c r="G228" s="14">
        <f>E228+F228</f>
        <v/>
      </c>
      <c r="H228" s="11" t="n"/>
      <c r="I228" s="10" t="n"/>
      <c r="J228" s="11" t="n"/>
      <c r="K228" s="10" t="n"/>
      <c r="L228" s="11" t="n"/>
      <c r="M228" s="10" t="n"/>
      <c r="N228" s="14">
        <f>SUM(IF(ISNUMBER(H228),H228,0),IF(ISNUMBER(J228),J228,0),IF(ISNUMBER(L228),L228,0))</f>
        <v/>
      </c>
      <c r="O228" s="14">
        <f>G228-N228</f>
        <v/>
      </c>
      <c r="P228">
        <f>IF(AND($D228="",E228=0,F228=0),"Vacant",IF(O228&lt;-0.004,"Overpaid / Credit",IF(O228&lt;=0.004,"Paid",IF(N228&lt;=0.004,"Unpaid","Partial"))))</f>
        <v/>
      </c>
    </row>
    <row r="229">
      <c r="A229" s="13" t="n"/>
      <c r="B229" s="8" t="n"/>
      <c r="C229" s="8" t="n"/>
      <c r="D229" s="8" t="n"/>
      <c r="E229" s="11" t="n"/>
      <c r="F229" s="14">
        <f>O228</f>
        <v/>
      </c>
      <c r="G229" s="14">
        <f>E229+F229</f>
        <v/>
      </c>
      <c r="H229" s="11" t="n"/>
      <c r="I229" s="10" t="n"/>
      <c r="J229" s="11" t="n"/>
      <c r="K229" s="10" t="n"/>
      <c r="L229" s="11" t="n"/>
      <c r="M229" s="10" t="n"/>
      <c r="N229" s="14">
        <f>SUM(IF(ISNUMBER(H229),H229,0),IF(ISNUMBER(J229),J229,0),IF(ISNUMBER(L229),L229,0))</f>
        <v/>
      </c>
      <c r="O229" s="14">
        <f>G229-N229</f>
        <v/>
      </c>
      <c r="P229">
        <f>IF(AND($D229="",E229=0,F229=0),"Vacant",IF(O229&lt;-0.004,"Overpaid / Credit",IF(O229&lt;=0.004,"Paid",IF(N229&lt;=0.004,"Unpaid","Partial"))))</f>
        <v/>
      </c>
    </row>
    <row r="230">
      <c r="A230" s="13" t="n"/>
      <c r="B230" s="8" t="n"/>
      <c r="C230" s="8" t="n"/>
      <c r="D230" s="8" t="n"/>
      <c r="E230" s="11" t="n"/>
      <c r="F230" s="14">
        <f>O229</f>
        <v/>
      </c>
      <c r="G230" s="14">
        <f>E230+F230</f>
        <v/>
      </c>
      <c r="H230" s="11" t="n"/>
      <c r="I230" s="10" t="n"/>
      <c r="J230" s="11" t="n"/>
      <c r="K230" s="10" t="n"/>
      <c r="L230" s="11" t="n"/>
      <c r="M230" s="10" t="n"/>
      <c r="N230" s="14">
        <f>SUM(IF(ISNUMBER(H230),H230,0),IF(ISNUMBER(J230),J230,0),IF(ISNUMBER(L230),L230,0))</f>
        <v/>
      </c>
      <c r="O230" s="14">
        <f>G230-N230</f>
        <v/>
      </c>
      <c r="P230">
        <f>IF(AND($D230="",E230=0,F230=0),"Vacant",IF(O230&lt;-0.004,"Overpaid / Credit",IF(O230&lt;=0.004,"Paid",IF(N230&lt;=0.004,"Unpaid","Partial"))))</f>
        <v/>
      </c>
    </row>
    <row r="231">
      <c r="A231" s="13" t="n"/>
      <c r="B231" s="8" t="n"/>
      <c r="C231" s="8" t="n"/>
      <c r="D231" s="8" t="n"/>
      <c r="E231" s="11" t="n"/>
      <c r="F231" s="14">
        <f>O230</f>
        <v/>
      </c>
      <c r="G231" s="14">
        <f>E231+F231</f>
        <v/>
      </c>
      <c r="H231" s="11" t="n"/>
      <c r="I231" s="10" t="n"/>
      <c r="J231" s="11" t="n"/>
      <c r="K231" s="10" t="n"/>
      <c r="L231" s="11" t="n"/>
      <c r="M231" s="10" t="n"/>
      <c r="N231" s="14">
        <f>SUM(IF(ISNUMBER(H231),H231,0),IF(ISNUMBER(J231),J231,0),IF(ISNUMBER(L231),L231,0))</f>
        <v/>
      </c>
      <c r="O231" s="14">
        <f>G231-N231</f>
        <v/>
      </c>
      <c r="P231">
        <f>IF(AND($D231="",E231=0,F231=0),"Vacant",IF(O231&lt;-0.004,"Overpaid / Credit",IF(O231&lt;=0.004,"Paid",IF(N231&lt;=0.004,"Unpaid","Partial"))))</f>
        <v/>
      </c>
    </row>
    <row r="232">
      <c r="A232" s="13" t="n"/>
      <c r="B232" s="8" t="n"/>
      <c r="C232" s="8" t="n"/>
      <c r="D232" s="8" t="n"/>
      <c r="E232" s="11" t="n"/>
      <c r="F232" s="14">
        <f>O231</f>
        <v/>
      </c>
      <c r="G232" s="14">
        <f>E232+F232</f>
        <v/>
      </c>
      <c r="H232" s="11" t="n"/>
      <c r="I232" s="10" t="n"/>
      <c r="J232" s="11" t="n"/>
      <c r="K232" s="10" t="n"/>
      <c r="L232" s="11" t="n"/>
      <c r="M232" s="10" t="n"/>
      <c r="N232" s="14">
        <f>SUM(IF(ISNUMBER(H232),H232,0),IF(ISNUMBER(J232),J232,0),IF(ISNUMBER(L232),L232,0))</f>
        <v/>
      </c>
      <c r="O232" s="14">
        <f>G232-N232</f>
        <v/>
      </c>
      <c r="P232">
        <f>IF(AND($D232="",E232=0,F232=0),"Vacant",IF(O232&lt;-0.004,"Overpaid / Credit",IF(O232&lt;=0.004,"Paid",IF(N232&lt;=0.004,"Unpaid","Partial"))))</f>
        <v/>
      </c>
    </row>
    <row r="233">
      <c r="A233" s="13" t="n"/>
      <c r="B233" s="8" t="n"/>
      <c r="C233" s="8" t="n"/>
      <c r="D233" s="8" t="n"/>
      <c r="E233" s="11" t="n"/>
      <c r="F233" s="14">
        <f>O232</f>
        <v/>
      </c>
      <c r="G233" s="14">
        <f>E233+F233</f>
        <v/>
      </c>
      <c r="H233" s="11" t="n"/>
      <c r="I233" s="10" t="n"/>
      <c r="J233" s="11" t="n"/>
      <c r="K233" s="10" t="n"/>
      <c r="L233" s="11" t="n"/>
      <c r="M233" s="10" t="n"/>
      <c r="N233" s="14">
        <f>SUM(IF(ISNUMBER(H233),H233,0),IF(ISNUMBER(J233),J233,0),IF(ISNUMBER(L233),L233,0))</f>
        <v/>
      </c>
      <c r="O233" s="14">
        <f>G233-N233</f>
        <v/>
      </c>
      <c r="P233">
        <f>IF(AND($D233="",E233=0,F233=0),"Vacant",IF(O233&lt;-0.004,"Overpaid / Credit",IF(O233&lt;=0.004,"Paid",IF(N233&lt;=0.004,"Unpaid","Partial"))))</f>
        <v/>
      </c>
    </row>
    <row r="234">
      <c r="A234" s="13" t="n"/>
      <c r="B234" s="8" t="n"/>
      <c r="C234" s="8" t="n"/>
      <c r="D234" s="8" t="n"/>
      <c r="E234" s="11" t="n"/>
      <c r="F234" s="14">
        <f>O233</f>
        <v/>
      </c>
      <c r="G234" s="14">
        <f>E234+F234</f>
        <v/>
      </c>
      <c r="H234" s="11" t="n"/>
      <c r="I234" s="10" t="n"/>
      <c r="J234" s="11" t="n"/>
      <c r="K234" s="10" t="n"/>
      <c r="L234" s="11" t="n"/>
      <c r="M234" s="10" t="n"/>
      <c r="N234" s="14">
        <f>SUM(IF(ISNUMBER(H234),H234,0),IF(ISNUMBER(J234),J234,0),IF(ISNUMBER(L234),L234,0))</f>
        <v/>
      </c>
      <c r="O234" s="14">
        <f>G234-N234</f>
        <v/>
      </c>
      <c r="P234">
        <f>IF(AND($D234="",E234=0,F234=0),"Vacant",IF(O234&lt;-0.004,"Overpaid / Credit",IF(O234&lt;=0.004,"Paid",IF(N234&lt;=0.004,"Unpaid","Partial"))))</f>
        <v/>
      </c>
    </row>
    <row r="235">
      <c r="A235" s="13" t="n"/>
      <c r="B235" s="8" t="n"/>
      <c r="C235" s="8" t="n"/>
      <c r="D235" s="8" t="n"/>
      <c r="E235" s="11" t="n"/>
      <c r="F235" s="14">
        <f>O234</f>
        <v/>
      </c>
      <c r="G235" s="14">
        <f>E235+F235</f>
        <v/>
      </c>
      <c r="H235" s="11" t="n"/>
      <c r="I235" s="10" t="n"/>
      <c r="J235" s="11" t="n"/>
      <c r="K235" s="10" t="n"/>
      <c r="L235" s="11" t="n"/>
      <c r="M235" s="10" t="n"/>
      <c r="N235" s="14">
        <f>SUM(IF(ISNUMBER(H235),H235,0),IF(ISNUMBER(J235),J235,0),IF(ISNUMBER(L235),L235,0))</f>
        <v/>
      </c>
      <c r="O235" s="14">
        <f>G235-N235</f>
        <v/>
      </c>
      <c r="P235">
        <f>IF(AND($D235="",E235=0,F235=0),"Vacant",IF(O235&lt;-0.004,"Overpaid / Credit",IF(O235&lt;=0.004,"Paid",IF(N235&lt;=0.004,"Unpaid","Partial"))))</f>
        <v/>
      </c>
    </row>
    <row r="236">
      <c r="A236" s="13" t="n"/>
      <c r="B236" s="8" t="n"/>
      <c r="C236" s="8" t="n"/>
      <c r="D236" s="8" t="n"/>
      <c r="E236" s="11" t="n"/>
      <c r="F236" s="14">
        <f>O235</f>
        <v/>
      </c>
      <c r="G236" s="14">
        <f>E236+F236</f>
        <v/>
      </c>
      <c r="H236" s="11" t="n"/>
      <c r="I236" s="10" t="n"/>
      <c r="J236" s="11" t="n"/>
      <c r="K236" s="10" t="n"/>
      <c r="L236" s="11" t="n"/>
      <c r="M236" s="10" t="n"/>
      <c r="N236" s="14">
        <f>SUM(IF(ISNUMBER(H236),H236,0),IF(ISNUMBER(J236),J236,0),IF(ISNUMBER(L236),L236,0))</f>
        <v/>
      </c>
      <c r="O236" s="14">
        <f>G236-N236</f>
        <v/>
      </c>
      <c r="P236">
        <f>IF(AND($D236="",E236=0,F236=0),"Vacant",IF(O236&lt;-0.004,"Overpaid / Credit",IF(O236&lt;=0.004,"Paid",IF(N236&lt;=0.004,"Unpaid","Partial"))))</f>
        <v/>
      </c>
    </row>
    <row r="237">
      <c r="A237" s="13" t="n"/>
      <c r="B237" s="8" t="n"/>
      <c r="C237" s="8" t="n"/>
      <c r="D237" s="8" t="n"/>
      <c r="E237" s="11" t="n"/>
      <c r="F237" s="14">
        <f>O236</f>
        <v/>
      </c>
      <c r="G237" s="14">
        <f>E237+F237</f>
        <v/>
      </c>
      <c r="H237" s="11" t="n"/>
      <c r="I237" s="10" t="n"/>
      <c r="J237" s="11" t="n"/>
      <c r="K237" s="10" t="n"/>
      <c r="L237" s="11" t="n"/>
      <c r="M237" s="10" t="n"/>
      <c r="N237" s="14">
        <f>SUM(IF(ISNUMBER(H237),H237,0),IF(ISNUMBER(J237),J237,0),IF(ISNUMBER(L237),L237,0))</f>
        <v/>
      </c>
      <c r="O237" s="14">
        <f>G237-N237</f>
        <v/>
      </c>
      <c r="P237">
        <f>IF(AND($D237="",E237=0,F237=0),"Vacant",IF(O237&lt;-0.004,"Overpaid / Credit",IF(O237&lt;=0.004,"Paid",IF(N237&lt;=0.004,"Unpaid","Partial"))))</f>
        <v/>
      </c>
    </row>
    <row r="238">
      <c r="A238" s="13" t="n"/>
      <c r="B238" s="8" t="n"/>
      <c r="C238" s="8" t="n"/>
      <c r="D238" s="8" t="n"/>
      <c r="E238" s="11" t="n"/>
      <c r="F238" s="11" t="n">
        <v>0</v>
      </c>
      <c r="G238" s="14">
        <f>E238+F238</f>
        <v/>
      </c>
      <c r="H238" s="11" t="n"/>
      <c r="I238" s="10" t="n"/>
      <c r="J238" s="11" t="n"/>
      <c r="K238" s="10" t="n"/>
      <c r="L238" s="11" t="n"/>
      <c r="M238" s="10" t="n"/>
      <c r="N238" s="14">
        <f>SUM(IF(ISNUMBER(H238),H238,0),IF(ISNUMBER(J238),J238,0),IF(ISNUMBER(L238),L238,0))</f>
        <v/>
      </c>
      <c r="O238" s="14">
        <f>G238-N238</f>
        <v/>
      </c>
      <c r="P238">
        <f>IF(AND($D238="",E238=0,F238=0),"Vacant",IF(O238&lt;-0.004,"Overpaid / Credit",IF(O238&lt;=0.004,"Paid",IF(N238&lt;=0.004,"Unpaid","Partial"))))</f>
        <v/>
      </c>
    </row>
    <row r="239">
      <c r="A239" s="13" t="n"/>
      <c r="B239" s="8" t="n"/>
      <c r="C239" s="8" t="n"/>
      <c r="D239" s="8" t="n"/>
      <c r="E239" s="11" t="n"/>
      <c r="F239" s="14">
        <f>O238</f>
        <v/>
      </c>
      <c r="G239" s="14">
        <f>E239+F239</f>
        <v/>
      </c>
      <c r="H239" s="11" t="n"/>
      <c r="I239" s="10" t="n"/>
      <c r="J239" s="11" t="n"/>
      <c r="K239" s="10" t="n"/>
      <c r="L239" s="11" t="n"/>
      <c r="M239" s="10" t="n"/>
      <c r="N239" s="14">
        <f>SUM(IF(ISNUMBER(H239),H239,0),IF(ISNUMBER(J239),J239,0),IF(ISNUMBER(L239),L239,0))</f>
        <v/>
      </c>
      <c r="O239" s="14">
        <f>G239-N239</f>
        <v/>
      </c>
      <c r="P239">
        <f>IF(AND($D239="",E239=0,F239=0),"Vacant",IF(O239&lt;-0.004,"Overpaid / Credit",IF(O239&lt;=0.004,"Paid",IF(N239&lt;=0.004,"Unpaid","Partial"))))</f>
        <v/>
      </c>
    </row>
    <row r="240">
      <c r="A240" s="13" t="n"/>
      <c r="B240" s="8" t="n"/>
      <c r="C240" s="8" t="n"/>
      <c r="D240" s="8" t="n"/>
      <c r="E240" s="11" t="n"/>
      <c r="F240" s="14">
        <f>O239</f>
        <v/>
      </c>
      <c r="G240" s="14">
        <f>E240+F240</f>
        <v/>
      </c>
      <c r="H240" s="11" t="n"/>
      <c r="I240" s="10" t="n"/>
      <c r="J240" s="11" t="n"/>
      <c r="K240" s="10" t="n"/>
      <c r="L240" s="11" t="n"/>
      <c r="M240" s="10" t="n"/>
      <c r="N240" s="14">
        <f>SUM(IF(ISNUMBER(H240),H240,0),IF(ISNUMBER(J240),J240,0),IF(ISNUMBER(L240),L240,0))</f>
        <v/>
      </c>
      <c r="O240" s="14">
        <f>G240-N240</f>
        <v/>
      </c>
      <c r="P240">
        <f>IF(AND($D240="",E240=0,F240=0),"Vacant",IF(O240&lt;-0.004,"Overpaid / Credit",IF(O240&lt;=0.004,"Paid",IF(N240&lt;=0.004,"Unpaid","Partial"))))</f>
        <v/>
      </c>
    </row>
    <row r="241">
      <c r="A241" s="13" t="n"/>
      <c r="B241" s="8" t="n"/>
      <c r="C241" s="8" t="n"/>
      <c r="D241" s="8" t="n"/>
      <c r="E241" s="11" t="n"/>
      <c r="F241" s="14">
        <f>O240</f>
        <v/>
      </c>
      <c r="G241" s="14">
        <f>E241+F241</f>
        <v/>
      </c>
      <c r="H241" s="11" t="n"/>
      <c r="I241" s="10" t="n"/>
      <c r="J241" s="11" t="n"/>
      <c r="K241" s="10" t="n"/>
      <c r="L241" s="11" t="n"/>
      <c r="M241" s="10" t="n"/>
      <c r="N241" s="14">
        <f>SUM(IF(ISNUMBER(H241),H241,0),IF(ISNUMBER(J241),J241,0),IF(ISNUMBER(L241),L241,0))</f>
        <v/>
      </c>
      <c r="O241" s="14">
        <f>G241-N241</f>
        <v/>
      </c>
      <c r="P241">
        <f>IF(AND($D241="",E241=0,F241=0),"Vacant",IF(O241&lt;-0.004,"Overpaid / Credit",IF(O241&lt;=0.004,"Paid",IF(N241&lt;=0.004,"Unpaid","Partial"))))</f>
        <v/>
      </c>
    </row>
    <row r="242">
      <c r="A242" s="13" t="n"/>
      <c r="B242" s="8" t="n"/>
      <c r="C242" s="8" t="n"/>
      <c r="D242" s="8" t="n"/>
      <c r="E242" s="11" t="n"/>
      <c r="F242" s="14">
        <f>O241</f>
        <v/>
      </c>
      <c r="G242" s="14">
        <f>E242+F242</f>
        <v/>
      </c>
      <c r="H242" s="11" t="n"/>
      <c r="I242" s="10" t="n"/>
      <c r="J242" s="11" t="n"/>
      <c r="K242" s="10" t="n"/>
      <c r="L242" s="11" t="n"/>
      <c r="M242" s="10" t="n"/>
      <c r="N242" s="14">
        <f>SUM(IF(ISNUMBER(H242),H242,0),IF(ISNUMBER(J242),J242,0),IF(ISNUMBER(L242),L242,0))</f>
        <v/>
      </c>
      <c r="O242" s="14">
        <f>G242-N242</f>
        <v/>
      </c>
      <c r="P242">
        <f>IF(AND($D242="",E242=0,F242=0),"Vacant",IF(O242&lt;-0.004,"Overpaid / Credit",IF(O242&lt;=0.004,"Paid",IF(N242&lt;=0.004,"Unpaid","Partial"))))</f>
        <v/>
      </c>
    </row>
    <row r="243">
      <c r="A243" s="13" t="n"/>
      <c r="B243" s="8" t="n"/>
      <c r="C243" s="8" t="n"/>
      <c r="D243" s="8" t="n"/>
      <c r="E243" s="11" t="n"/>
      <c r="F243" s="14">
        <f>O242</f>
        <v/>
      </c>
      <c r="G243" s="14">
        <f>E243+F243</f>
        <v/>
      </c>
      <c r="H243" s="11" t="n"/>
      <c r="I243" s="10" t="n"/>
      <c r="J243" s="11" t="n"/>
      <c r="K243" s="10" t="n"/>
      <c r="L243" s="11" t="n"/>
      <c r="M243" s="10" t="n"/>
      <c r="N243" s="14">
        <f>SUM(IF(ISNUMBER(H243),H243,0),IF(ISNUMBER(J243),J243,0),IF(ISNUMBER(L243),L243,0))</f>
        <v/>
      </c>
      <c r="O243" s="14">
        <f>G243-N243</f>
        <v/>
      </c>
      <c r="P243">
        <f>IF(AND($D243="",E243=0,F243=0),"Vacant",IF(O243&lt;-0.004,"Overpaid / Credit",IF(O243&lt;=0.004,"Paid",IF(N243&lt;=0.004,"Unpaid","Partial"))))</f>
        <v/>
      </c>
    </row>
    <row r="244">
      <c r="A244" s="13" t="n"/>
      <c r="B244" s="8" t="n"/>
      <c r="C244" s="8" t="n"/>
      <c r="D244" s="8" t="n"/>
      <c r="E244" s="11" t="n"/>
      <c r="F244" s="14">
        <f>O243</f>
        <v/>
      </c>
      <c r="G244" s="14">
        <f>E244+F244</f>
        <v/>
      </c>
      <c r="H244" s="11" t="n"/>
      <c r="I244" s="10" t="n"/>
      <c r="J244" s="11" t="n"/>
      <c r="K244" s="10" t="n"/>
      <c r="L244" s="11" t="n"/>
      <c r="M244" s="10" t="n"/>
      <c r="N244" s="14">
        <f>SUM(IF(ISNUMBER(H244),H244,0),IF(ISNUMBER(J244),J244,0),IF(ISNUMBER(L244),L244,0))</f>
        <v/>
      </c>
      <c r="O244" s="14">
        <f>G244-N244</f>
        <v/>
      </c>
      <c r="P244">
        <f>IF(AND($D244="",E244=0,F244=0),"Vacant",IF(O244&lt;-0.004,"Overpaid / Credit",IF(O244&lt;=0.004,"Paid",IF(N244&lt;=0.004,"Unpaid","Partial"))))</f>
        <v/>
      </c>
    </row>
    <row r="245">
      <c r="A245" s="13" t="n"/>
      <c r="B245" s="8" t="n"/>
      <c r="C245" s="8" t="n"/>
      <c r="D245" s="8" t="n"/>
      <c r="E245" s="11" t="n"/>
      <c r="F245" s="14">
        <f>O244</f>
        <v/>
      </c>
      <c r="G245" s="14">
        <f>E245+F245</f>
        <v/>
      </c>
      <c r="H245" s="11" t="n"/>
      <c r="I245" s="10" t="n"/>
      <c r="J245" s="11" t="n"/>
      <c r="K245" s="10" t="n"/>
      <c r="L245" s="11" t="n"/>
      <c r="M245" s="10" t="n"/>
      <c r="N245" s="14">
        <f>SUM(IF(ISNUMBER(H245),H245,0),IF(ISNUMBER(J245),J245,0),IF(ISNUMBER(L245),L245,0))</f>
        <v/>
      </c>
      <c r="O245" s="14">
        <f>G245-N245</f>
        <v/>
      </c>
      <c r="P245">
        <f>IF(AND($D245="",E245=0,F245=0),"Vacant",IF(O245&lt;-0.004,"Overpaid / Credit",IF(O245&lt;=0.004,"Paid",IF(N245&lt;=0.004,"Unpaid","Partial"))))</f>
        <v/>
      </c>
    </row>
    <row r="246">
      <c r="A246" s="13" t="n"/>
      <c r="B246" s="8" t="n"/>
      <c r="C246" s="8" t="n"/>
      <c r="D246" s="8" t="n"/>
      <c r="E246" s="11" t="n"/>
      <c r="F246" s="14">
        <f>O245</f>
        <v/>
      </c>
      <c r="G246" s="14">
        <f>E246+F246</f>
        <v/>
      </c>
      <c r="H246" s="11" t="n"/>
      <c r="I246" s="10" t="n"/>
      <c r="J246" s="11" t="n"/>
      <c r="K246" s="10" t="n"/>
      <c r="L246" s="11" t="n"/>
      <c r="M246" s="10" t="n"/>
      <c r="N246" s="14">
        <f>SUM(IF(ISNUMBER(H246),H246,0),IF(ISNUMBER(J246),J246,0),IF(ISNUMBER(L246),L246,0))</f>
        <v/>
      </c>
      <c r="O246" s="14">
        <f>G246-N246</f>
        <v/>
      </c>
      <c r="P246">
        <f>IF(AND($D246="",E246=0,F246=0),"Vacant",IF(O246&lt;-0.004,"Overpaid / Credit",IF(O246&lt;=0.004,"Paid",IF(N246&lt;=0.004,"Unpaid","Partial"))))</f>
        <v/>
      </c>
    </row>
    <row r="247">
      <c r="A247" s="13" t="n"/>
      <c r="B247" s="8" t="n"/>
      <c r="C247" s="8" t="n"/>
      <c r="D247" s="8" t="n"/>
      <c r="E247" s="11" t="n"/>
      <c r="F247" s="14">
        <f>O246</f>
        <v/>
      </c>
      <c r="G247" s="14">
        <f>E247+F247</f>
        <v/>
      </c>
      <c r="H247" s="11" t="n"/>
      <c r="I247" s="10" t="n"/>
      <c r="J247" s="11" t="n"/>
      <c r="K247" s="10" t="n"/>
      <c r="L247" s="11" t="n"/>
      <c r="M247" s="10" t="n"/>
      <c r="N247" s="14">
        <f>SUM(IF(ISNUMBER(H247),H247,0),IF(ISNUMBER(J247),J247,0),IF(ISNUMBER(L247),L247,0))</f>
        <v/>
      </c>
      <c r="O247" s="14">
        <f>G247-N247</f>
        <v/>
      </c>
      <c r="P247">
        <f>IF(AND($D247="",E247=0,F247=0),"Vacant",IF(O247&lt;-0.004,"Overpaid / Credit",IF(O247&lt;=0.004,"Paid",IF(N247&lt;=0.004,"Unpaid","Partial"))))</f>
        <v/>
      </c>
    </row>
    <row r="248">
      <c r="A248" s="13" t="n"/>
      <c r="B248" s="8" t="n"/>
      <c r="C248" s="8" t="n"/>
      <c r="D248" s="8" t="n"/>
      <c r="E248" s="11" t="n"/>
      <c r="F248" s="14">
        <f>O247</f>
        <v/>
      </c>
      <c r="G248" s="14">
        <f>E248+F248</f>
        <v/>
      </c>
      <c r="H248" s="11" t="n"/>
      <c r="I248" s="10" t="n"/>
      <c r="J248" s="11" t="n"/>
      <c r="K248" s="10" t="n"/>
      <c r="L248" s="11" t="n"/>
      <c r="M248" s="10" t="n"/>
      <c r="N248" s="14">
        <f>SUM(IF(ISNUMBER(H248),H248,0),IF(ISNUMBER(J248),J248,0),IF(ISNUMBER(L248),L248,0))</f>
        <v/>
      </c>
      <c r="O248" s="14">
        <f>G248-N248</f>
        <v/>
      </c>
      <c r="P248">
        <f>IF(AND($D248="",E248=0,F248=0),"Vacant",IF(O248&lt;-0.004,"Overpaid / Credit",IF(O248&lt;=0.004,"Paid",IF(N248&lt;=0.004,"Unpaid","Partial"))))</f>
        <v/>
      </c>
    </row>
    <row r="249">
      <c r="A249" s="13" t="n"/>
      <c r="B249" s="8" t="n"/>
      <c r="C249" s="8" t="n"/>
      <c r="D249" s="8" t="n"/>
      <c r="E249" s="11" t="n"/>
      <c r="F249" s="14">
        <f>O248</f>
        <v/>
      </c>
      <c r="G249" s="14">
        <f>E249+F249</f>
        <v/>
      </c>
      <c r="H249" s="11" t="n"/>
      <c r="I249" s="10" t="n"/>
      <c r="J249" s="11" t="n"/>
      <c r="K249" s="10" t="n"/>
      <c r="L249" s="11" t="n"/>
      <c r="M249" s="10" t="n"/>
      <c r="N249" s="14">
        <f>SUM(IF(ISNUMBER(H249),H249,0),IF(ISNUMBER(J249),J249,0),IF(ISNUMBER(L249),L249,0))</f>
        <v/>
      </c>
      <c r="O249" s="14">
        <f>G249-N249</f>
        <v/>
      </c>
      <c r="P249">
        <f>IF(AND($D249="",E249=0,F249=0),"Vacant",IF(O249&lt;-0.004,"Overpaid / Credit",IF(O249&lt;=0.004,"Paid",IF(N249&lt;=0.004,"Unpaid","Partial"))))</f>
        <v/>
      </c>
    </row>
    <row r="250">
      <c r="A250" s="13" t="n"/>
      <c r="B250" s="8" t="n"/>
      <c r="C250" s="8" t="n"/>
      <c r="D250" s="8" t="n"/>
      <c r="E250" s="11" t="n"/>
      <c r="F250" s="11" t="n">
        <v>0</v>
      </c>
      <c r="G250" s="14">
        <f>E250+F250</f>
        <v/>
      </c>
      <c r="H250" s="11" t="n"/>
      <c r="I250" s="10" t="n"/>
      <c r="J250" s="11" t="n"/>
      <c r="K250" s="10" t="n"/>
      <c r="L250" s="11" t="n"/>
      <c r="M250" s="10" t="n"/>
      <c r="N250" s="14">
        <f>SUM(IF(ISNUMBER(H250),H250,0),IF(ISNUMBER(J250),J250,0),IF(ISNUMBER(L250),L250,0))</f>
        <v/>
      </c>
      <c r="O250" s="14">
        <f>G250-N250</f>
        <v/>
      </c>
      <c r="P250">
        <f>IF(AND($D250="",E250=0,F250=0),"Vacant",IF(O250&lt;-0.004,"Overpaid / Credit",IF(O250&lt;=0.004,"Paid",IF(N250&lt;=0.004,"Unpaid","Partial"))))</f>
        <v/>
      </c>
    </row>
    <row r="251">
      <c r="A251" s="13" t="n"/>
      <c r="B251" s="8" t="n"/>
      <c r="C251" s="8" t="n"/>
      <c r="D251" s="8" t="n"/>
      <c r="E251" s="11" t="n"/>
      <c r="F251" s="14">
        <f>O250</f>
        <v/>
      </c>
      <c r="G251" s="14">
        <f>E251+F251</f>
        <v/>
      </c>
      <c r="H251" s="11" t="n"/>
      <c r="I251" s="10" t="n"/>
      <c r="J251" s="11" t="n"/>
      <c r="K251" s="10" t="n"/>
      <c r="L251" s="11" t="n"/>
      <c r="M251" s="10" t="n"/>
      <c r="N251" s="14">
        <f>SUM(IF(ISNUMBER(H251),H251,0),IF(ISNUMBER(J251),J251,0),IF(ISNUMBER(L251),L251,0))</f>
        <v/>
      </c>
      <c r="O251" s="14">
        <f>G251-N251</f>
        <v/>
      </c>
      <c r="P251">
        <f>IF(AND($D251="",E251=0,F251=0),"Vacant",IF(O251&lt;-0.004,"Overpaid / Credit",IF(O251&lt;=0.004,"Paid",IF(N251&lt;=0.004,"Unpaid","Partial"))))</f>
        <v/>
      </c>
    </row>
    <row r="252">
      <c r="A252" s="13" t="n"/>
      <c r="B252" s="8" t="n"/>
      <c r="C252" s="8" t="n"/>
      <c r="D252" s="8" t="n"/>
      <c r="E252" s="11" t="n"/>
      <c r="F252" s="14">
        <f>O251</f>
        <v/>
      </c>
      <c r="G252" s="14">
        <f>E252+F252</f>
        <v/>
      </c>
      <c r="H252" s="11" t="n"/>
      <c r="I252" s="10" t="n"/>
      <c r="J252" s="11" t="n"/>
      <c r="K252" s="10" t="n"/>
      <c r="L252" s="11" t="n"/>
      <c r="M252" s="10" t="n"/>
      <c r="N252" s="14">
        <f>SUM(IF(ISNUMBER(H252),H252,0),IF(ISNUMBER(J252),J252,0),IF(ISNUMBER(L252),L252,0))</f>
        <v/>
      </c>
      <c r="O252" s="14">
        <f>G252-N252</f>
        <v/>
      </c>
      <c r="P252">
        <f>IF(AND($D252="",E252=0,F252=0),"Vacant",IF(O252&lt;-0.004,"Overpaid / Credit",IF(O252&lt;=0.004,"Paid",IF(N252&lt;=0.004,"Unpaid","Partial"))))</f>
        <v/>
      </c>
    </row>
    <row r="253">
      <c r="A253" s="13" t="n"/>
      <c r="B253" s="8" t="n"/>
      <c r="C253" s="8" t="n"/>
      <c r="D253" s="8" t="n"/>
      <c r="E253" s="11" t="n"/>
      <c r="F253" s="14">
        <f>O252</f>
        <v/>
      </c>
      <c r="G253" s="14">
        <f>E253+F253</f>
        <v/>
      </c>
      <c r="H253" s="11" t="n"/>
      <c r="I253" s="10" t="n"/>
      <c r="J253" s="11" t="n"/>
      <c r="K253" s="10" t="n"/>
      <c r="L253" s="11" t="n"/>
      <c r="M253" s="10" t="n"/>
      <c r="N253" s="14">
        <f>SUM(IF(ISNUMBER(H253),H253,0),IF(ISNUMBER(J253),J253,0),IF(ISNUMBER(L253),L253,0))</f>
        <v/>
      </c>
      <c r="O253" s="14">
        <f>G253-N253</f>
        <v/>
      </c>
      <c r="P253">
        <f>IF(AND($D253="",E253=0,F253=0),"Vacant",IF(O253&lt;-0.004,"Overpaid / Credit",IF(O253&lt;=0.004,"Paid",IF(N253&lt;=0.004,"Unpaid","Partial"))))</f>
        <v/>
      </c>
    </row>
    <row r="254">
      <c r="A254" s="13" t="n"/>
      <c r="B254" s="8" t="n"/>
      <c r="C254" s="8" t="n"/>
      <c r="D254" s="8" t="n"/>
      <c r="E254" s="11" t="n"/>
      <c r="F254" s="14">
        <f>O253</f>
        <v/>
      </c>
      <c r="G254" s="14">
        <f>E254+F254</f>
        <v/>
      </c>
      <c r="H254" s="11" t="n"/>
      <c r="I254" s="10" t="n"/>
      <c r="J254" s="11" t="n"/>
      <c r="K254" s="10" t="n"/>
      <c r="L254" s="11" t="n"/>
      <c r="M254" s="10" t="n"/>
      <c r="N254" s="14">
        <f>SUM(IF(ISNUMBER(H254),H254,0),IF(ISNUMBER(J254),J254,0),IF(ISNUMBER(L254),L254,0))</f>
        <v/>
      </c>
      <c r="O254" s="14">
        <f>G254-N254</f>
        <v/>
      </c>
      <c r="P254">
        <f>IF(AND($D254="",E254=0,F254=0),"Vacant",IF(O254&lt;-0.004,"Overpaid / Credit",IF(O254&lt;=0.004,"Paid",IF(N254&lt;=0.004,"Unpaid","Partial"))))</f>
        <v/>
      </c>
    </row>
    <row r="255">
      <c r="A255" s="13" t="n"/>
      <c r="B255" s="8" t="n"/>
      <c r="C255" s="8" t="n"/>
      <c r="D255" s="8" t="n"/>
      <c r="E255" s="11" t="n"/>
      <c r="F255" s="14">
        <f>O254</f>
        <v/>
      </c>
      <c r="G255" s="14">
        <f>E255+F255</f>
        <v/>
      </c>
      <c r="H255" s="11" t="n"/>
      <c r="I255" s="10" t="n"/>
      <c r="J255" s="11" t="n"/>
      <c r="K255" s="10" t="n"/>
      <c r="L255" s="11" t="n"/>
      <c r="M255" s="10" t="n"/>
      <c r="N255" s="14">
        <f>SUM(IF(ISNUMBER(H255),H255,0),IF(ISNUMBER(J255),J255,0),IF(ISNUMBER(L255),L255,0))</f>
        <v/>
      </c>
      <c r="O255" s="14">
        <f>G255-N255</f>
        <v/>
      </c>
      <c r="P255">
        <f>IF(AND($D255="",E255=0,F255=0),"Vacant",IF(O255&lt;-0.004,"Overpaid / Credit",IF(O255&lt;=0.004,"Paid",IF(N255&lt;=0.004,"Unpaid","Partial"))))</f>
        <v/>
      </c>
    </row>
    <row r="256">
      <c r="A256" s="13" t="n"/>
      <c r="B256" s="8" t="n"/>
      <c r="C256" s="8" t="n"/>
      <c r="D256" s="8" t="n"/>
      <c r="E256" s="11" t="n"/>
      <c r="F256" s="14">
        <f>O255</f>
        <v/>
      </c>
      <c r="G256" s="14">
        <f>E256+F256</f>
        <v/>
      </c>
      <c r="H256" s="11" t="n"/>
      <c r="I256" s="10" t="n"/>
      <c r="J256" s="11" t="n"/>
      <c r="K256" s="10" t="n"/>
      <c r="L256" s="11" t="n"/>
      <c r="M256" s="10" t="n"/>
      <c r="N256" s="14">
        <f>SUM(IF(ISNUMBER(H256),H256,0),IF(ISNUMBER(J256),J256,0),IF(ISNUMBER(L256),L256,0))</f>
        <v/>
      </c>
      <c r="O256" s="14">
        <f>G256-N256</f>
        <v/>
      </c>
      <c r="P256">
        <f>IF(AND($D256="",E256=0,F256=0),"Vacant",IF(O256&lt;-0.004,"Overpaid / Credit",IF(O256&lt;=0.004,"Paid",IF(N256&lt;=0.004,"Unpaid","Partial"))))</f>
        <v/>
      </c>
    </row>
    <row r="257">
      <c r="A257" s="13" t="n"/>
      <c r="B257" s="8" t="n"/>
      <c r="C257" s="8" t="n"/>
      <c r="D257" s="8" t="n"/>
      <c r="E257" s="11" t="n"/>
      <c r="F257" s="14">
        <f>O256</f>
        <v/>
      </c>
      <c r="G257" s="14">
        <f>E257+F257</f>
        <v/>
      </c>
      <c r="H257" s="11" t="n"/>
      <c r="I257" s="10" t="n"/>
      <c r="J257" s="11" t="n"/>
      <c r="K257" s="10" t="n"/>
      <c r="L257" s="11" t="n"/>
      <c r="M257" s="10" t="n"/>
      <c r="N257" s="14">
        <f>SUM(IF(ISNUMBER(H257),H257,0),IF(ISNUMBER(J257),J257,0),IF(ISNUMBER(L257),L257,0))</f>
        <v/>
      </c>
      <c r="O257" s="14">
        <f>G257-N257</f>
        <v/>
      </c>
      <c r="P257">
        <f>IF(AND($D257="",E257=0,F257=0),"Vacant",IF(O257&lt;-0.004,"Overpaid / Credit",IF(O257&lt;=0.004,"Paid",IF(N257&lt;=0.004,"Unpaid","Partial"))))</f>
        <v/>
      </c>
    </row>
    <row r="258">
      <c r="A258" s="13" t="n"/>
      <c r="B258" s="8" t="n"/>
      <c r="C258" s="8" t="n"/>
      <c r="D258" s="8" t="n"/>
      <c r="E258" s="11" t="n"/>
      <c r="F258" s="14">
        <f>O257</f>
        <v/>
      </c>
      <c r="G258" s="14">
        <f>E258+F258</f>
        <v/>
      </c>
      <c r="H258" s="11" t="n"/>
      <c r="I258" s="10" t="n"/>
      <c r="J258" s="11" t="n"/>
      <c r="K258" s="10" t="n"/>
      <c r="L258" s="11" t="n"/>
      <c r="M258" s="10" t="n"/>
      <c r="N258" s="14">
        <f>SUM(IF(ISNUMBER(H258),H258,0),IF(ISNUMBER(J258),J258,0),IF(ISNUMBER(L258),L258,0))</f>
        <v/>
      </c>
      <c r="O258" s="14">
        <f>G258-N258</f>
        <v/>
      </c>
      <c r="P258">
        <f>IF(AND($D258="",E258=0,F258=0),"Vacant",IF(O258&lt;-0.004,"Overpaid / Credit",IF(O258&lt;=0.004,"Paid",IF(N258&lt;=0.004,"Unpaid","Partial"))))</f>
        <v/>
      </c>
    </row>
    <row r="259">
      <c r="A259" s="13" t="n"/>
      <c r="B259" s="8" t="n"/>
      <c r="C259" s="8" t="n"/>
      <c r="D259" s="8" t="n"/>
      <c r="E259" s="11" t="n"/>
      <c r="F259" s="14">
        <f>O258</f>
        <v/>
      </c>
      <c r="G259" s="14">
        <f>E259+F259</f>
        <v/>
      </c>
      <c r="H259" s="11" t="n"/>
      <c r="I259" s="10" t="n"/>
      <c r="J259" s="11" t="n"/>
      <c r="K259" s="10" t="n"/>
      <c r="L259" s="11" t="n"/>
      <c r="M259" s="10" t="n"/>
      <c r="N259" s="14">
        <f>SUM(IF(ISNUMBER(H259),H259,0),IF(ISNUMBER(J259),J259,0),IF(ISNUMBER(L259),L259,0))</f>
        <v/>
      </c>
      <c r="O259" s="14">
        <f>G259-N259</f>
        <v/>
      </c>
      <c r="P259">
        <f>IF(AND($D259="",E259=0,F259=0),"Vacant",IF(O259&lt;-0.004,"Overpaid / Credit",IF(O259&lt;=0.004,"Paid",IF(N259&lt;=0.004,"Unpaid","Partial"))))</f>
        <v/>
      </c>
    </row>
    <row r="260">
      <c r="A260" s="13" t="n"/>
      <c r="B260" s="8" t="n"/>
      <c r="C260" s="8" t="n"/>
      <c r="D260" s="8" t="n"/>
      <c r="E260" s="11" t="n"/>
      <c r="F260" s="14">
        <f>O259</f>
        <v/>
      </c>
      <c r="G260" s="14">
        <f>E260+F260</f>
        <v/>
      </c>
      <c r="H260" s="11" t="n"/>
      <c r="I260" s="10" t="n"/>
      <c r="J260" s="11" t="n"/>
      <c r="K260" s="10" t="n"/>
      <c r="L260" s="11" t="n"/>
      <c r="M260" s="10" t="n"/>
      <c r="N260" s="14">
        <f>SUM(IF(ISNUMBER(H260),H260,0),IF(ISNUMBER(J260),J260,0),IF(ISNUMBER(L260),L260,0))</f>
        <v/>
      </c>
      <c r="O260" s="14">
        <f>G260-N260</f>
        <v/>
      </c>
      <c r="P260">
        <f>IF(AND($D260="",E260=0,F260=0),"Vacant",IF(O260&lt;-0.004,"Overpaid / Credit",IF(O260&lt;=0.004,"Paid",IF(N260&lt;=0.004,"Unpaid","Partial"))))</f>
        <v/>
      </c>
    </row>
    <row r="261">
      <c r="A261" s="13" t="n"/>
      <c r="B261" s="8" t="n"/>
      <c r="C261" s="8" t="n"/>
      <c r="D261" s="8" t="n"/>
      <c r="E261" s="11" t="n"/>
      <c r="F261" s="14">
        <f>O260</f>
        <v/>
      </c>
      <c r="G261" s="14">
        <f>E261+F261</f>
        <v/>
      </c>
      <c r="H261" s="11" t="n"/>
      <c r="I261" s="10" t="n"/>
      <c r="J261" s="11" t="n"/>
      <c r="K261" s="10" t="n"/>
      <c r="L261" s="11" t="n"/>
      <c r="M261" s="10" t="n"/>
      <c r="N261" s="14">
        <f>SUM(IF(ISNUMBER(H261),H261,0),IF(ISNUMBER(J261),J261,0),IF(ISNUMBER(L261),L261,0))</f>
        <v/>
      </c>
      <c r="O261" s="14">
        <f>G261-N261</f>
        <v/>
      </c>
      <c r="P261">
        <f>IF(AND($D261="",E261=0,F261=0),"Vacant",IF(O261&lt;-0.004,"Overpaid / Credit",IF(O261&lt;=0.004,"Paid",IF(N261&lt;=0.004,"Unpaid","Partial"))))</f>
        <v/>
      </c>
    </row>
    <row r="262">
      <c r="A262" s="13" t="n"/>
      <c r="B262" s="8" t="n"/>
      <c r="C262" s="8" t="n"/>
      <c r="D262" s="8" t="n"/>
      <c r="E262" s="11" t="n"/>
      <c r="F262" s="11" t="n">
        <v>0</v>
      </c>
      <c r="G262" s="14">
        <f>E262+F262</f>
        <v/>
      </c>
      <c r="H262" s="11" t="n"/>
      <c r="I262" s="10" t="n"/>
      <c r="J262" s="11" t="n"/>
      <c r="K262" s="10" t="n"/>
      <c r="L262" s="11" t="n"/>
      <c r="M262" s="10" t="n"/>
      <c r="N262" s="14">
        <f>SUM(IF(ISNUMBER(H262),H262,0),IF(ISNUMBER(J262),J262,0),IF(ISNUMBER(L262),L262,0))</f>
        <v/>
      </c>
      <c r="O262" s="14">
        <f>G262-N262</f>
        <v/>
      </c>
      <c r="P262">
        <f>IF(AND($D262="",E262=0,F262=0),"Vacant",IF(O262&lt;-0.004,"Overpaid / Credit",IF(O262&lt;=0.004,"Paid",IF(N262&lt;=0.004,"Unpaid","Partial"))))</f>
        <v/>
      </c>
    </row>
    <row r="263">
      <c r="A263" s="13" t="n"/>
      <c r="B263" s="8" t="n"/>
      <c r="C263" s="8" t="n"/>
      <c r="D263" s="8" t="n"/>
      <c r="E263" s="11" t="n"/>
      <c r="F263" s="14">
        <f>O262</f>
        <v/>
      </c>
      <c r="G263" s="14">
        <f>E263+F263</f>
        <v/>
      </c>
      <c r="H263" s="11" t="n"/>
      <c r="I263" s="10" t="n"/>
      <c r="J263" s="11" t="n"/>
      <c r="K263" s="10" t="n"/>
      <c r="L263" s="11" t="n"/>
      <c r="M263" s="10" t="n"/>
      <c r="N263" s="14">
        <f>SUM(IF(ISNUMBER(H263),H263,0),IF(ISNUMBER(J263),J263,0),IF(ISNUMBER(L263),L263,0))</f>
        <v/>
      </c>
      <c r="O263" s="14">
        <f>G263-N263</f>
        <v/>
      </c>
      <c r="P263">
        <f>IF(AND($D263="",E263=0,F263=0),"Vacant",IF(O263&lt;-0.004,"Overpaid / Credit",IF(O263&lt;=0.004,"Paid",IF(N263&lt;=0.004,"Unpaid","Partial"))))</f>
        <v/>
      </c>
    </row>
    <row r="264">
      <c r="A264" s="13" t="n"/>
      <c r="B264" s="8" t="n"/>
      <c r="C264" s="8" t="n"/>
      <c r="D264" s="8" t="n"/>
      <c r="E264" s="11" t="n"/>
      <c r="F264" s="14">
        <f>O263</f>
        <v/>
      </c>
      <c r="G264" s="14">
        <f>E264+F264</f>
        <v/>
      </c>
      <c r="H264" s="11" t="n"/>
      <c r="I264" s="10" t="n"/>
      <c r="J264" s="11" t="n"/>
      <c r="K264" s="10" t="n"/>
      <c r="L264" s="11" t="n"/>
      <c r="M264" s="10" t="n"/>
      <c r="N264" s="14">
        <f>SUM(IF(ISNUMBER(H264),H264,0),IF(ISNUMBER(J264),J264,0),IF(ISNUMBER(L264),L264,0))</f>
        <v/>
      </c>
      <c r="O264" s="14">
        <f>G264-N264</f>
        <v/>
      </c>
      <c r="P264">
        <f>IF(AND($D264="",E264=0,F264=0),"Vacant",IF(O264&lt;-0.004,"Overpaid / Credit",IF(O264&lt;=0.004,"Paid",IF(N264&lt;=0.004,"Unpaid","Partial"))))</f>
        <v/>
      </c>
    </row>
    <row r="265">
      <c r="A265" s="13" t="n"/>
      <c r="B265" s="8" t="n"/>
      <c r="C265" s="8" t="n"/>
      <c r="D265" s="8" t="n"/>
      <c r="E265" s="11" t="n"/>
      <c r="F265" s="14">
        <f>O264</f>
        <v/>
      </c>
      <c r="G265" s="14">
        <f>E265+F265</f>
        <v/>
      </c>
      <c r="H265" s="11" t="n"/>
      <c r="I265" s="10" t="n"/>
      <c r="J265" s="11" t="n"/>
      <c r="K265" s="10" t="n"/>
      <c r="L265" s="11" t="n"/>
      <c r="M265" s="10" t="n"/>
      <c r="N265" s="14">
        <f>SUM(IF(ISNUMBER(H265),H265,0),IF(ISNUMBER(J265),J265,0),IF(ISNUMBER(L265),L265,0))</f>
        <v/>
      </c>
      <c r="O265" s="14">
        <f>G265-N265</f>
        <v/>
      </c>
      <c r="P265">
        <f>IF(AND($D265="",E265=0,F265=0),"Vacant",IF(O265&lt;-0.004,"Overpaid / Credit",IF(O265&lt;=0.004,"Paid",IF(N265&lt;=0.004,"Unpaid","Partial"))))</f>
        <v/>
      </c>
    </row>
    <row r="266">
      <c r="A266" s="13" t="n"/>
      <c r="B266" s="8" t="n"/>
      <c r="C266" s="8" t="n"/>
      <c r="D266" s="8" t="n"/>
      <c r="E266" s="11" t="n"/>
      <c r="F266" s="14">
        <f>O265</f>
        <v/>
      </c>
      <c r="G266" s="14">
        <f>E266+F266</f>
        <v/>
      </c>
      <c r="H266" s="11" t="n"/>
      <c r="I266" s="10" t="n"/>
      <c r="J266" s="11" t="n"/>
      <c r="K266" s="10" t="n"/>
      <c r="L266" s="11" t="n"/>
      <c r="M266" s="10" t="n"/>
      <c r="N266" s="14">
        <f>SUM(IF(ISNUMBER(H266),H266,0),IF(ISNUMBER(J266),J266,0),IF(ISNUMBER(L266),L266,0))</f>
        <v/>
      </c>
      <c r="O266" s="14">
        <f>G266-N266</f>
        <v/>
      </c>
      <c r="P266">
        <f>IF(AND($D266="",E266=0,F266=0),"Vacant",IF(O266&lt;-0.004,"Overpaid / Credit",IF(O266&lt;=0.004,"Paid",IF(N266&lt;=0.004,"Unpaid","Partial"))))</f>
        <v/>
      </c>
    </row>
    <row r="267">
      <c r="A267" s="13" t="n"/>
      <c r="B267" s="8" t="n"/>
      <c r="C267" s="8" t="n"/>
      <c r="D267" s="8" t="n"/>
      <c r="E267" s="11" t="n"/>
      <c r="F267" s="14">
        <f>O266</f>
        <v/>
      </c>
      <c r="G267" s="14">
        <f>E267+F267</f>
        <v/>
      </c>
      <c r="H267" s="11" t="n"/>
      <c r="I267" s="10" t="n"/>
      <c r="J267" s="11" t="n"/>
      <c r="K267" s="10" t="n"/>
      <c r="L267" s="11" t="n"/>
      <c r="M267" s="10" t="n"/>
      <c r="N267" s="14">
        <f>SUM(IF(ISNUMBER(H267),H267,0),IF(ISNUMBER(J267),J267,0),IF(ISNUMBER(L267),L267,0))</f>
        <v/>
      </c>
      <c r="O267" s="14">
        <f>G267-N267</f>
        <v/>
      </c>
      <c r="P267">
        <f>IF(AND($D267="",E267=0,F267=0),"Vacant",IF(O267&lt;-0.004,"Overpaid / Credit",IF(O267&lt;=0.004,"Paid",IF(N267&lt;=0.004,"Unpaid","Partial"))))</f>
        <v/>
      </c>
    </row>
    <row r="268">
      <c r="A268" s="13" t="n"/>
      <c r="B268" s="8" t="n"/>
      <c r="C268" s="8" t="n"/>
      <c r="D268" s="8" t="n"/>
      <c r="E268" s="11" t="n"/>
      <c r="F268" s="14">
        <f>O267</f>
        <v/>
      </c>
      <c r="G268" s="14">
        <f>E268+F268</f>
        <v/>
      </c>
      <c r="H268" s="11" t="n"/>
      <c r="I268" s="10" t="n"/>
      <c r="J268" s="11" t="n"/>
      <c r="K268" s="10" t="n"/>
      <c r="L268" s="11" t="n"/>
      <c r="M268" s="10" t="n"/>
      <c r="N268" s="14">
        <f>SUM(IF(ISNUMBER(H268),H268,0),IF(ISNUMBER(J268),J268,0),IF(ISNUMBER(L268),L268,0))</f>
        <v/>
      </c>
      <c r="O268" s="14">
        <f>G268-N268</f>
        <v/>
      </c>
      <c r="P268">
        <f>IF(AND($D268="",E268=0,F268=0),"Vacant",IF(O268&lt;-0.004,"Overpaid / Credit",IF(O268&lt;=0.004,"Paid",IF(N268&lt;=0.004,"Unpaid","Partial"))))</f>
        <v/>
      </c>
    </row>
    <row r="269">
      <c r="A269" s="13" t="n"/>
      <c r="B269" s="8" t="n"/>
      <c r="C269" s="8" t="n"/>
      <c r="D269" s="8" t="n"/>
      <c r="E269" s="11" t="n"/>
      <c r="F269" s="14">
        <f>O268</f>
        <v/>
      </c>
      <c r="G269" s="14">
        <f>E269+F269</f>
        <v/>
      </c>
      <c r="H269" s="11" t="n"/>
      <c r="I269" s="10" t="n"/>
      <c r="J269" s="11" t="n"/>
      <c r="K269" s="10" t="n"/>
      <c r="L269" s="11" t="n"/>
      <c r="M269" s="10" t="n"/>
      <c r="N269" s="14">
        <f>SUM(IF(ISNUMBER(H269),H269,0),IF(ISNUMBER(J269),J269,0),IF(ISNUMBER(L269),L269,0))</f>
        <v/>
      </c>
      <c r="O269" s="14">
        <f>G269-N269</f>
        <v/>
      </c>
      <c r="P269">
        <f>IF(AND($D269="",E269=0,F269=0),"Vacant",IF(O269&lt;-0.004,"Overpaid / Credit",IF(O269&lt;=0.004,"Paid",IF(N269&lt;=0.004,"Unpaid","Partial"))))</f>
        <v/>
      </c>
    </row>
    <row r="270">
      <c r="A270" s="13" t="n"/>
      <c r="B270" s="8" t="n"/>
      <c r="C270" s="8" t="n"/>
      <c r="D270" s="8" t="n"/>
      <c r="E270" s="11" t="n"/>
      <c r="F270" s="14">
        <f>O269</f>
        <v/>
      </c>
      <c r="G270" s="14">
        <f>E270+F270</f>
        <v/>
      </c>
      <c r="H270" s="11" t="n"/>
      <c r="I270" s="10" t="n"/>
      <c r="J270" s="11" t="n"/>
      <c r="K270" s="10" t="n"/>
      <c r="L270" s="11" t="n"/>
      <c r="M270" s="10" t="n"/>
      <c r="N270" s="14">
        <f>SUM(IF(ISNUMBER(H270),H270,0),IF(ISNUMBER(J270),J270,0),IF(ISNUMBER(L270),L270,0))</f>
        <v/>
      </c>
      <c r="O270" s="14">
        <f>G270-N270</f>
        <v/>
      </c>
      <c r="P270">
        <f>IF(AND($D270="",E270=0,F270=0),"Vacant",IF(O270&lt;-0.004,"Overpaid / Credit",IF(O270&lt;=0.004,"Paid",IF(N270&lt;=0.004,"Unpaid","Partial"))))</f>
        <v/>
      </c>
    </row>
    <row r="271">
      <c r="A271" s="13" t="n"/>
      <c r="B271" s="8" t="n"/>
      <c r="C271" s="8" t="n"/>
      <c r="D271" s="8" t="n"/>
      <c r="E271" s="11" t="n"/>
      <c r="F271" s="14">
        <f>O270</f>
        <v/>
      </c>
      <c r="G271" s="14">
        <f>E271+F271</f>
        <v/>
      </c>
      <c r="H271" s="11" t="n"/>
      <c r="I271" s="10" t="n"/>
      <c r="J271" s="11" t="n"/>
      <c r="K271" s="10" t="n"/>
      <c r="L271" s="11" t="n"/>
      <c r="M271" s="10" t="n"/>
      <c r="N271" s="14">
        <f>SUM(IF(ISNUMBER(H271),H271,0),IF(ISNUMBER(J271),J271,0),IF(ISNUMBER(L271),L271,0))</f>
        <v/>
      </c>
      <c r="O271" s="14">
        <f>G271-N271</f>
        <v/>
      </c>
      <c r="P271">
        <f>IF(AND($D271="",E271=0,F271=0),"Vacant",IF(O271&lt;-0.004,"Overpaid / Credit",IF(O271&lt;=0.004,"Paid",IF(N271&lt;=0.004,"Unpaid","Partial"))))</f>
        <v/>
      </c>
    </row>
    <row r="272">
      <c r="A272" s="13" t="n"/>
      <c r="B272" s="8" t="n"/>
      <c r="C272" s="8" t="n"/>
      <c r="D272" s="8" t="n"/>
      <c r="E272" s="11" t="n"/>
      <c r="F272" s="14">
        <f>O271</f>
        <v/>
      </c>
      <c r="G272" s="14">
        <f>E272+F272</f>
        <v/>
      </c>
      <c r="H272" s="11" t="n"/>
      <c r="I272" s="10" t="n"/>
      <c r="J272" s="11" t="n"/>
      <c r="K272" s="10" t="n"/>
      <c r="L272" s="11" t="n"/>
      <c r="M272" s="10" t="n"/>
      <c r="N272" s="14">
        <f>SUM(IF(ISNUMBER(H272),H272,0),IF(ISNUMBER(J272),J272,0),IF(ISNUMBER(L272),L272,0))</f>
        <v/>
      </c>
      <c r="O272" s="14">
        <f>G272-N272</f>
        <v/>
      </c>
      <c r="P272">
        <f>IF(AND($D272="",E272=0,F272=0),"Vacant",IF(O272&lt;-0.004,"Overpaid / Credit",IF(O272&lt;=0.004,"Paid",IF(N272&lt;=0.004,"Unpaid","Partial"))))</f>
        <v/>
      </c>
    </row>
    <row r="273">
      <c r="A273" s="13" t="n"/>
      <c r="B273" s="8" t="n"/>
      <c r="C273" s="8" t="n"/>
      <c r="D273" s="8" t="n"/>
      <c r="E273" s="11" t="n"/>
      <c r="F273" s="14">
        <f>O272</f>
        <v/>
      </c>
      <c r="G273" s="14">
        <f>E273+F273</f>
        <v/>
      </c>
      <c r="H273" s="11" t="n"/>
      <c r="I273" s="10" t="n"/>
      <c r="J273" s="11" t="n"/>
      <c r="K273" s="10" t="n"/>
      <c r="L273" s="11" t="n"/>
      <c r="M273" s="10" t="n"/>
      <c r="N273" s="14">
        <f>SUM(IF(ISNUMBER(H273),H273,0),IF(ISNUMBER(J273),J273,0),IF(ISNUMBER(L273),L273,0))</f>
        <v/>
      </c>
      <c r="O273" s="14">
        <f>G273-N273</f>
        <v/>
      </c>
      <c r="P273">
        <f>IF(AND($D273="",E273=0,F273=0),"Vacant",IF(O273&lt;-0.004,"Overpaid / Credit",IF(O273&lt;=0.004,"Paid",IF(N273&lt;=0.004,"Unpaid","Partial"))))</f>
        <v/>
      </c>
    </row>
    <row r="274">
      <c r="A274" s="13" t="n"/>
      <c r="B274" s="8" t="n"/>
      <c r="C274" s="8" t="n"/>
      <c r="D274" s="8" t="n"/>
      <c r="E274" s="11" t="n"/>
      <c r="F274" s="11" t="n">
        <v>0</v>
      </c>
      <c r="G274" s="14">
        <f>E274+F274</f>
        <v/>
      </c>
      <c r="H274" s="11" t="n"/>
      <c r="I274" s="10" t="n"/>
      <c r="J274" s="11" t="n"/>
      <c r="K274" s="10" t="n"/>
      <c r="L274" s="11" t="n"/>
      <c r="M274" s="10" t="n"/>
      <c r="N274" s="14">
        <f>SUM(IF(ISNUMBER(H274),H274,0),IF(ISNUMBER(J274),J274,0),IF(ISNUMBER(L274),L274,0))</f>
        <v/>
      </c>
      <c r="O274" s="14">
        <f>G274-N274</f>
        <v/>
      </c>
      <c r="P274">
        <f>IF(AND($D274="",E274=0,F274=0),"Vacant",IF(O274&lt;-0.004,"Overpaid / Credit",IF(O274&lt;=0.004,"Paid",IF(N274&lt;=0.004,"Unpaid","Partial"))))</f>
        <v/>
      </c>
    </row>
    <row r="275">
      <c r="A275" s="13" t="n"/>
      <c r="B275" s="8" t="n"/>
      <c r="C275" s="8" t="n"/>
      <c r="D275" s="8" t="n"/>
      <c r="E275" s="11" t="n"/>
      <c r="F275" s="14">
        <f>O274</f>
        <v/>
      </c>
      <c r="G275" s="14">
        <f>E275+F275</f>
        <v/>
      </c>
      <c r="H275" s="11" t="n"/>
      <c r="I275" s="10" t="n"/>
      <c r="J275" s="11" t="n"/>
      <c r="K275" s="10" t="n"/>
      <c r="L275" s="11" t="n"/>
      <c r="M275" s="10" t="n"/>
      <c r="N275" s="14">
        <f>SUM(IF(ISNUMBER(H275),H275,0),IF(ISNUMBER(J275),J275,0),IF(ISNUMBER(L275),L275,0))</f>
        <v/>
      </c>
      <c r="O275" s="14">
        <f>G275-N275</f>
        <v/>
      </c>
      <c r="P275">
        <f>IF(AND($D275="",E275=0,F275=0),"Vacant",IF(O275&lt;-0.004,"Overpaid / Credit",IF(O275&lt;=0.004,"Paid",IF(N275&lt;=0.004,"Unpaid","Partial"))))</f>
        <v/>
      </c>
    </row>
    <row r="276">
      <c r="A276" s="13" t="n"/>
      <c r="B276" s="8" t="n"/>
      <c r="C276" s="8" t="n"/>
      <c r="D276" s="8" t="n"/>
      <c r="E276" s="11" t="n"/>
      <c r="F276" s="14">
        <f>O275</f>
        <v/>
      </c>
      <c r="G276" s="14">
        <f>E276+F276</f>
        <v/>
      </c>
      <c r="H276" s="11" t="n"/>
      <c r="I276" s="10" t="n"/>
      <c r="J276" s="11" t="n"/>
      <c r="K276" s="10" t="n"/>
      <c r="L276" s="11" t="n"/>
      <c r="M276" s="10" t="n"/>
      <c r="N276" s="14">
        <f>SUM(IF(ISNUMBER(H276),H276,0),IF(ISNUMBER(J276),J276,0),IF(ISNUMBER(L276),L276,0))</f>
        <v/>
      </c>
      <c r="O276" s="14">
        <f>G276-N276</f>
        <v/>
      </c>
      <c r="P276">
        <f>IF(AND($D276="",E276=0,F276=0),"Vacant",IF(O276&lt;-0.004,"Overpaid / Credit",IF(O276&lt;=0.004,"Paid",IF(N276&lt;=0.004,"Unpaid","Partial"))))</f>
        <v/>
      </c>
    </row>
    <row r="277">
      <c r="A277" s="13" t="n"/>
      <c r="B277" s="8" t="n"/>
      <c r="C277" s="8" t="n"/>
      <c r="D277" s="8" t="n"/>
      <c r="E277" s="11" t="n"/>
      <c r="F277" s="14">
        <f>O276</f>
        <v/>
      </c>
      <c r="G277" s="14">
        <f>E277+F277</f>
        <v/>
      </c>
      <c r="H277" s="11" t="n"/>
      <c r="I277" s="10" t="n"/>
      <c r="J277" s="11" t="n"/>
      <c r="K277" s="10" t="n"/>
      <c r="L277" s="11" t="n"/>
      <c r="M277" s="10" t="n"/>
      <c r="N277" s="14">
        <f>SUM(IF(ISNUMBER(H277),H277,0),IF(ISNUMBER(J277),J277,0),IF(ISNUMBER(L277),L277,0))</f>
        <v/>
      </c>
      <c r="O277" s="14">
        <f>G277-N277</f>
        <v/>
      </c>
      <c r="P277">
        <f>IF(AND($D277="",E277=0,F277=0),"Vacant",IF(O277&lt;-0.004,"Overpaid / Credit",IF(O277&lt;=0.004,"Paid",IF(N277&lt;=0.004,"Unpaid","Partial"))))</f>
        <v/>
      </c>
    </row>
    <row r="278">
      <c r="A278" s="13" t="n"/>
      <c r="B278" s="8" t="n"/>
      <c r="C278" s="8" t="n"/>
      <c r="D278" s="8" t="n"/>
      <c r="E278" s="11" t="n"/>
      <c r="F278" s="14">
        <f>O277</f>
        <v/>
      </c>
      <c r="G278" s="14">
        <f>E278+F278</f>
        <v/>
      </c>
      <c r="H278" s="11" t="n"/>
      <c r="I278" s="10" t="n"/>
      <c r="J278" s="11" t="n"/>
      <c r="K278" s="10" t="n"/>
      <c r="L278" s="11" t="n"/>
      <c r="M278" s="10" t="n"/>
      <c r="N278" s="14">
        <f>SUM(IF(ISNUMBER(H278),H278,0),IF(ISNUMBER(J278),J278,0),IF(ISNUMBER(L278),L278,0))</f>
        <v/>
      </c>
      <c r="O278" s="14">
        <f>G278-N278</f>
        <v/>
      </c>
      <c r="P278">
        <f>IF(AND($D278="",E278=0,F278=0),"Vacant",IF(O278&lt;-0.004,"Overpaid / Credit",IF(O278&lt;=0.004,"Paid",IF(N278&lt;=0.004,"Unpaid","Partial"))))</f>
        <v/>
      </c>
    </row>
    <row r="279">
      <c r="A279" s="13" t="n"/>
      <c r="B279" s="8" t="n"/>
      <c r="C279" s="8" t="n"/>
      <c r="D279" s="8" t="n"/>
      <c r="E279" s="11" t="n"/>
      <c r="F279" s="14">
        <f>O278</f>
        <v/>
      </c>
      <c r="G279" s="14">
        <f>E279+F279</f>
        <v/>
      </c>
      <c r="H279" s="11" t="n"/>
      <c r="I279" s="10" t="n"/>
      <c r="J279" s="11" t="n"/>
      <c r="K279" s="10" t="n"/>
      <c r="L279" s="11" t="n"/>
      <c r="M279" s="10" t="n"/>
      <c r="N279" s="14">
        <f>SUM(IF(ISNUMBER(H279),H279,0),IF(ISNUMBER(J279),J279,0),IF(ISNUMBER(L279),L279,0))</f>
        <v/>
      </c>
      <c r="O279" s="14">
        <f>G279-N279</f>
        <v/>
      </c>
      <c r="P279">
        <f>IF(AND($D279="",E279=0,F279=0),"Vacant",IF(O279&lt;-0.004,"Overpaid / Credit",IF(O279&lt;=0.004,"Paid",IF(N279&lt;=0.004,"Unpaid","Partial"))))</f>
        <v/>
      </c>
    </row>
    <row r="280">
      <c r="A280" s="13" t="n"/>
      <c r="B280" s="8" t="n"/>
      <c r="C280" s="8" t="n"/>
      <c r="D280" s="8" t="n"/>
      <c r="E280" s="11" t="n"/>
      <c r="F280" s="14">
        <f>O279</f>
        <v/>
      </c>
      <c r="G280" s="14">
        <f>E280+F280</f>
        <v/>
      </c>
      <c r="H280" s="11" t="n"/>
      <c r="I280" s="10" t="n"/>
      <c r="J280" s="11" t="n"/>
      <c r="K280" s="10" t="n"/>
      <c r="L280" s="11" t="n"/>
      <c r="M280" s="10" t="n"/>
      <c r="N280" s="14">
        <f>SUM(IF(ISNUMBER(H280),H280,0),IF(ISNUMBER(J280),J280,0),IF(ISNUMBER(L280),L280,0))</f>
        <v/>
      </c>
      <c r="O280" s="14">
        <f>G280-N280</f>
        <v/>
      </c>
      <c r="P280">
        <f>IF(AND($D280="",E280=0,F280=0),"Vacant",IF(O280&lt;-0.004,"Overpaid / Credit",IF(O280&lt;=0.004,"Paid",IF(N280&lt;=0.004,"Unpaid","Partial"))))</f>
        <v/>
      </c>
    </row>
    <row r="281">
      <c r="A281" s="13" t="n"/>
      <c r="B281" s="8" t="n"/>
      <c r="C281" s="8" t="n"/>
      <c r="D281" s="8" t="n"/>
      <c r="E281" s="11" t="n"/>
      <c r="F281" s="14">
        <f>O280</f>
        <v/>
      </c>
      <c r="G281" s="14">
        <f>E281+F281</f>
        <v/>
      </c>
      <c r="H281" s="11" t="n"/>
      <c r="I281" s="10" t="n"/>
      <c r="J281" s="11" t="n"/>
      <c r="K281" s="10" t="n"/>
      <c r="L281" s="11" t="n"/>
      <c r="M281" s="10" t="n"/>
      <c r="N281" s="14">
        <f>SUM(IF(ISNUMBER(H281),H281,0),IF(ISNUMBER(J281),J281,0),IF(ISNUMBER(L281),L281,0))</f>
        <v/>
      </c>
      <c r="O281" s="14">
        <f>G281-N281</f>
        <v/>
      </c>
      <c r="P281">
        <f>IF(AND($D281="",E281=0,F281=0),"Vacant",IF(O281&lt;-0.004,"Overpaid / Credit",IF(O281&lt;=0.004,"Paid",IF(N281&lt;=0.004,"Unpaid","Partial"))))</f>
        <v/>
      </c>
    </row>
    <row r="282">
      <c r="A282" s="13" t="n"/>
      <c r="B282" s="8" t="n"/>
      <c r="C282" s="8" t="n"/>
      <c r="D282" s="8" t="n"/>
      <c r="E282" s="11" t="n"/>
      <c r="F282" s="14">
        <f>O281</f>
        <v/>
      </c>
      <c r="G282" s="14">
        <f>E282+F282</f>
        <v/>
      </c>
      <c r="H282" s="11" t="n"/>
      <c r="I282" s="10" t="n"/>
      <c r="J282" s="11" t="n"/>
      <c r="K282" s="10" t="n"/>
      <c r="L282" s="11" t="n"/>
      <c r="M282" s="10" t="n"/>
      <c r="N282" s="14">
        <f>SUM(IF(ISNUMBER(H282),H282,0),IF(ISNUMBER(J282),J282,0),IF(ISNUMBER(L282),L282,0))</f>
        <v/>
      </c>
      <c r="O282" s="14">
        <f>G282-N282</f>
        <v/>
      </c>
      <c r="P282">
        <f>IF(AND($D282="",E282=0,F282=0),"Vacant",IF(O282&lt;-0.004,"Overpaid / Credit",IF(O282&lt;=0.004,"Paid",IF(N282&lt;=0.004,"Unpaid","Partial"))))</f>
        <v/>
      </c>
    </row>
    <row r="283">
      <c r="A283" s="13" t="n"/>
      <c r="B283" s="8" t="n"/>
      <c r="C283" s="8" t="n"/>
      <c r="D283" s="8" t="n"/>
      <c r="E283" s="11" t="n"/>
      <c r="F283" s="14">
        <f>O282</f>
        <v/>
      </c>
      <c r="G283" s="14">
        <f>E283+F283</f>
        <v/>
      </c>
      <c r="H283" s="11" t="n"/>
      <c r="I283" s="10" t="n"/>
      <c r="J283" s="11" t="n"/>
      <c r="K283" s="10" t="n"/>
      <c r="L283" s="11" t="n"/>
      <c r="M283" s="10" t="n"/>
      <c r="N283" s="14">
        <f>SUM(IF(ISNUMBER(H283),H283,0),IF(ISNUMBER(J283),J283,0),IF(ISNUMBER(L283),L283,0))</f>
        <v/>
      </c>
      <c r="O283" s="14">
        <f>G283-N283</f>
        <v/>
      </c>
      <c r="P283">
        <f>IF(AND($D283="",E283=0,F283=0),"Vacant",IF(O283&lt;-0.004,"Overpaid / Credit",IF(O283&lt;=0.004,"Paid",IF(N283&lt;=0.004,"Unpaid","Partial"))))</f>
        <v/>
      </c>
    </row>
    <row r="284">
      <c r="A284" s="13" t="n"/>
      <c r="B284" s="8" t="n"/>
      <c r="C284" s="8" t="n"/>
      <c r="D284" s="8" t="n"/>
      <c r="E284" s="11" t="n"/>
      <c r="F284" s="14">
        <f>O283</f>
        <v/>
      </c>
      <c r="G284" s="14">
        <f>E284+F284</f>
        <v/>
      </c>
      <c r="H284" s="11" t="n"/>
      <c r="I284" s="10" t="n"/>
      <c r="J284" s="11" t="n"/>
      <c r="K284" s="10" t="n"/>
      <c r="L284" s="11" t="n"/>
      <c r="M284" s="10" t="n"/>
      <c r="N284" s="14">
        <f>SUM(IF(ISNUMBER(H284),H284,0),IF(ISNUMBER(J284),J284,0),IF(ISNUMBER(L284),L284,0))</f>
        <v/>
      </c>
      <c r="O284" s="14">
        <f>G284-N284</f>
        <v/>
      </c>
      <c r="P284">
        <f>IF(AND($D284="",E284=0,F284=0),"Vacant",IF(O284&lt;-0.004,"Overpaid / Credit",IF(O284&lt;=0.004,"Paid",IF(N284&lt;=0.004,"Unpaid","Partial"))))</f>
        <v/>
      </c>
    </row>
    <row r="285">
      <c r="A285" s="13" t="n"/>
      <c r="B285" s="8" t="n"/>
      <c r="C285" s="8" t="n"/>
      <c r="D285" s="8" t="n"/>
      <c r="E285" s="11" t="n"/>
      <c r="F285" s="14">
        <f>O284</f>
        <v/>
      </c>
      <c r="G285" s="14">
        <f>E285+F285</f>
        <v/>
      </c>
      <c r="H285" s="11" t="n"/>
      <c r="I285" s="10" t="n"/>
      <c r="J285" s="11" t="n"/>
      <c r="K285" s="10" t="n"/>
      <c r="L285" s="11" t="n"/>
      <c r="M285" s="10" t="n"/>
      <c r="N285" s="14">
        <f>SUM(IF(ISNUMBER(H285),H285,0),IF(ISNUMBER(J285),J285,0),IF(ISNUMBER(L285),L285,0))</f>
        <v/>
      </c>
      <c r="O285" s="14">
        <f>G285-N285</f>
        <v/>
      </c>
      <c r="P285">
        <f>IF(AND($D285="",E285=0,F285=0),"Vacant",IF(O285&lt;-0.004,"Overpaid / Credit",IF(O285&lt;=0.004,"Paid",IF(N285&lt;=0.004,"Unpaid","Partial"))))</f>
        <v/>
      </c>
    </row>
    <row r="286">
      <c r="A286" s="13" t="n"/>
      <c r="B286" s="8" t="n"/>
      <c r="C286" s="8" t="n"/>
      <c r="D286" s="8" t="n"/>
      <c r="E286" s="11" t="n"/>
      <c r="F286" s="11" t="n">
        <v>0</v>
      </c>
      <c r="G286" s="14">
        <f>E286+F286</f>
        <v/>
      </c>
      <c r="H286" s="11" t="n"/>
      <c r="I286" s="10" t="n"/>
      <c r="J286" s="11" t="n"/>
      <c r="K286" s="10" t="n"/>
      <c r="L286" s="11" t="n"/>
      <c r="M286" s="10" t="n"/>
      <c r="N286" s="14">
        <f>SUM(IF(ISNUMBER(H286),H286,0),IF(ISNUMBER(J286),J286,0),IF(ISNUMBER(L286),L286,0))</f>
        <v/>
      </c>
      <c r="O286" s="14">
        <f>G286-N286</f>
        <v/>
      </c>
      <c r="P286">
        <f>IF(AND($D286="",E286=0,F286=0),"Vacant",IF(O286&lt;-0.004,"Overpaid / Credit",IF(O286&lt;=0.004,"Paid",IF(N286&lt;=0.004,"Unpaid","Partial"))))</f>
        <v/>
      </c>
    </row>
    <row r="287">
      <c r="A287" s="13" t="n"/>
      <c r="B287" s="8" t="n"/>
      <c r="C287" s="8" t="n"/>
      <c r="D287" s="8" t="n"/>
      <c r="E287" s="11" t="n"/>
      <c r="F287" s="14">
        <f>O286</f>
        <v/>
      </c>
      <c r="G287" s="14">
        <f>E287+F287</f>
        <v/>
      </c>
      <c r="H287" s="11" t="n"/>
      <c r="I287" s="10" t="n"/>
      <c r="J287" s="11" t="n"/>
      <c r="K287" s="10" t="n"/>
      <c r="L287" s="11" t="n"/>
      <c r="M287" s="10" t="n"/>
      <c r="N287" s="14">
        <f>SUM(IF(ISNUMBER(H287),H287,0),IF(ISNUMBER(J287),J287,0),IF(ISNUMBER(L287),L287,0))</f>
        <v/>
      </c>
      <c r="O287" s="14">
        <f>G287-N287</f>
        <v/>
      </c>
      <c r="P287">
        <f>IF(AND($D287="",E287=0,F287=0),"Vacant",IF(O287&lt;-0.004,"Overpaid / Credit",IF(O287&lt;=0.004,"Paid",IF(N287&lt;=0.004,"Unpaid","Partial"))))</f>
        <v/>
      </c>
    </row>
    <row r="288">
      <c r="A288" s="13" t="n"/>
      <c r="B288" s="8" t="n"/>
      <c r="C288" s="8" t="n"/>
      <c r="D288" s="8" t="n"/>
      <c r="E288" s="11" t="n"/>
      <c r="F288" s="14">
        <f>O287</f>
        <v/>
      </c>
      <c r="G288" s="14">
        <f>E288+F288</f>
        <v/>
      </c>
      <c r="H288" s="11" t="n"/>
      <c r="I288" s="10" t="n"/>
      <c r="J288" s="11" t="n"/>
      <c r="K288" s="10" t="n"/>
      <c r="L288" s="11" t="n"/>
      <c r="M288" s="10" t="n"/>
      <c r="N288" s="14">
        <f>SUM(IF(ISNUMBER(H288),H288,0),IF(ISNUMBER(J288),J288,0),IF(ISNUMBER(L288),L288,0))</f>
        <v/>
      </c>
      <c r="O288" s="14">
        <f>G288-N288</f>
        <v/>
      </c>
      <c r="P288">
        <f>IF(AND($D288="",E288=0,F288=0),"Vacant",IF(O288&lt;-0.004,"Overpaid / Credit",IF(O288&lt;=0.004,"Paid",IF(N288&lt;=0.004,"Unpaid","Partial"))))</f>
        <v/>
      </c>
    </row>
    <row r="289">
      <c r="A289" s="13" t="n"/>
      <c r="B289" s="8" t="n"/>
      <c r="C289" s="8" t="n"/>
      <c r="D289" s="8" t="n"/>
      <c r="E289" s="11" t="n"/>
      <c r="F289" s="14">
        <f>O288</f>
        <v/>
      </c>
      <c r="G289" s="14">
        <f>E289+F289</f>
        <v/>
      </c>
      <c r="H289" s="11" t="n"/>
      <c r="I289" s="10" t="n"/>
      <c r="J289" s="11" t="n"/>
      <c r="K289" s="10" t="n"/>
      <c r="L289" s="11" t="n"/>
      <c r="M289" s="10" t="n"/>
      <c r="N289" s="14">
        <f>SUM(IF(ISNUMBER(H289),H289,0),IF(ISNUMBER(J289),J289,0),IF(ISNUMBER(L289),L289,0))</f>
        <v/>
      </c>
      <c r="O289" s="14">
        <f>G289-N289</f>
        <v/>
      </c>
      <c r="P289">
        <f>IF(AND($D289="",E289=0,F289=0),"Vacant",IF(O289&lt;-0.004,"Overpaid / Credit",IF(O289&lt;=0.004,"Paid",IF(N289&lt;=0.004,"Unpaid","Partial"))))</f>
        <v/>
      </c>
    </row>
    <row r="290">
      <c r="A290" s="13" t="n"/>
      <c r="B290" s="8" t="n"/>
      <c r="C290" s="8" t="n"/>
      <c r="D290" s="8" t="n"/>
      <c r="E290" s="11" t="n"/>
      <c r="F290" s="14">
        <f>O289</f>
        <v/>
      </c>
      <c r="G290" s="14">
        <f>E290+F290</f>
        <v/>
      </c>
      <c r="H290" s="11" t="n"/>
      <c r="I290" s="10" t="n"/>
      <c r="J290" s="11" t="n"/>
      <c r="K290" s="10" t="n"/>
      <c r="L290" s="11" t="n"/>
      <c r="M290" s="10" t="n"/>
      <c r="N290" s="14">
        <f>SUM(IF(ISNUMBER(H290),H290,0),IF(ISNUMBER(J290),J290,0),IF(ISNUMBER(L290),L290,0))</f>
        <v/>
      </c>
      <c r="O290" s="14">
        <f>G290-N290</f>
        <v/>
      </c>
      <c r="P290">
        <f>IF(AND($D290="",E290=0,F290=0),"Vacant",IF(O290&lt;-0.004,"Overpaid / Credit",IF(O290&lt;=0.004,"Paid",IF(N290&lt;=0.004,"Unpaid","Partial"))))</f>
        <v/>
      </c>
    </row>
    <row r="291">
      <c r="A291" s="13" t="n"/>
      <c r="B291" s="8" t="n"/>
      <c r="C291" s="8" t="n"/>
      <c r="D291" s="8" t="n"/>
      <c r="E291" s="11" t="n"/>
      <c r="F291" s="14">
        <f>O290</f>
        <v/>
      </c>
      <c r="G291" s="14">
        <f>E291+F291</f>
        <v/>
      </c>
      <c r="H291" s="11" t="n"/>
      <c r="I291" s="10" t="n"/>
      <c r="J291" s="11" t="n"/>
      <c r="K291" s="10" t="n"/>
      <c r="L291" s="11" t="n"/>
      <c r="M291" s="10" t="n"/>
      <c r="N291" s="14">
        <f>SUM(IF(ISNUMBER(H291),H291,0),IF(ISNUMBER(J291),J291,0),IF(ISNUMBER(L291),L291,0))</f>
        <v/>
      </c>
      <c r="O291" s="14">
        <f>G291-N291</f>
        <v/>
      </c>
      <c r="P291">
        <f>IF(AND($D291="",E291=0,F291=0),"Vacant",IF(O291&lt;-0.004,"Overpaid / Credit",IF(O291&lt;=0.004,"Paid",IF(N291&lt;=0.004,"Unpaid","Partial"))))</f>
        <v/>
      </c>
    </row>
    <row r="292">
      <c r="A292" s="13" t="n"/>
      <c r="B292" s="8" t="n"/>
      <c r="C292" s="8" t="n"/>
      <c r="D292" s="8" t="n"/>
      <c r="E292" s="11" t="n"/>
      <c r="F292" s="14">
        <f>O291</f>
        <v/>
      </c>
      <c r="G292" s="14">
        <f>E292+F292</f>
        <v/>
      </c>
      <c r="H292" s="11" t="n"/>
      <c r="I292" s="10" t="n"/>
      <c r="J292" s="11" t="n"/>
      <c r="K292" s="10" t="n"/>
      <c r="L292" s="11" t="n"/>
      <c r="M292" s="10" t="n"/>
      <c r="N292" s="14">
        <f>SUM(IF(ISNUMBER(H292),H292,0),IF(ISNUMBER(J292),J292,0),IF(ISNUMBER(L292),L292,0))</f>
        <v/>
      </c>
      <c r="O292" s="14">
        <f>G292-N292</f>
        <v/>
      </c>
      <c r="P292">
        <f>IF(AND($D292="",E292=0,F292=0),"Vacant",IF(O292&lt;-0.004,"Overpaid / Credit",IF(O292&lt;=0.004,"Paid",IF(N292&lt;=0.004,"Unpaid","Partial"))))</f>
        <v/>
      </c>
    </row>
    <row r="293">
      <c r="A293" s="13" t="n"/>
      <c r="B293" s="8" t="n"/>
      <c r="C293" s="8" t="n"/>
      <c r="D293" s="8" t="n"/>
      <c r="E293" s="11" t="n"/>
      <c r="F293" s="14">
        <f>O292</f>
        <v/>
      </c>
      <c r="G293" s="14">
        <f>E293+F293</f>
        <v/>
      </c>
      <c r="H293" s="11" t="n"/>
      <c r="I293" s="10" t="n"/>
      <c r="J293" s="11" t="n"/>
      <c r="K293" s="10" t="n"/>
      <c r="L293" s="11" t="n"/>
      <c r="M293" s="10" t="n"/>
      <c r="N293" s="14">
        <f>SUM(IF(ISNUMBER(H293),H293,0),IF(ISNUMBER(J293),J293,0),IF(ISNUMBER(L293),L293,0))</f>
        <v/>
      </c>
      <c r="O293" s="14">
        <f>G293-N293</f>
        <v/>
      </c>
      <c r="P293">
        <f>IF(AND($D293="",E293=0,F293=0),"Vacant",IF(O293&lt;-0.004,"Overpaid / Credit",IF(O293&lt;=0.004,"Paid",IF(N293&lt;=0.004,"Unpaid","Partial"))))</f>
        <v/>
      </c>
    </row>
    <row r="294">
      <c r="A294" s="13" t="n"/>
      <c r="B294" s="8" t="n"/>
      <c r="C294" s="8" t="n"/>
      <c r="D294" s="8" t="n"/>
      <c r="E294" s="11" t="n"/>
      <c r="F294" s="14">
        <f>O293</f>
        <v/>
      </c>
      <c r="G294" s="14">
        <f>E294+F294</f>
        <v/>
      </c>
      <c r="H294" s="11" t="n"/>
      <c r="I294" s="10" t="n"/>
      <c r="J294" s="11" t="n"/>
      <c r="K294" s="10" t="n"/>
      <c r="L294" s="11" t="n"/>
      <c r="M294" s="10" t="n"/>
      <c r="N294" s="14">
        <f>SUM(IF(ISNUMBER(H294),H294,0),IF(ISNUMBER(J294),J294,0),IF(ISNUMBER(L294),L294,0))</f>
        <v/>
      </c>
      <c r="O294" s="14">
        <f>G294-N294</f>
        <v/>
      </c>
      <c r="P294">
        <f>IF(AND($D294="",E294=0,F294=0),"Vacant",IF(O294&lt;-0.004,"Overpaid / Credit",IF(O294&lt;=0.004,"Paid",IF(N294&lt;=0.004,"Unpaid","Partial"))))</f>
        <v/>
      </c>
    </row>
    <row r="295">
      <c r="A295" s="13" t="n"/>
      <c r="B295" s="8" t="n"/>
      <c r="C295" s="8" t="n"/>
      <c r="D295" s="8" t="n"/>
      <c r="E295" s="11" t="n"/>
      <c r="F295" s="14">
        <f>O294</f>
        <v/>
      </c>
      <c r="G295" s="14">
        <f>E295+F295</f>
        <v/>
      </c>
      <c r="H295" s="11" t="n"/>
      <c r="I295" s="10" t="n"/>
      <c r="J295" s="11" t="n"/>
      <c r="K295" s="10" t="n"/>
      <c r="L295" s="11" t="n"/>
      <c r="M295" s="10" t="n"/>
      <c r="N295" s="14">
        <f>SUM(IF(ISNUMBER(H295),H295,0),IF(ISNUMBER(J295),J295,0),IF(ISNUMBER(L295),L295,0))</f>
        <v/>
      </c>
      <c r="O295" s="14">
        <f>G295-N295</f>
        <v/>
      </c>
      <c r="P295">
        <f>IF(AND($D295="",E295=0,F295=0),"Vacant",IF(O295&lt;-0.004,"Overpaid / Credit",IF(O295&lt;=0.004,"Paid",IF(N295&lt;=0.004,"Unpaid","Partial"))))</f>
        <v/>
      </c>
    </row>
    <row r="296">
      <c r="A296" s="13" t="n"/>
      <c r="B296" s="8" t="n"/>
      <c r="C296" s="8" t="n"/>
      <c r="D296" s="8" t="n"/>
      <c r="E296" s="11" t="n"/>
      <c r="F296" s="14">
        <f>O295</f>
        <v/>
      </c>
      <c r="G296" s="14">
        <f>E296+F296</f>
        <v/>
      </c>
      <c r="H296" s="11" t="n"/>
      <c r="I296" s="10" t="n"/>
      <c r="J296" s="11" t="n"/>
      <c r="K296" s="10" t="n"/>
      <c r="L296" s="11" t="n"/>
      <c r="M296" s="10" t="n"/>
      <c r="N296" s="14">
        <f>SUM(IF(ISNUMBER(H296),H296,0),IF(ISNUMBER(J296),J296,0),IF(ISNUMBER(L296),L296,0))</f>
        <v/>
      </c>
      <c r="O296" s="14">
        <f>G296-N296</f>
        <v/>
      </c>
      <c r="P296">
        <f>IF(AND($D296="",E296=0,F296=0),"Vacant",IF(O296&lt;-0.004,"Overpaid / Credit",IF(O296&lt;=0.004,"Paid",IF(N296&lt;=0.004,"Unpaid","Partial"))))</f>
        <v/>
      </c>
    </row>
    <row r="297">
      <c r="A297" s="13" t="n"/>
      <c r="B297" s="8" t="n"/>
      <c r="C297" s="8" t="n"/>
      <c r="D297" s="8" t="n"/>
      <c r="E297" s="11" t="n"/>
      <c r="F297" s="14">
        <f>O296</f>
        <v/>
      </c>
      <c r="G297" s="14">
        <f>E297+F297</f>
        <v/>
      </c>
      <c r="H297" s="11" t="n"/>
      <c r="I297" s="10" t="n"/>
      <c r="J297" s="11" t="n"/>
      <c r="K297" s="10" t="n"/>
      <c r="L297" s="11" t="n"/>
      <c r="M297" s="10" t="n"/>
      <c r="N297" s="14">
        <f>SUM(IF(ISNUMBER(H297),H297,0),IF(ISNUMBER(J297),J297,0),IF(ISNUMBER(L297),L297,0))</f>
        <v/>
      </c>
      <c r="O297" s="14">
        <f>G297-N297</f>
        <v/>
      </c>
      <c r="P297">
        <f>IF(AND($D297="",E297=0,F297=0),"Vacant",IF(O297&lt;-0.004,"Overpaid / Credit",IF(O297&lt;=0.004,"Paid",IF(N297&lt;=0.004,"Unpaid","Partial"))))</f>
        <v/>
      </c>
    </row>
    <row r="298">
      <c r="A298" s="13" t="n"/>
      <c r="B298" s="8" t="n"/>
      <c r="C298" s="8" t="n"/>
      <c r="D298" s="8" t="n"/>
      <c r="E298" s="11" t="n"/>
      <c r="F298" s="11" t="n">
        <v>0</v>
      </c>
      <c r="G298" s="14">
        <f>E298+F298</f>
        <v/>
      </c>
      <c r="H298" s="11" t="n"/>
      <c r="I298" s="10" t="n"/>
      <c r="J298" s="11" t="n"/>
      <c r="K298" s="10" t="n"/>
      <c r="L298" s="11" t="n"/>
      <c r="M298" s="10" t="n"/>
      <c r="N298" s="14">
        <f>SUM(IF(ISNUMBER(H298),H298,0),IF(ISNUMBER(J298),J298,0),IF(ISNUMBER(L298),L298,0))</f>
        <v/>
      </c>
      <c r="O298" s="14">
        <f>G298-N298</f>
        <v/>
      </c>
      <c r="P298">
        <f>IF(AND($D298="",E298=0,F298=0),"Vacant",IF(O298&lt;-0.004,"Overpaid / Credit",IF(O298&lt;=0.004,"Paid",IF(N298&lt;=0.004,"Unpaid","Partial"))))</f>
        <v/>
      </c>
    </row>
    <row r="299">
      <c r="A299" s="13" t="n"/>
      <c r="B299" s="8" t="n"/>
      <c r="C299" s="8" t="n"/>
      <c r="D299" s="8" t="n"/>
      <c r="E299" s="11" t="n"/>
      <c r="F299" s="14">
        <f>O298</f>
        <v/>
      </c>
      <c r="G299" s="14">
        <f>E299+F299</f>
        <v/>
      </c>
      <c r="H299" s="11" t="n"/>
      <c r="I299" s="10" t="n"/>
      <c r="J299" s="11" t="n"/>
      <c r="K299" s="10" t="n"/>
      <c r="L299" s="11" t="n"/>
      <c r="M299" s="10" t="n"/>
      <c r="N299" s="14">
        <f>SUM(IF(ISNUMBER(H299),H299,0),IF(ISNUMBER(J299),J299,0),IF(ISNUMBER(L299),L299,0))</f>
        <v/>
      </c>
      <c r="O299" s="14">
        <f>G299-N299</f>
        <v/>
      </c>
      <c r="P299">
        <f>IF(AND($D299="",E299=0,F299=0),"Vacant",IF(O299&lt;-0.004,"Overpaid / Credit",IF(O299&lt;=0.004,"Paid",IF(N299&lt;=0.004,"Unpaid","Partial"))))</f>
        <v/>
      </c>
    </row>
    <row r="300">
      <c r="A300" s="13" t="n"/>
      <c r="B300" s="8" t="n"/>
      <c r="C300" s="8" t="n"/>
      <c r="D300" s="8" t="n"/>
      <c r="E300" s="11" t="n"/>
      <c r="F300" s="14">
        <f>O299</f>
        <v/>
      </c>
      <c r="G300" s="14">
        <f>E300+F300</f>
        <v/>
      </c>
      <c r="H300" s="11" t="n"/>
      <c r="I300" s="10" t="n"/>
      <c r="J300" s="11" t="n"/>
      <c r="K300" s="10" t="n"/>
      <c r="L300" s="11" t="n"/>
      <c r="M300" s="10" t="n"/>
      <c r="N300" s="14">
        <f>SUM(IF(ISNUMBER(H300),H300,0),IF(ISNUMBER(J300),J300,0),IF(ISNUMBER(L300),L300,0))</f>
        <v/>
      </c>
      <c r="O300" s="14">
        <f>G300-N300</f>
        <v/>
      </c>
      <c r="P300">
        <f>IF(AND($D300="",E300=0,F300=0),"Vacant",IF(O300&lt;-0.004,"Overpaid / Credit",IF(O300&lt;=0.004,"Paid",IF(N300&lt;=0.004,"Unpaid","Partial"))))</f>
        <v/>
      </c>
    </row>
    <row r="301">
      <c r="A301" s="13" t="n"/>
      <c r="B301" s="8" t="n"/>
      <c r="C301" s="8" t="n"/>
      <c r="D301" s="8" t="n"/>
      <c r="E301" s="11" t="n"/>
      <c r="F301" s="14">
        <f>O300</f>
        <v/>
      </c>
      <c r="G301" s="14">
        <f>E301+F301</f>
        <v/>
      </c>
      <c r="H301" s="11" t="n"/>
      <c r="I301" s="10" t="n"/>
      <c r="J301" s="11" t="n"/>
      <c r="K301" s="10" t="n"/>
      <c r="L301" s="11" t="n"/>
      <c r="M301" s="10" t="n"/>
      <c r="N301" s="14">
        <f>SUM(IF(ISNUMBER(H301),H301,0),IF(ISNUMBER(J301),J301,0),IF(ISNUMBER(L301),L301,0))</f>
        <v/>
      </c>
      <c r="O301" s="14">
        <f>G301-N301</f>
        <v/>
      </c>
      <c r="P301">
        <f>IF(AND($D301="",E301=0,F301=0),"Vacant",IF(O301&lt;-0.004,"Overpaid / Credit",IF(O301&lt;=0.004,"Paid",IF(N301&lt;=0.004,"Unpaid","Partial"))))</f>
        <v/>
      </c>
    </row>
    <row r="302">
      <c r="A302" s="13" t="n"/>
      <c r="B302" s="8" t="n"/>
      <c r="C302" s="8" t="n"/>
      <c r="D302" s="8" t="n"/>
      <c r="E302" s="11" t="n"/>
      <c r="F302" s="14">
        <f>O301</f>
        <v/>
      </c>
      <c r="G302" s="14">
        <f>E302+F302</f>
        <v/>
      </c>
      <c r="H302" s="11" t="n"/>
      <c r="I302" s="10" t="n"/>
      <c r="J302" s="11" t="n"/>
      <c r="K302" s="10" t="n"/>
      <c r="L302" s="11" t="n"/>
      <c r="M302" s="10" t="n"/>
      <c r="N302" s="14">
        <f>SUM(IF(ISNUMBER(H302),H302,0),IF(ISNUMBER(J302),J302,0),IF(ISNUMBER(L302),L302,0))</f>
        <v/>
      </c>
      <c r="O302" s="14">
        <f>G302-N302</f>
        <v/>
      </c>
      <c r="P302">
        <f>IF(AND($D302="",E302=0,F302=0),"Vacant",IF(O302&lt;-0.004,"Overpaid / Credit",IF(O302&lt;=0.004,"Paid",IF(N302&lt;=0.004,"Unpaid","Partial"))))</f>
        <v/>
      </c>
    </row>
    <row r="303">
      <c r="A303" s="13" t="n"/>
      <c r="B303" s="8" t="n"/>
      <c r="C303" s="8" t="n"/>
      <c r="D303" s="8" t="n"/>
      <c r="E303" s="11" t="n"/>
      <c r="F303" s="14">
        <f>O302</f>
        <v/>
      </c>
      <c r="G303" s="14">
        <f>E303+F303</f>
        <v/>
      </c>
      <c r="H303" s="11" t="n"/>
      <c r="I303" s="10" t="n"/>
      <c r="J303" s="11" t="n"/>
      <c r="K303" s="10" t="n"/>
      <c r="L303" s="11" t="n"/>
      <c r="M303" s="10" t="n"/>
      <c r="N303" s="14">
        <f>SUM(IF(ISNUMBER(H303),H303,0),IF(ISNUMBER(J303),J303,0),IF(ISNUMBER(L303),L303,0))</f>
        <v/>
      </c>
      <c r="O303" s="14">
        <f>G303-N303</f>
        <v/>
      </c>
      <c r="P303">
        <f>IF(AND($D303="",E303=0,F303=0),"Vacant",IF(O303&lt;-0.004,"Overpaid / Credit",IF(O303&lt;=0.004,"Paid",IF(N303&lt;=0.004,"Unpaid","Partial"))))</f>
        <v/>
      </c>
    </row>
    <row r="304">
      <c r="A304" s="13" t="n"/>
      <c r="B304" s="8" t="n"/>
      <c r="C304" s="8" t="n"/>
      <c r="D304" s="8" t="n"/>
      <c r="E304" s="11" t="n"/>
      <c r="F304" s="14">
        <f>O303</f>
        <v/>
      </c>
      <c r="G304" s="14">
        <f>E304+F304</f>
        <v/>
      </c>
      <c r="H304" s="11" t="n"/>
      <c r="I304" s="10" t="n"/>
      <c r="J304" s="11" t="n"/>
      <c r="K304" s="10" t="n"/>
      <c r="L304" s="11" t="n"/>
      <c r="M304" s="10" t="n"/>
      <c r="N304" s="14">
        <f>SUM(IF(ISNUMBER(H304),H304,0),IF(ISNUMBER(J304),J304,0),IF(ISNUMBER(L304),L304,0))</f>
        <v/>
      </c>
      <c r="O304" s="14">
        <f>G304-N304</f>
        <v/>
      </c>
      <c r="P304">
        <f>IF(AND($D304="",E304=0,F304=0),"Vacant",IF(O304&lt;-0.004,"Overpaid / Credit",IF(O304&lt;=0.004,"Paid",IF(N304&lt;=0.004,"Unpaid","Partial"))))</f>
        <v/>
      </c>
    </row>
    <row r="305">
      <c r="A305" s="13" t="n"/>
      <c r="B305" s="8" t="n"/>
      <c r="C305" s="8" t="n"/>
      <c r="D305" s="8" t="n"/>
      <c r="E305" s="11" t="n"/>
      <c r="F305" s="14">
        <f>O304</f>
        <v/>
      </c>
      <c r="G305" s="14">
        <f>E305+F305</f>
        <v/>
      </c>
      <c r="H305" s="11" t="n"/>
      <c r="I305" s="10" t="n"/>
      <c r="J305" s="11" t="n"/>
      <c r="K305" s="10" t="n"/>
      <c r="L305" s="11" t="n"/>
      <c r="M305" s="10" t="n"/>
      <c r="N305" s="14">
        <f>SUM(IF(ISNUMBER(H305),H305,0),IF(ISNUMBER(J305),J305,0),IF(ISNUMBER(L305),L305,0))</f>
        <v/>
      </c>
      <c r="O305" s="14">
        <f>G305-N305</f>
        <v/>
      </c>
      <c r="P305">
        <f>IF(AND($D305="",E305=0,F305=0),"Vacant",IF(O305&lt;-0.004,"Overpaid / Credit",IF(O305&lt;=0.004,"Paid",IF(N305&lt;=0.004,"Unpaid","Partial"))))</f>
        <v/>
      </c>
    </row>
    <row r="306">
      <c r="A306" s="13" t="n"/>
      <c r="B306" s="8" t="n"/>
      <c r="C306" s="8" t="n"/>
      <c r="D306" s="8" t="n"/>
      <c r="E306" s="11" t="n"/>
      <c r="F306" s="14">
        <f>O305</f>
        <v/>
      </c>
      <c r="G306" s="14">
        <f>E306+F306</f>
        <v/>
      </c>
      <c r="H306" s="11" t="n"/>
      <c r="I306" s="10" t="n"/>
      <c r="J306" s="11" t="n"/>
      <c r="K306" s="10" t="n"/>
      <c r="L306" s="11" t="n"/>
      <c r="M306" s="10" t="n"/>
      <c r="N306" s="14">
        <f>SUM(IF(ISNUMBER(H306),H306,0),IF(ISNUMBER(J306),J306,0),IF(ISNUMBER(L306),L306,0))</f>
        <v/>
      </c>
      <c r="O306" s="14">
        <f>G306-N306</f>
        <v/>
      </c>
      <c r="P306">
        <f>IF(AND($D306="",E306=0,F306=0),"Vacant",IF(O306&lt;-0.004,"Overpaid / Credit",IF(O306&lt;=0.004,"Paid",IF(N306&lt;=0.004,"Unpaid","Partial"))))</f>
        <v/>
      </c>
    </row>
    <row r="307">
      <c r="A307" s="13" t="n"/>
      <c r="B307" s="8" t="n"/>
      <c r="C307" s="8" t="n"/>
      <c r="D307" s="8" t="n"/>
      <c r="E307" s="11" t="n"/>
      <c r="F307" s="14">
        <f>O306</f>
        <v/>
      </c>
      <c r="G307" s="14">
        <f>E307+F307</f>
        <v/>
      </c>
      <c r="H307" s="11" t="n"/>
      <c r="I307" s="10" t="n"/>
      <c r="J307" s="11" t="n"/>
      <c r="K307" s="10" t="n"/>
      <c r="L307" s="11" t="n"/>
      <c r="M307" s="10" t="n"/>
      <c r="N307" s="14">
        <f>SUM(IF(ISNUMBER(H307),H307,0),IF(ISNUMBER(J307),J307,0),IF(ISNUMBER(L307),L307,0))</f>
        <v/>
      </c>
      <c r="O307" s="14">
        <f>G307-N307</f>
        <v/>
      </c>
      <c r="P307">
        <f>IF(AND($D307="",E307=0,F307=0),"Vacant",IF(O307&lt;-0.004,"Overpaid / Credit",IF(O307&lt;=0.004,"Paid",IF(N307&lt;=0.004,"Unpaid","Partial"))))</f>
        <v/>
      </c>
    </row>
    <row r="308">
      <c r="A308" s="13" t="n"/>
      <c r="B308" s="8" t="n"/>
      <c r="C308" s="8" t="n"/>
      <c r="D308" s="8" t="n"/>
      <c r="E308" s="11" t="n"/>
      <c r="F308" s="14">
        <f>O307</f>
        <v/>
      </c>
      <c r="G308" s="14">
        <f>E308+F308</f>
        <v/>
      </c>
      <c r="H308" s="11" t="n"/>
      <c r="I308" s="10" t="n"/>
      <c r="J308" s="11" t="n"/>
      <c r="K308" s="10" t="n"/>
      <c r="L308" s="11" t="n"/>
      <c r="M308" s="10" t="n"/>
      <c r="N308" s="14">
        <f>SUM(IF(ISNUMBER(H308),H308,0),IF(ISNUMBER(J308),J308,0),IF(ISNUMBER(L308),L308,0))</f>
        <v/>
      </c>
      <c r="O308" s="14">
        <f>G308-N308</f>
        <v/>
      </c>
      <c r="P308">
        <f>IF(AND($D308="",E308=0,F308=0),"Vacant",IF(O308&lt;-0.004,"Overpaid / Credit",IF(O308&lt;=0.004,"Paid",IF(N308&lt;=0.004,"Unpaid","Partial"))))</f>
        <v/>
      </c>
    </row>
    <row r="309">
      <c r="A309" s="13" t="n"/>
      <c r="B309" s="8" t="n"/>
      <c r="C309" s="8" t="n"/>
      <c r="D309" s="8" t="n"/>
      <c r="E309" s="11" t="n"/>
      <c r="F309" s="14">
        <f>O308</f>
        <v/>
      </c>
      <c r="G309" s="14">
        <f>E309+F309</f>
        <v/>
      </c>
      <c r="H309" s="11" t="n"/>
      <c r="I309" s="10" t="n"/>
      <c r="J309" s="11" t="n"/>
      <c r="K309" s="10" t="n"/>
      <c r="L309" s="11" t="n"/>
      <c r="M309" s="10" t="n"/>
      <c r="N309" s="14">
        <f>SUM(IF(ISNUMBER(H309),H309,0),IF(ISNUMBER(J309),J309,0),IF(ISNUMBER(L309),L309,0))</f>
        <v/>
      </c>
      <c r="O309" s="14">
        <f>G309-N309</f>
        <v/>
      </c>
      <c r="P309">
        <f>IF(AND($D309="",E309=0,F309=0),"Vacant",IF(O309&lt;-0.004,"Overpaid / Credit",IF(O309&lt;=0.004,"Paid",IF(N309&lt;=0.004,"Unpaid","Partial"))))</f>
        <v/>
      </c>
    </row>
    <row r="310">
      <c r="A310" s="13" t="n"/>
      <c r="B310" s="8" t="n"/>
      <c r="C310" s="8" t="n"/>
      <c r="D310" s="8" t="n"/>
      <c r="E310" s="11" t="n"/>
      <c r="F310" s="11" t="n">
        <v>0</v>
      </c>
      <c r="G310" s="14">
        <f>E310+F310</f>
        <v/>
      </c>
      <c r="H310" s="11" t="n"/>
      <c r="I310" s="10" t="n"/>
      <c r="J310" s="11" t="n"/>
      <c r="K310" s="10" t="n"/>
      <c r="L310" s="11" t="n"/>
      <c r="M310" s="10" t="n"/>
      <c r="N310" s="14">
        <f>SUM(IF(ISNUMBER(H310),H310,0),IF(ISNUMBER(J310),J310,0),IF(ISNUMBER(L310),L310,0))</f>
        <v/>
      </c>
      <c r="O310" s="14">
        <f>G310-N310</f>
        <v/>
      </c>
      <c r="P310">
        <f>IF(AND($D310="",E310=0,F310=0),"Vacant",IF(O310&lt;-0.004,"Overpaid / Credit",IF(O310&lt;=0.004,"Paid",IF(N310&lt;=0.004,"Unpaid","Partial"))))</f>
        <v/>
      </c>
    </row>
    <row r="311">
      <c r="A311" s="13" t="n"/>
      <c r="B311" s="8" t="n"/>
      <c r="C311" s="8" t="n"/>
      <c r="D311" s="8" t="n"/>
      <c r="E311" s="11" t="n"/>
      <c r="F311" s="14">
        <f>O310</f>
        <v/>
      </c>
      <c r="G311" s="14">
        <f>E311+F311</f>
        <v/>
      </c>
      <c r="H311" s="11" t="n"/>
      <c r="I311" s="10" t="n"/>
      <c r="J311" s="11" t="n"/>
      <c r="K311" s="10" t="n"/>
      <c r="L311" s="11" t="n"/>
      <c r="M311" s="10" t="n"/>
      <c r="N311" s="14">
        <f>SUM(IF(ISNUMBER(H311),H311,0),IF(ISNUMBER(J311),J311,0),IF(ISNUMBER(L311),L311,0))</f>
        <v/>
      </c>
      <c r="O311" s="14">
        <f>G311-N311</f>
        <v/>
      </c>
      <c r="P311">
        <f>IF(AND($D311="",E311=0,F311=0),"Vacant",IF(O311&lt;-0.004,"Overpaid / Credit",IF(O311&lt;=0.004,"Paid",IF(N311&lt;=0.004,"Unpaid","Partial"))))</f>
        <v/>
      </c>
    </row>
    <row r="312">
      <c r="A312" s="13" t="n"/>
      <c r="B312" s="8" t="n"/>
      <c r="C312" s="8" t="n"/>
      <c r="D312" s="8" t="n"/>
      <c r="E312" s="11" t="n"/>
      <c r="F312" s="14">
        <f>O311</f>
        <v/>
      </c>
      <c r="G312" s="14">
        <f>E312+F312</f>
        <v/>
      </c>
      <c r="H312" s="11" t="n"/>
      <c r="I312" s="10" t="n"/>
      <c r="J312" s="11" t="n"/>
      <c r="K312" s="10" t="n"/>
      <c r="L312" s="11" t="n"/>
      <c r="M312" s="10" t="n"/>
      <c r="N312" s="14">
        <f>SUM(IF(ISNUMBER(H312),H312,0),IF(ISNUMBER(J312),J312,0),IF(ISNUMBER(L312),L312,0))</f>
        <v/>
      </c>
      <c r="O312" s="14">
        <f>G312-N312</f>
        <v/>
      </c>
      <c r="P312">
        <f>IF(AND($D312="",E312=0,F312=0),"Vacant",IF(O312&lt;-0.004,"Overpaid / Credit",IF(O312&lt;=0.004,"Paid",IF(N312&lt;=0.004,"Unpaid","Partial"))))</f>
        <v/>
      </c>
    </row>
    <row r="313">
      <c r="A313" s="13" t="n"/>
      <c r="B313" s="8" t="n"/>
      <c r="C313" s="8" t="n"/>
      <c r="D313" s="8" t="n"/>
      <c r="E313" s="11" t="n"/>
      <c r="F313" s="14">
        <f>O312</f>
        <v/>
      </c>
      <c r="G313" s="14">
        <f>E313+F313</f>
        <v/>
      </c>
      <c r="H313" s="11" t="n"/>
      <c r="I313" s="10" t="n"/>
      <c r="J313" s="11" t="n"/>
      <c r="K313" s="10" t="n"/>
      <c r="L313" s="11" t="n"/>
      <c r="M313" s="10" t="n"/>
      <c r="N313" s="14">
        <f>SUM(IF(ISNUMBER(H313),H313,0),IF(ISNUMBER(J313),J313,0),IF(ISNUMBER(L313),L313,0))</f>
        <v/>
      </c>
      <c r="O313" s="14">
        <f>G313-N313</f>
        <v/>
      </c>
      <c r="P313">
        <f>IF(AND($D313="",E313=0,F313=0),"Vacant",IF(O313&lt;-0.004,"Overpaid / Credit",IF(O313&lt;=0.004,"Paid",IF(N313&lt;=0.004,"Unpaid","Partial"))))</f>
        <v/>
      </c>
    </row>
    <row r="314">
      <c r="A314" s="13" t="n"/>
      <c r="B314" s="8" t="n"/>
      <c r="C314" s="8" t="n"/>
      <c r="D314" s="8" t="n"/>
      <c r="E314" s="11" t="n"/>
      <c r="F314" s="14">
        <f>O313</f>
        <v/>
      </c>
      <c r="G314" s="14">
        <f>E314+F314</f>
        <v/>
      </c>
      <c r="H314" s="11" t="n"/>
      <c r="I314" s="10" t="n"/>
      <c r="J314" s="11" t="n"/>
      <c r="K314" s="10" t="n"/>
      <c r="L314" s="11" t="n"/>
      <c r="M314" s="10" t="n"/>
      <c r="N314" s="14">
        <f>SUM(IF(ISNUMBER(H314),H314,0),IF(ISNUMBER(J314),J314,0),IF(ISNUMBER(L314),L314,0))</f>
        <v/>
      </c>
      <c r="O314" s="14">
        <f>G314-N314</f>
        <v/>
      </c>
      <c r="P314">
        <f>IF(AND($D314="",E314=0,F314=0),"Vacant",IF(O314&lt;-0.004,"Overpaid / Credit",IF(O314&lt;=0.004,"Paid",IF(N314&lt;=0.004,"Unpaid","Partial"))))</f>
        <v/>
      </c>
    </row>
    <row r="315">
      <c r="A315" s="13" t="n"/>
      <c r="B315" s="8" t="n"/>
      <c r="C315" s="8" t="n"/>
      <c r="D315" s="8" t="n"/>
      <c r="E315" s="11" t="n"/>
      <c r="F315" s="14">
        <f>O314</f>
        <v/>
      </c>
      <c r="G315" s="14">
        <f>E315+F315</f>
        <v/>
      </c>
      <c r="H315" s="11" t="n"/>
      <c r="I315" s="10" t="n"/>
      <c r="J315" s="11" t="n"/>
      <c r="K315" s="10" t="n"/>
      <c r="L315" s="11" t="n"/>
      <c r="M315" s="10" t="n"/>
      <c r="N315" s="14">
        <f>SUM(IF(ISNUMBER(H315),H315,0),IF(ISNUMBER(J315),J315,0),IF(ISNUMBER(L315),L315,0))</f>
        <v/>
      </c>
      <c r="O315" s="14">
        <f>G315-N315</f>
        <v/>
      </c>
      <c r="P315">
        <f>IF(AND($D315="",E315=0,F315=0),"Vacant",IF(O315&lt;-0.004,"Overpaid / Credit",IF(O315&lt;=0.004,"Paid",IF(N315&lt;=0.004,"Unpaid","Partial"))))</f>
        <v/>
      </c>
    </row>
    <row r="316">
      <c r="A316" s="13" t="n"/>
      <c r="B316" s="8" t="n"/>
      <c r="C316" s="8" t="n"/>
      <c r="D316" s="8" t="n"/>
      <c r="E316" s="11" t="n"/>
      <c r="F316" s="14">
        <f>O315</f>
        <v/>
      </c>
      <c r="G316" s="14">
        <f>E316+F316</f>
        <v/>
      </c>
      <c r="H316" s="11" t="n"/>
      <c r="I316" s="10" t="n"/>
      <c r="J316" s="11" t="n"/>
      <c r="K316" s="10" t="n"/>
      <c r="L316" s="11" t="n"/>
      <c r="M316" s="10" t="n"/>
      <c r="N316" s="14">
        <f>SUM(IF(ISNUMBER(H316),H316,0),IF(ISNUMBER(J316),J316,0),IF(ISNUMBER(L316),L316,0))</f>
        <v/>
      </c>
      <c r="O316" s="14">
        <f>G316-N316</f>
        <v/>
      </c>
      <c r="P316">
        <f>IF(AND($D316="",E316=0,F316=0),"Vacant",IF(O316&lt;-0.004,"Overpaid / Credit",IF(O316&lt;=0.004,"Paid",IF(N316&lt;=0.004,"Unpaid","Partial"))))</f>
        <v/>
      </c>
    </row>
    <row r="317">
      <c r="A317" s="13" t="n"/>
      <c r="B317" s="8" t="n"/>
      <c r="C317" s="8" t="n"/>
      <c r="D317" s="8" t="n"/>
      <c r="E317" s="11" t="n"/>
      <c r="F317" s="14">
        <f>O316</f>
        <v/>
      </c>
      <c r="G317" s="14">
        <f>E317+F317</f>
        <v/>
      </c>
      <c r="H317" s="11" t="n"/>
      <c r="I317" s="10" t="n"/>
      <c r="J317" s="11" t="n"/>
      <c r="K317" s="10" t="n"/>
      <c r="L317" s="11" t="n"/>
      <c r="M317" s="10" t="n"/>
      <c r="N317" s="14">
        <f>SUM(IF(ISNUMBER(H317),H317,0),IF(ISNUMBER(J317),J317,0),IF(ISNUMBER(L317),L317,0))</f>
        <v/>
      </c>
      <c r="O317" s="14">
        <f>G317-N317</f>
        <v/>
      </c>
      <c r="P317">
        <f>IF(AND($D317="",E317=0,F317=0),"Vacant",IF(O317&lt;-0.004,"Overpaid / Credit",IF(O317&lt;=0.004,"Paid",IF(N317&lt;=0.004,"Unpaid","Partial"))))</f>
        <v/>
      </c>
    </row>
    <row r="318">
      <c r="A318" s="13" t="n"/>
      <c r="B318" s="8" t="n"/>
      <c r="C318" s="8" t="n"/>
      <c r="D318" s="8" t="n"/>
      <c r="E318" s="11" t="n"/>
      <c r="F318" s="14">
        <f>O317</f>
        <v/>
      </c>
      <c r="G318" s="14">
        <f>E318+F318</f>
        <v/>
      </c>
      <c r="H318" s="11" t="n"/>
      <c r="I318" s="10" t="n"/>
      <c r="J318" s="11" t="n"/>
      <c r="K318" s="10" t="n"/>
      <c r="L318" s="11" t="n"/>
      <c r="M318" s="10" t="n"/>
      <c r="N318" s="14">
        <f>SUM(IF(ISNUMBER(H318),H318,0),IF(ISNUMBER(J318),J318,0),IF(ISNUMBER(L318),L318,0))</f>
        <v/>
      </c>
      <c r="O318" s="14">
        <f>G318-N318</f>
        <v/>
      </c>
      <c r="P318">
        <f>IF(AND($D318="",E318=0,F318=0),"Vacant",IF(O318&lt;-0.004,"Overpaid / Credit",IF(O318&lt;=0.004,"Paid",IF(N318&lt;=0.004,"Unpaid","Partial"))))</f>
        <v/>
      </c>
    </row>
    <row r="319">
      <c r="A319" s="13" t="n"/>
      <c r="B319" s="8" t="n"/>
      <c r="C319" s="8" t="n"/>
      <c r="D319" s="8" t="n"/>
      <c r="E319" s="11" t="n"/>
      <c r="F319" s="14">
        <f>O318</f>
        <v/>
      </c>
      <c r="G319" s="14">
        <f>E319+F319</f>
        <v/>
      </c>
      <c r="H319" s="11" t="n"/>
      <c r="I319" s="10" t="n"/>
      <c r="J319" s="11" t="n"/>
      <c r="K319" s="10" t="n"/>
      <c r="L319" s="11" t="n"/>
      <c r="M319" s="10" t="n"/>
      <c r="N319" s="14">
        <f>SUM(IF(ISNUMBER(H319),H319,0),IF(ISNUMBER(J319),J319,0),IF(ISNUMBER(L319),L319,0))</f>
        <v/>
      </c>
      <c r="O319" s="14">
        <f>G319-N319</f>
        <v/>
      </c>
      <c r="P319">
        <f>IF(AND($D319="",E319=0,F319=0),"Vacant",IF(O319&lt;-0.004,"Overpaid / Credit",IF(O319&lt;=0.004,"Paid",IF(N319&lt;=0.004,"Unpaid","Partial"))))</f>
        <v/>
      </c>
    </row>
    <row r="320">
      <c r="A320" s="13" t="n"/>
      <c r="B320" s="8" t="n"/>
      <c r="C320" s="8" t="n"/>
      <c r="D320" s="8" t="n"/>
      <c r="E320" s="11" t="n"/>
      <c r="F320" s="14">
        <f>O319</f>
        <v/>
      </c>
      <c r="G320" s="14">
        <f>E320+F320</f>
        <v/>
      </c>
      <c r="H320" s="11" t="n"/>
      <c r="I320" s="10" t="n"/>
      <c r="J320" s="11" t="n"/>
      <c r="K320" s="10" t="n"/>
      <c r="L320" s="11" t="n"/>
      <c r="M320" s="10" t="n"/>
      <c r="N320" s="14">
        <f>SUM(IF(ISNUMBER(H320),H320,0),IF(ISNUMBER(J320),J320,0),IF(ISNUMBER(L320),L320,0))</f>
        <v/>
      </c>
      <c r="O320" s="14">
        <f>G320-N320</f>
        <v/>
      </c>
      <c r="P320">
        <f>IF(AND($D320="",E320=0,F320=0),"Vacant",IF(O320&lt;-0.004,"Overpaid / Credit",IF(O320&lt;=0.004,"Paid",IF(N320&lt;=0.004,"Unpaid","Partial"))))</f>
        <v/>
      </c>
    </row>
    <row r="321">
      <c r="A321" s="13" t="n"/>
      <c r="B321" s="8" t="n"/>
      <c r="C321" s="8" t="n"/>
      <c r="D321" s="8" t="n"/>
      <c r="E321" s="11" t="n"/>
      <c r="F321" s="14">
        <f>O320</f>
        <v/>
      </c>
      <c r="G321" s="14">
        <f>E321+F321</f>
        <v/>
      </c>
      <c r="H321" s="11" t="n"/>
      <c r="I321" s="10" t="n"/>
      <c r="J321" s="11" t="n"/>
      <c r="K321" s="10" t="n"/>
      <c r="L321" s="11" t="n"/>
      <c r="M321" s="10" t="n"/>
      <c r="N321" s="14">
        <f>SUM(IF(ISNUMBER(H321),H321,0),IF(ISNUMBER(J321),J321,0),IF(ISNUMBER(L321),L321,0))</f>
        <v/>
      </c>
      <c r="O321" s="14">
        <f>G321-N321</f>
        <v/>
      </c>
      <c r="P321">
        <f>IF(AND($D321="",E321=0,F321=0),"Vacant",IF(O321&lt;-0.004,"Overpaid / Credit",IF(O321&lt;=0.004,"Paid",IF(N321&lt;=0.004,"Unpaid","Partial"))))</f>
        <v/>
      </c>
    </row>
    <row r="322">
      <c r="A322" s="13" t="n"/>
      <c r="B322" s="8" t="n"/>
      <c r="C322" s="8" t="n"/>
      <c r="D322" s="8" t="n"/>
      <c r="E322" s="11" t="n"/>
      <c r="F322" s="11" t="n">
        <v>0</v>
      </c>
      <c r="G322" s="14">
        <f>E322+F322</f>
        <v/>
      </c>
      <c r="H322" s="11" t="n"/>
      <c r="I322" s="10" t="n"/>
      <c r="J322" s="11" t="n"/>
      <c r="K322" s="10" t="n"/>
      <c r="L322" s="11" t="n"/>
      <c r="M322" s="10" t="n"/>
      <c r="N322" s="14">
        <f>SUM(IF(ISNUMBER(H322),H322,0),IF(ISNUMBER(J322),J322,0),IF(ISNUMBER(L322),L322,0))</f>
        <v/>
      </c>
      <c r="O322" s="14">
        <f>G322-N322</f>
        <v/>
      </c>
      <c r="P322">
        <f>IF(AND($D322="",E322=0,F322=0),"Vacant",IF(O322&lt;-0.004,"Overpaid / Credit",IF(O322&lt;=0.004,"Paid",IF(N322&lt;=0.004,"Unpaid","Partial"))))</f>
        <v/>
      </c>
    </row>
    <row r="323">
      <c r="A323" s="13" t="n"/>
      <c r="B323" s="8" t="n"/>
      <c r="C323" s="8" t="n"/>
      <c r="D323" s="8" t="n"/>
      <c r="E323" s="11" t="n"/>
      <c r="F323" s="14">
        <f>O322</f>
        <v/>
      </c>
      <c r="G323" s="14">
        <f>E323+F323</f>
        <v/>
      </c>
      <c r="H323" s="11" t="n"/>
      <c r="I323" s="10" t="n"/>
      <c r="J323" s="11" t="n"/>
      <c r="K323" s="10" t="n"/>
      <c r="L323" s="11" t="n"/>
      <c r="M323" s="10" t="n"/>
      <c r="N323" s="14">
        <f>SUM(IF(ISNUMBER(H323),H323,0),IF(ISNUMBER(J323),J323,0),IF(ISNUMBER(L323),L323,0))</f>
        <v/>
      </c>
      <c r="O323" s="14">
        <f>G323-N323</f>
        <v/>
      </c>
      <c r="P323">
        <f>IF(AND($D323="",E323=0,F323=0),"Vacant",IF(O323&lt;-0.004,"Overpaid / Credit",IF(O323&lt;=0.004,"Paid",IF(N323&lt;=0.004,"Unpaid","Partial"))))</f>
        <v/>
      </c>
    </row>
    <row r="324">
      <c r="A324" s="13" t="n"/>
      <c r="B324" s="8" t="n"/>
      <c r="C324" s="8" t="n"/>
      <c r="D324" s="8" t="n"/>
      <c r="E324" s="11" t="n"/>
      <c r="F324" s="14">
        <f>O323</f>
        <v/>
      </c>
      <c r="G324" s="14">
        <f>E324+F324</f>
        <v/>
      </c>
      <c r="H324" s="11" t="n"/>
      <c r="I324" s="10" t="n"/>
      <c r="J324" s="11" t="n"/>
      <c r="K324" s="10" t="n"/>
      <c r="L324" s="11" t="n"/>
      <c r="M324" s="10" t="n"/>
      <c r="N324" s="14">
        <f>SUM(IF(ISNUMBER(H324),H324,0),IF(ISNUMBER(J324),J324,0),IF(ISNUMBER(L324),L324,0))</f>
        <v/>
      </c>
      <c r="O324" s="14">
        <f>G324-N324</f>
        <v/>
      </c>
      <c r="P324">
        <f>IF(AND($D324="",E324=0,F324=0),"Vacant",IF(O324&lt;-0.004,"Overpaid / Credit",IF(O324&lt;=0.004,"Paid",IF(N324&lt;=0.004,"Unpaid","Partial"))))</f>
        <v/>
      </c>
    </row>
    <row r="325">
      <c r="A325" s="13" t="n"/>
      <c r="B325" s="8" t="n"/>
      <c r="C325" s="8" t="n"/>
      <c r="D325" s="8" t="n"/>
      <c r="E325" s="11" t="n"/>
      <c r="F325" s="14">
        <f>O324</f>
        <v/>
      </c>
      <c r="G325" s="14">
        <f>E325+F325</f>
        <v/>
      </c>
      <c r="H325" s="11" t="n"/>
      <c r="I325" s="10" t="n"/>
      <c r="J325" s="11" t="n"/>
      <c r="K325" s="10" t="n"/>
      <c r="L325" s="11" t="n"/>
      <c r="M325" s="10" t="n"/>
      <c r="N325" s="14">
        <f>SUM(IF(ISNUMBER(H325),H325,0),IF(ISNUMBER(J325),J325,0),IF(ISNUMBER(L325),L325,0))</f>
        <v/>
      </c>
      <c r="O325" s="14">
        <f>G325-N325</f>
        <v/>
      </c>
      <c r="P325">
        <f>IF(AND($D325="",E325=0,F325=0),"Vacant",IF(O325&lt;-0.004,"Overpaid / Credit",IF(O325&lt;=0.004,"Paid",IF(N325&lt;=0.004,"Unpaid","Partial"))))</f>
        <v/>
      </c>
    </row>
    <row r="326">
      <c r="A326" s="13" t="n"/>
      <c r="B326" s="8" t="n"/>
      <c r="C326" s="8" t="n"/>
      <c r="D326" s="8" t="n"/>
      <c r="E326" s="11" t="n"/>
      <c r="F326" s="14">
        <f>O325</f>
        <v/>
      </c>
      <c r="G326" s="14">
        <f>E326+F326</f>
        <v/>
      </c>
      <c r="H326" s="11" t="n"/>
      <c r="I326" s="10" t="n"/>
      <c r="J326" s="11" t="n"/>
      <c r="K326" s="10" t="n"/>
      <c r="L326" s="11" t="n"/>
      <c r="M326" s="10" t="n"/>
      <c r="N326" s="14">
        <f>SUM(IF(ISNUMBER(H326),H326,0),IF(ISNUMBER(J326),J326,0),IF(ISNUMBER(L326),L326,0))</f>
        <v/>
      </c>
      <c r="O326" s="14">
        <f>G326-N326</f>
        <v/>
      </c>
      <c r="P326">
        <f>IF(AND($D326="",E326=0,F326=0),"Vacant",IF(O326&lt;-0.004,"Overpaid / Credit",IF(O326&lt;=0.004,"Paid",IF(N326&lt;=0.004,"Unpaid","Partial"))))</f>
        <v/>
      </c>
    </row>
    <row r="327">
      <c r="A327" s="13" t="n"/>
      <c r="B327" s="8" t="n"/>
      <c r="C327" s="8" t="n"/>
      <c r="D327" s="8" t="n"/>
      <c r="E327" s="11" t="n"/>
      <c r="F327" s="14">
        <f>O326</f>
        <v/>
      </c>
      <c r="G327" s="14">
        <f>E327+F327</f>
        <v/>
      </c>
      <c r="H327" s="11" t="n"/>
      <c r="I327" s="10" t="n"/>
      <c r="J327" s="11" t="n"/>
      <c r="K327" s="10" t="n"/>
      <c r="L327" s="11" t="n"/>
      <c r="M327" s="10" t="n"/>
      <c r="N327" s="14">
        <f>SUM(IF(ISNUMBER(H327),H327,0),IF(ISNUMBER(J327),J327,0),IF(ISNUMBER(L327),L327,0))</f>
        <v/>
      </c>
      <c r="O327" s="14">
        <f>G327-N327</f>
        <v/>
      </c>
      <c r="P327">
        <f>IF(AND($D327="",E327=0,F327=0),"Vacant",IF(O327&lt;-0.004,"Overpaid / Credit",IF(O327&lt;=0.004,"Paid",IF(N327&lt;=0.004,"Unpaid","Partial"))))</f>
        <v/>
      </c>
    </row>
    <row r="328">
      <c r="A328" s="13" t="n"/>
      <c r="B328" s="8" t="n"/>
      <c r="C328" s="8" t="n"/>
      <c r="D328" s="8" t="n"/>
      <c r="E328" s="11" t="n"/>
      <c r="F328" s="14">
        <f>O327</f>
        <v/>
      </c>
      <c r="G328" s="14">
        <f>E328+F328</f>
        <v/>
      </c>
      <c r="H328" s="11" t="n"/>
      <c r="I328" s="10" t="n"/>
      <c r="J328" s="11" t="n"/>
      <c r="K328" s="10" t="n"/>
      <c r="L328" s="11" t="n"/>
      <c r="M328" s="10" t="n"/>
      <c r="N328" s="14">
        <f>SUM(IF(ISNUMBER(H328),H328,0),IF(ISNUMBER(J328),J328,0),IF(ISNUMBER(L328),L328,0))</f>
        <v/>
      </c>
      <c r="O328" s="14">
        <f>G328-N328</f>
        <v/>
      </c>
      <c r="P328">
        <f>IF(AND($D328="",E328=0,F328=0),"Vacant",IF(O328&lt;-0.004,"Overpaid / Credit",IF(O328&lt;=0.004,"Paid",IF(N328&lt;=0.004,"Unpaid","Partial"))))</f>
        <v/>
      </c>
    </row>
    <row r="329">
      <c r="A329" s="13" t="n"/>
      <c r="B329" s="8" t="n"/>
      <c r="C329" s="8" t="n"/>
      <c r="D329" s="8" t="n"/>
      <c r="E329" s="11" t="n"/>
      <c r="F329" s="14">
        <f>O328</f>
        <v/>
      </c>
      <c r="G329" s="14">
        <f>E329+F329</f>
        <v/>
      </c>
      <c r="H329" s="11" t="n"/>
      <c r="I329" s="10" t="n"/>
      <c r="J329" s="11" t="n"/>
      <c r="K329" s="10" t="n"/>
      <c r="L329" s="11" t="n"/>
      <c r="M329" s="10" t="n"/>
      <c r="N329" s="14">
        <f>SUM(IF(ISNUMBER(H329),H329,0),IF(ISNUMBER(J329),J329,0),IF(ISNUMBER(L329),L329,0))</f>
        <v/>
      </c>
      <c r="O329" s="14">
        <f>G329-N329</f>
        <v/>
      </c>
      <c r="P329">
        <f>IF(AND($D329="",E329=0,F329=0),"Vacant",IF(O329&lt;-0.004,"Overpaid / Credit",IF(O329&lt;=0.004,"Paid",IF(N329&lt;=0.004,"Unpaid","Partial"))))</f>
        <v/>
      </c>
    </row>
    <row r="330">
      <c r="A330" s="13" t="n"/>
      <c r="B330" s="8" t="n"/>
      <c r="C330" s="8" t="n"/>
      <c r="D330" s="8" t="n"/>
      <c r="E330" s="11" t="n"/>
      <c r="F330" s="14">
        <f>O329</f>
        <v/>
      </c>
      <c r="G330" s="14">
        <f>E330+F330</f>
        <v/>
      </c>
      <c r="H330" s="11" t="n"/>
      <c r="I330" s="10" t="n"/>
      <c r="J330" s="11" t="n"/>
      <c r="K330" s="10" t="n"/>
      <c r="L330" s="11" t="n"/>
      <c r="M330" s="10" t="n"/>
      <c r="N330" s="14">
        <f>SUM(IF(ISNUMBER(H330),H330,0),IF(ISNUMBER(J330),J330,0),IF(ISNUMBER(L330),L330,0))</f>
        <v/>
      </c>
      <c r="O330" s="14">
        <f>G330-N330</f>
        <v/>
      </c>
      <c r="P330">
        <f>IF(AND($D330="",E330=0,F330=0),"Vacant",IF(O330&lt;-0.004,"Overpaid / Credit",IF(O330&lt;=0.004,"Paid",IF(N330&lt;=0.004,"Unpaid","Partial"))))</f>
        <v/>
      </c>
    </row>
    <row r="331">
      <c r="A331" s="13" t="n"/>
      <c r="B331" s="8" t="n"/>
      <c r="C331" s="8" t="n"/>
      <c r="D331" s="8" t="n"/>
      <c r="E331" s="11" t="n"/>
      <c r="F331" s="14">
        <f>O330</f>
        <v/>
      </c>
      <c r="G331" s="14">
        <f>E331+F331</f>
        <v/>
      </c>
      <c r="H331" s="11" t="n"/>
      <c r="I331" s="10" t="n"/>
      <c r="J331" s="11" t="n"/>
      <c r="K331" s="10" t="n"/>
      <c r="L331" s="11" t="n"/>
      <c r="M331" s="10" t="n"/>
      <c r="N331" s="14">
        <f>SUM(IF(ISNUMBER(H331),H331,0),IF(ISNUMBER(J331),J331,0),IF(ISNUMBER(L331),L331,0))</f>
        <v/>
      </c>
      <c r="O331" s="14">
        <f>G331-N331</f>
        <v/>
      </c>
      <c r="P331">
        <f>IF(AND($D331="",E331=0,F331=0),"Vacant",IF(O331&lt;-0.004,"Overpaid / Credit",IF(O331&lt;=0.004,"Paid",IF(N331&lt;=0.004,"Unpaid","Partial"))))</f>
        <v/>
      </c>
    </row>
    <row r="332">
      <c r="A332" s="13" t="n"/>
      <c r="B332" s="8" t="n"/>
      <c r="C332" s="8" t="n"/>
      <c r="D332" s="8" t="n"/>
      <c r="E332" s="11" t="n"/>
      <c r="F332" s="14">
        <f>O331</f>
        <v/>
      </c>
      <c r="G332" s="14">
        <f>E332+F332</f>
        <v/>
      </c>
      <c r="H332" s="11" t="n"/>
      <c r="I332" s="10" t="n"/>
      <c r="J332" s="11" t="n"/>
      <c r="K332" s="10" t="n"/>
      <c r="L332" s="11" t="n"/>
      <c r="M332" s="10" t="n"/>
      <c r="N332" s="14">
        <f>SUM(IF(ISNUMBER(H332),H332,0),IF(ISNUMBER(J332),J332,0),IF(ISNUMBER(L332),L332,0))</f>
        <v/>
      </c>
      <c r="O332" s="14">
        <f>G332-N332</f>
        <v/>
      </c>
      <c r="P332">
        <f>IF(AND($D332="",E332=0,F332=0),"Vacant",IF(O332&lt;-0.004,"Overpaid / Credit",IF(O332&lt;=0.004,"Paid",IF(N332&lt;=0.004,"Unpaid","Partial"))))</f>
        <v/>
      </c>
    </row>
    <row r="333">
      <c r="A333" s="13" t="n"/>
      <c r="B333" s="8" t="n"/>
      <c r="C333" s="8" t="n"/>
      <c r="D333" s="8" t="n"/>
      <c r="E333" s="11" t="n"/>
      <c r="F333" s="14">
        <f>O332</f>
        <v/>
      </c>
      <c r="G333" s="14">
        <f>E333+F333</f>
        <v/>
      </c>
      <c r="H333" s="11" t="n"/>
      <c r="I333" s="10" t="n"/>
      <c r="J333" s="11" t="n"/>
      <c r="K333" s="10" t="n"/>
      <c r="L333" s="11" t="n"/>
      <c r="M333" s="10" t="n"/>
      <c r="N333" s="14">
        <f>SUM(IF(ISNUMBER(H333),H333,0),IF(ISNUMBER(J333),J333,0),IF(ISNUMBER(L333),L333,0))</f>
        <v/>
      </c>
      <c r="O333" s="14">
        <f>G333-N333</f>
        <v/>
      </c>
      <c r="P333">
        <f>IF(AND($D333="",E333=0,F333=0),"Vacant",IF(O333&lt;-0.004,"Overpaid / Credit",IF(O333&lt;=0.004,"Paid",IF(N333&lt;=0.004,"Unpaid","Partial"))))</f>
        <v/>
      </c>
    </row>
    <row r="336">
      <c r="A336" s="3" t="inlineStr">
        <is>
          <t>SUMMARY (this sheet)</t>
        </is>
      </c>
    </row>
    <row r="337">
      <c r="A337" t="inlineStr">
        <is>
          <t>Total Rent Due (all rows)</t>
        </is>
      </c>
      <c r="B337" s="14">
        <f>SUM(G4:G333)</f>
        <v/>
      </c>
    </row>
    <row r="338">
      <c r="A338" t="inlineStr">
        <is>
          <t>Total Collected (all rows)</t>
        </is>
      </c>
      <c r="B338" s="14">
        <f>SUM(N4:N333)</f>
        <v/>
      </c>
    </row>
    <row r="339">
      <c r="A339" t="inlineStr">
        <is>
          <t>Total Outstanding (all rows)</t>
        </is>
      </c>
      <c r="B339" s="14">
        <f>SUMPRODUCT((P4:P333&lt;&gt;"Vacant")*(O4:O333&gt;0)*O4:O333)</f>
        <v/>
      </c>
    </row>
    <row r="340">
      <c r="A340" t="inlineStr">
        <is>
          <t>Units Overdue/Partial This Sheet (count)</t>
        </is>
      </c>
      <c r="B340">
        <f>COUNTIF(P4:P333,"Partial")+COUNTIF(P4:P333,"Unpaid")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P4:P333">
    <cfRule type="cellIs" priority="1" operator="equal" dxfId="1">
      <formula>"Unpaid"</formula>
    </cfRule>
    <cfRule type="cellIs" priority="2" operator="equal" dxfId="0">
      <formula>"Partial"</formula>
    </cfRule>
    <cfRule type="cellIs" priority="3" operator="equal" dxfId="2">
      <formula>"Overpaid / Credit"</formula>
    </cfRule>
  </conditionalFormatting>
  <dataValidations count="990">
    <dataValidation sqref="B4" showDropDown="0" showInputMessage="0" showErrorMessage="0" allowBlank="1" type="list">
      <formula1>='Properties &amp; Units'!$A$4:$A$38</formula1>
    </dataValidation>
    <dataValidation sqref="C4" showDropDown="0" showInputMessage="0" showErrorMessage="0" allowBlank="1" type="list">
      <formula1>='Properties &amp; Units'!$D$4:$D$38</formula1>
    </dataValidation>
    <dataValidation sqref="D4" showDropDown="0" showInputMessage="0" showErrorMessage="0" allowBlank="1" type="list">
      <formula1>='Tenants &amp; Leases'!$A$4:$A$38</formula1>
    </dataValidation>
    <dataValidation sqref="B5" showDropDown="0" showInputMessage="0" showErrorMessage="0" allowBlank="1" type="list">
      <formula1>='Properties &amp; Units'!$A$4:$A$38</formula1>
    </dataValidation>
    <dataValidation sqref="C5" showDropDown="0" showInputMessage="0" showErrorMessage="0" allowBlank="1" type="list">
      <formula1>='Properties &amp; Units'!$D$4:$D$38</formula1>
    </dataValidation>
    <dataValidation sqref="D5" showDropDown="0" showInputMessage="0" showErrorMessage="0" allowBlank="1" type="list">
      <formula1>='Tenants &amp; Leases'!$A$4:$A$38</formula1>
    </dataValidation>
    <dataValidation sqref="B6" showDropDown="0" showInputMessage="0" showErrorMessage="0" allowBlank="1" type="list">
      <formula1>='Properties &amp; Units'!$A$4:$A$38</formula1>
    </dataValidation>
    <dataValidation sqref="C6" showDropDown="0" showInputMessage="0" showErrorMessage="0" allowBlank="1" type="list">
      <formula1>='Properties &amp; Units'!$D$4:$D$38</formula1>
    </dataValidation>
    <dataValidation sqref="D6" showDropDown="0" showInputMessage="0" showErrorMessage="0" allowBlank="1" type="list">
      <formula1>='Tenants &amp; Leases'!$A$4:$A$38</formula1>
    </dataValidation>
    <dataValidation sqref="B7" showDropDown="0" showInputMessage="0" showErrorMessage="0" allowBlank="1" type="list">
      <formula1>='Properties &amp; Units'!$A$4:$A$38</formula1>
    </dataValidation>
    <dataValidation sqref="C7" showDropDown="0" showInputMessage="0" showErrorMessage="0" allowBlank="1" type="list">
      <formula1>='Properties &amp; Units'!$D$4:$D$38</formula1>
    </dataValidation>
    <dataValidation sqref="D7" showDropDown="0" showInputMessage="0" showErrorMessage="0" allowBlank="1" type="list">
      <formula1>='Tenants &amp; Leases'!$A$4:$A$38</formula1>
    </dataValidation>
    <dataValidation sqref="B8" showDropDown="0" showInputMessage="0" showErrorMessage="0" allowBlank="1" type="list">
      <formula1>='Properties &amp; Units'!$A$4:$A$38</formula1>
    </dataValidation>
    <dataValidation sqref="C8" showDropDown="0" showInputMessage="0" showErrorMessage="0" allowBlank="1" type="list">
      <formula1>='Properties &amp; Units'!$D$4:$D$38</formula1>
    </dataValidation>
    <dataValidation sqref="D8" showDropDown="0" showInputMessage="0" showErrorMessage="0" allowBlank="1" type="list">
      <formula1>='Tenants &amp; Leases'!$A$4:$A$38</formula1>
    </dataValidation>
    <dataValidation sqref="B9" showDropDown="0" showInputMessage="0" showErrorMessage="0" allowBlank="1" type="list">
      <formula1>='Properties &amp; Units'!$A$4:$A$38</formula1>
    </dataValidation>
    <dataValidation sqref="C9" showDropDown="0" showInputMessage="0" showErrorMessage="0" allowBlank="1" type="list">
      <formula1>='Properties &amp; Units'!$D$4:$D$38</formula1>
    </dataValidation>
    <dataValidation sqref="D9" showDropDown="0" showInputMessage="0" showErrorMessage="0" allowBlank="1" type="list">
      <formula1>='Tenants &amp; Leases'!$A$4:$A$38</formula1>
    </dataValidation>
    <dataValidation sqref="B10" showDropDown="0" showInputMessage="0" showErrorMessage="0" allowBlank="1" type="list">
      <formula1>='Properties &amp; Units'!$A$4:$A$38</formula1>
    </dataValidation>
    <dataValidation sqref="C10" showDropDown="0" showInputMessage="0" showErrorMessage="0" allowBlank="1" type="list">
      <formula1>='Properties &amp; Units'!$D$4:$D$38</formula1>
    </dataValidation>
    <dataValidation sqref="D10" showDropDown="0" showInputMessage="0" showErrorMessage="0" allowBlank="1" type="list">
      <formula1>='Tenants &amp; Leases'!$A$4:$A$38</formula1>
    </dataValidation>
    <dataValidation sqref="B11" showDropDown="0" showInputMessage="0" showErrorMessage="0" allowBlank="1" type="list">
      <formula1>='Properties &amp; Units'!$A$4:$A$38</formula1>
    </dataValidation>
    <dataValidation sqref="C11" showDropDown="0" showInputMessage="0" showErrorMessage="0" allowBlank="1" type="list">
      <formula1>='Properties &amp; Units'!$D$4:$D$38</formula1>
    </dataValidation>
    <dataValidation sqref="D11" showDropDown="0" showInputMessage="0" showErrorMessage="0" allowBlank="1" type="list">
      <formula1>='Tenants &amp; Leases'!$A$4:$A$38</formula1>
    </dataValidation>
    <dataValidation sqref="B12" showDropDown="0" showInputMessage="0" showErrorMessage="0" allowBlank="1" type="list">
      <formula1>='Properties &amp; Units'!$A$4:$A$38</formula1>
    </dataValidation>
    <dataValidation sqref="C12" showDropDown="0" showInputMessage="0" showErrorMessage="0" allowBlank="1" type="list">
      <formula1>='Properties &amp; Units'!$D$4:$D$38</formula1>
    </dataValidation>
    <dataValidation sqref="D12" showDropDown="0" showInputMessage="0" showErrorMessage="0" allowBlank="1" type="list">
      <formula1>='Tenants &amp; Leases'!$A$4:$A$38</formula1>
    </dataValidation>
    <dataValidation sqref="B13" showDropDown="0" showInputMessage="0" showErrorMessage="0" allowBlank="1" type="list">
      <formula1>='Properties &amp; Units'!$A$4:$A$38</formula1>
    </dataValidation>
    <dataValidation sqref="C13" showDropDown="0" showInputMessage="0" showErrorMessage="0" allowBlank="1" type="list">
      <formula1>='Properties &amp; Units'!$D$4:$D$38</formula1>
    </dataValidation>
    <dataValidation sqref="D13" showDropDown="0" showInputMessage="0" showErrorMessage="0" allowBlank="1" type="list">
      <formula1>='Tenants &amp; Leases'!$A$4:$A$38</formula1>
    </dataValidation>
    <dataValidation sqref="B14" showDropDown="0" showInputMessage="0" showErrorMessage="0" allowBlank="1" type="list">
      <formula1>='Properties &amp; Units'!$A$4:$A$38</formula1>
    </dataValidation>
    <dataValidation sqref="C14" showDropDown="0" showInputMessage="0" showErrorMessage="0" allowBlank="1" type="list">
      <formula1>='Properties &amp; Units'!$D$4:$D$38</formula1>
    </dataValidation>
    <dataValidation sqref="D14" showDropDown="0" showInputMessage="0" showErrorMessage="0" allowBlank="1" type="list">
      <formula1>='Tenants &amp; Leases'!$A$4:$A$38</formula1>
    </dataValidation>
    <dataValidation sqref="B15" showDropDown="0" showInputMessage="0" showErrorMessage="0" allowBlank="1" type="list">
      <formula1>='Properties &amp; Units'!$A$4:$A$38</formula1>
    </dataValidation>
    <dataValidation sqref="C15" showDropDown="0" showInputMessage="0" showErrorMessage="0" allowBlank="1" type="list">
      <formula1>='Properties &amp; Units'!$D$4:$D$38</formula1>
    </dataValidation>
    <dataValidation sqref="D15" showDropDown="0" showInputMessage="0" showErrorMessage="0" allowBlank="1" type="list">
      <formula1>='Tenants &amp; Leases'!$A$4:$A$38</formula1>
    </dataValidation>
    <dataValidation sqref="B16" showDropDown="0" showInputMessage="0" showErrorMessage="0" allowBlank="1" type="list">
      <formula1>='Properties &amp; Units'!$A$4:$A$38</formula1>
    </dataValidation>
    <dataValidation sqref="C16" showDropDown="0" showInputMessage="0" showErrorMessage="0" allowBlank="1" type="list">
      <formula1>='Properties &amp; Units'!$D$4:$D$38</formula1>
    </dataValidation>
    <dataValidation sqref="D16" showDropDown="0" showInputMessage="0" showErrorMessage="0" allowBlank="1" type="list">
      <formula1>='Tenants &amp; Leases'!$A$4:$A$38</formula1>
    </dataValidation>
    <dataValidation sqref="B17" showDropDown="0" showInputMessage="0" showErrorMessage="0" allowBlank="1" type="list">
      <formula1>='Properties &amp; Units'!$A$4:$A$38</formula1>
    </dataValidation>
    <dataValidation sqref="C17" showDropDown="0" showInputMessage="0" showErrorMessage="0" allowBlank="1" type="list">
      <formula1>='Properties &amp; Units'!$D$4:$D$38</formula1>
    </dataValidation>
    <dataValidation sqref="D17" showDropDown="0" showInputMessage="0" showErrorMessage="0" allowBlank="1" type="list">
      <formula1>='Tenants &amp; Leases'!$A$4:$A$38</formula1>
    </dataValidation>
    <dataValidation sqref="B18" showDropDown="0" showInputMessage="0" showErrorMessage="0" allowBlank="1" type="list">
      <formula1>='Properties &amp; Units'!$A$4:$A$38</formula1>
    </dataValidation>
    <dataValidation sqref="C18" showDropDown="0" showInputMessage="0" showErrorMessage="0" allowBlank="1" type="list">
      <formula1>='Properties &amp; Units'!$D$4:$D$38</formula1>
    </dataValidation>
    <dataValidation sqref="D18" showDropDown="0" showInputMessage="0" showErrorMessage="0" allowBlank="1" type="list">
      <formula1>='Tenants &amp; Leases'!$A$4:$A$38</formula1>
    </dataValidation>
    <dataValidation sqref="B19" showDropDown="0" showInputMessage="0" showErrorMessage="0" allowBlank="1" type="list">
      <formula1>='Properties &amp; Units'!$A$4:$A$38</formula1>
    </dataValidation>
    <dataValidation sqref="C19" showDropDown="0" showInputMessage="0" showErrorMessage="0" allowBlank="1" type="list">
      <formula1>='Properties &amp; Units'!$D$4:$D$38</formula1>
    </dataValidation>
    <dataValidation sqref="D19" showDropDown="0" showInputMessage="0" showErrorMessage="0" allowBlank="1" type="list">
      <formula1>='Tenants &amp; Leases'!$A$4:$A$38</formula1>
    </dataValidation>
    <dataValidation sqref="B20" showDropDown="0" showInputMessage="0" showErrorMessage="0" allowBlank="1" type="list">
      <formula1>='Properties &amp; Units'!$A$4:$A$38</formula1>
    </dataValidation>
    <dataValidation sqref="C20" showDropDown="0" showInputMessage="0" showErrorMessage="0" allowBlank="1" type="list">
      <formula1>='Properties &amp; Units'!$D$4:$D$38</formula1>
    </dataValidation>
    <dataValidation sqref="D20" showDropDown="0" showInputMessage="0" showErrorMessage="0" allowBlank="1" type="list">
      <formula1>='Tenants &amp; Leases'!$A$4:$A$38</formula1>
    </dataValidation>
    <dataValidation sqref="B21" showDropDown="0" showInputMessage="0" showErrorMessage="0" allowBlank="1" type="list">
      <formula1>='Properties &amp; Units'!$A$4:$A$38</formula1>
    </dataValidation>
    <dataValidation sqref="C21" showDropDown="0" showInputMessage="0" showErrorMessage="0" allowBlank="1" type="list">
      <formula1>='Properties &amp; Units'!$D$4:$D$38</formula1>
    </dataValidation>
    <dataValidation sqref="D21" showDropDown="0" showInputMessage="0" showErrorMessage="0" allowBlank="1" type="list">
      <formula1>='Tenants &amp; Leases'!$A$4:$A$38</formula1>
    </dataValidation>
    <dataValidation sqref="B22" showDropDown="0" showInputMessage="0" showErrorMessage="0" allowBlank="1" type="list">
      <formula1>='Properties &amp; Units'!$A$4:$A$38</formula1>
    </dataValidation>
    <dataValidation sqref="C22" showDropDown="0" showInputMessage="0" showErrorMessage="0" allowBlank="1" type="list">
      <formula1>='Properties &amp; Units'!$D$4:$D$38</formula1>
    </dataValidation>
    <dataValidation sqref="D22" showDropDown="0" showInputMessage="0" showErrorMessage="0" allowBlank="1" type="list">
      <formula1>='Tenants &amp; Leases'!$A$4:$A$38</formula1>
    </dataValidation>
    <dataValidation sqref="B23" showDropDown="0" showInputMessage="0" showErrorMessage="0" allowBlank="1" type="list">
      <formula1>='Properties &amp; Units'!$A$4:$A$38</formula1>
    </dataValidation>
    <dataValidation sqref="C23" showDropDown="0" showInputMessage="0" showErrorMessage="0" allowBlank="1" type="list">
      <formula1>='Properties &amp; Units'!$D$4:$D$38</formula1>
    </dataValidation>
    <dataValidation sqref="D23" showDropDown="0" showInputMessage="0" showErrorMessage="0" allowBlank="1" type="list">
      <formula1>='Tenants &amp; Leases'!$A$4:$A$38</formula1>
    </dataValidation>
    <dataValidation sqref="B24" showDropDown="0" showInputMessage="0" showErrorMessage="0" allowBlank="1" type="list">
      <formula1>='Properties &amp; Units'!$A$4:$A$38</formula1>
    </dataValidation>
    <dataValidation sqref="C24" showDropDown="0" showInputMessage="0" showErrorMessage="0" allowBlank="1" type="list">
      <formula1>='Properties &amp; Units'!$D$4:$D$38</formula1>
    </dataValidation>
    <dataValidation sqref="D24" showDropDown="0" showInputMessage="0" showErrorMessage="0" allowBlank="1" type="list">
      <formula1>='Tenants &amp; Leases'!$A$4:$A$38</formula1>
    </dataValidation>
    <dataValidation sqref="B25" showDropDown="0" showInputMessage="0" showErrorMessage="0" allowBlank="1" type="list">
      <formula1>='Properties &amp; Units'!$A$4:$A$38</formula1>
    </dataValidation>
    <dataValidation sqref="C25" showDropDown="0" showInputMessage="0" showErrorMessage="0" allowBlank="1" type="list">
      <formula1>='Properties &amp; Units'!$D$4:$D$38</formula1>
    </dataValidation>
    <dataValidation sqref="D25" showDropDown="0" showInputMessage="0" showErrorMessage="0" allowBlank="1" type="list">
      <formula1>='Tenants &amp; Leases'!$A$4:$A$38</formula1>
    </dataValidation>
    <dataValidation sqref="B26" showDropDown="0" showInputMessage="0" showErrorMessage="0" allowBlank="1" type="list">
      <formula1>='Properties &amp; Units'!$A$4:$A$38</formula1>
    </dataValidation>
    <dataValidation sqref="C26" showDropDown="0" showInputMessage="0" showErrorMessage="0" allowBlank="1" type="list">
      <formula1>='Properties &amp; Units'!$D$4:$D$38</formula1>
    </dataValidation>
    <dataValidation sqref="D26" showDropDown="0" showInputMessage="0" showErrorMessage="0" allowBlank="1" type="list">
      <formula1>='Tenants &amp; Leases'!$A$4:$A$38</formula1>
    </dataValidation>
    <dataValidation sqref="B27" showDropDown="0" showInputMessage="0" showErrorMessage="0" allowBlank="1" type="list">
      <formula1>='Properties &amp; Units'!$A$4:$A$38</formula1>
    </dataValidation>
    <dataValidation sqref="C27" showDropDown="0" showInputMessage="0" showErrorMessage="0" allowBlank="1" type="list">
      <formula1>='Properties &amp; Units'!$D$4:$D$38</formula1>
    </dataValidation>
    <dataValidation sqref="D27" showDropDown="0" showInputMessage="0" showErrorMessage="0" allowBlank="1" type="list">
      <formula1>='Tenants &amp; Leases'!$A$4:$A$38</formula1>
    </dataValidation>
    <dataValidation sqref="B28" showDropDown="0" showInputMessage="0" showErrorMessage="0" allowBlank="1" type="list">
      <formula1>='Properties &amp; Units'!$A$4:$A$38</formula1>
    </dataValidation>
    <dataValidation sqref="C28" showDropDown="0" showInputMessage="0" showErrorMessage="0" allowBlank="1" type="list">
      <formula1>='Properties &amp; Units'!$D$4:$D$38</formula1>
    </dataValidation>
    <dataValidation sqref="D28" showDropDown="0" showInputMessage="0" showErrorMessage="0" allowBlank="1" type="list">
      <formula1>='Tenants &amp; Leases'!$A$4:$A$38</formula1>
    </dataValidation>
    <dataValidation sqref="B29" showDropDown="0" showInputMessage="0" showErrorMessage="0" allowBlank="1" type="list">
      <formula1>='Properties &amp; Units'!$A$4:$A$38</formula1>
    </dataValidation>
    <dataValidation sqref="C29" showDropDown="0" showInputMessage="0" showErrorMessage="0" allowBlank="1" type="list">
      <formula1>='Properties &amp; Units'!$D$4:$D$38</formula1>
    </dataValidation>
    <dataValidation sqref="D29" showDropDown="0" showInputMessage="0" showErrorMessage="0" allowBlank="1" type="list">
      <formula1>='Tenants &amp; Leases'!$A$4:$A$38</formula1>
    </dataValidation>
    <dataValidation sqref="B30" showDropDown="0" showInputMessage="0" showErrorMessage="0" allowBlank="1" type="list">
      <formula1>='Properties &amp; Units'!$A$4:$A$38</formula1>
    </dataValidation>
    <dataValidation sqref="C30" showDropDown="0" showInputMessage="0" showErrorMessage="0" allowBlank="1" type="list">
      <formula1>='Properties &amp; Units'!$D$4:$D$38</formula1>
    </dataValidation>
    <dataValidation sqref="D30" showDropDown="0" showInputMessage="0" showErrorMessage="0" allowBlank="1" type="list">
      <formula1>='Tenants &amp; Leases'!$A$4:$A$38</formula1>
    </dataValidation>
    <dataValidation sqref="B31" showDropDown="0" showInputMessage="0" showErrorMessage="0" allowBlank="1" type="list">
      <formula1>='Properties &amp; Units'!$A$4:$A$38</formula1>
    </dataValidation>
    <dataValidation sqref="C31" showDropDown="0" showInputMessage="0" showErrorMessage="0" allowBlank="1" type="list">
      <formula1>='Properties &amp; Units'!$D$4:$D$38</formula1>
    </dataValidation>
    <dataValidation sqref="D31" showDropDown="0" showInputMessage="0" showErrorMessage="0" allowBlank="1" type="list">
      <formula1>='Tenants &amp; Leases'!$A$4:$A$38</formula1>
    </dataValidation>
    <dataValidation sqref="B32" showDropDown="0" showInputMessage="0" showErrorMessage="0" allowBlank="1" type="list">
      <formula1>='Properties &amp; Units'!$A$4:$A$38</formula1>
    </dataValidation>
    <dataValidation sqref="C32" showDropDown="0" showInputMessage="0" showErrorMessage="0" allowBlank="1" type="list">
      <formula1>='Properties &amp; Units'!$D$4:$D$38</formula1>
    </dataValidation>
    <dataValidation sqref="D32" showDropDown="0" showInputMessage="0" showErrorMessage="0" allowBlank="1" type="list">
      <formula1>='Tenants &amp; Leases'!$A$4:$A$38</formula1>
    </dataValidation>
    <dataValidation sqref="B33" showDropDown="0" showInputMessage="0" showErrorMessage="0" allowBlank="1" type="list">
      <formula1>='Properties &amp; Units'!$A$4:$A$38</formula1>
    </dataValidation>
    <dataValidation sqref="C33" showDropDown="0" showInputMessage="0" showErrorMessage="0" allowBlank="1" type="list">
      <formula1>='Properties &amp; Units'!$D$4:$D$38</formula1>
    </dataValidation>
    <dataValidation sqref="D33" showDropDown="0" showInputMessage="0" showErrorMessage="0" allowBlank="1" type="list">
      <formula1>='Tenants &amp; Leases'!$A$4:$A$38</formula1>
    </dataValidation>
    <dataValidation sqref="B34" showDropDown="0" showInputMessage="0" showErrorMessage="0" allowBlank="1" type="list">
      <formula1>='Properties &amp; Units'!$A$4:$A$38</formula1>
    </dataValidation>
    <dataValidation sqref="C34" showDropDown="0" showInputMessage="0" showErrorMessage="0" allowBlank="1" type="list">
      <formula1>='Properties &amp; Units'!$D$4:$D$38</formula1>
    </dataValidation>
    <dataValidation sqref="D34" showDropDown="0" showInputMessage="0" showErrorMessage="0" allowBlank="1" type="list">
      <formula1>='Tenants &amp; Leases'!$A$4:$A$38</formula1>
    </dataValidation>
    <dataValidation sqref="B35" showDropDown="0" showInputMessage="0" showErrorMessage="0" allowBlank="1" type="list">
      <formula1>='Properties &amp; Units'!$A$4:$A$38</formula1>
    </dataValidation>
    <dataValidation sqref="C35" showDropDown="0" showInputMessage="0" showErrorMessage="0" allowBlank="1" type="list">
      <formula1>='Properties &amp; Units'!$D$4:$D$38</formula1>
    </dataValidation>
    <dataValidation sqref="D35" showDropDown="0" showInputMessage="0" showErrorMessage="0" allowBlank="1" type="list">
      <formula1>='Tenants &amp; Leases'!$A$4:$A$38</formula1>
    </dataValidation>
    <dataValidation sqref="B36" showDropDown="0" showInputMessage="0" showErrorMessage="0" allowBlank="1" type="list">
      <formula1>='Properties &amp; Units'!$A$4:$A$38</formula1>
    </dataValidation>
    <dataValidation sqref="C36" showDropDown="0" showInputMessage="0" showErrorMessage="0" allowBlank="1" type="list">
      <formula1>='Properties &amp; Units'!$D$4:$D$38</formula1>
    </dataValidation>
    <dataValidation sqref="D36" showDropDown="0" showInputMessage="0" showErrorMessage="0" allowBlank="1" type="list">
      <formula1>='Tenants &amp; Leases'!$A$4:$A$38</formula1>
    </dataValidation>
    <dataValidation sqref="B37" showDropDown="0" showInputMessage="0" showErrorMessage="0" allowBlank="1" type="list">
      <formula1>='Properties &amp; Units'!$A$4:$A$38</formula1>
    </dataValidation>
    <dataValidation sqref="C37" showDropDown="0" showInputMessage="0" showErrorMessage="0" allowBlank="1" type="list">
      <formula1>='Properties &amp; Units'!$D$4:$D$38</formula1>
    </dataValidation>
    <dataValidation sqref="D37" showDropDown="0" showInputMessage="0" showErrorMessage="0" allowBlank="1" type="list">
      <formula1>='Tenants &amp; Leases'!$A$4:$A$38</formula1>
    </dataValidation>
    <dataValidation sqref="B38" showDropDown="0" showInputMessage="0" showErrorMessage="0" allowBlank="1" type="list">
      <formula1>='Properties &amp; Units'!$A$4:$A$38</formula1>
    </dataValidation>
    <dataValidation sqref="C38" showDropDown="0" showInputMessage="0" showErrorMessage="0" allowBlank="1" type="list">
      <formula1>='Properties &amp; Units'!$D$4:$D$38</formula1>
    </dataValidation>
    <dataValidation sqref="D38" showDropDown="0" showInputMessage="0" showErrorMessage="0" allowBlank="1" type="list">
      <formula1>='Tenants &amp; Leases'!$A$4:$A$38</formula1>
    </dataValidation>
    <dataValidation sqref="B39" showDropDown="0" showInputMessage="0" showErrorMessage="0" allowBlank="1" type="list">
      <formula1>='Properties &amp; Units'!$A$4:$A$38</formula1>
    </dataValidation>
    <dataValidation sqref="C39" showDropDown="0" showInputMessage="0" showErrorMessage="0" allowBlank="1" type="list">
      <formula1>='Properties &amp; Units'!$D$4:$D$38</formula1>
    </dataValidation>
    <dataValidation sqref="D39" showDropDown="0" showInputMessage="0" showErrorMessage="0" allowBlank="1" type="list">
      <formula1>='Tenants &amp; Leases'!$A$4:$A$38</formula1>
    </dataValidation>
    <dataValidation sqref="B40" showDropDown="0" showInputMessage="0" showErrorMessage="0" allowBlank="1" type="list">
      <formula1>='Properties &amp; Units'!$A$4:$A$38</formula1>
    </dataValidation>
    <dataValidation sqref="C40" showDropDown="0" showInputMessage="0" showErrorMessage="0" allowBlank="1" type="list">
      <formula1>='Properties &amp; Units'!$D$4:$D$38</formula1>
    </dataValidation>
    <dataValidation sqref="D40" showDropDown="0" showInputMessage="0" showErrorMessage="0" allowBlank="1" type="list">
      <formula1>='Tenants &amp; Leases'!$A$4:$A$38</formula1>
    </dataValidation>
    <dataValidation sqref="B41" showDropDown="0" showInputMessage="0" showErrorMessage="0" allowBlank="1" type="list">
      <formula1>='Properties &amp; Units'!$A$4:$A$38</formula1>
    </dataValidation>
    <dataValidation sqref="C41" showDropDown="0" showInputMessage="0" showErrorMessage="0" allowBlank="1" type="list">
      <formula1>='Properties &amp; Units'!$D$4:$D$38</formula1>
    </dataValidation>
    <dataValidation sqref="D41" showDropDown="0" showInputMessage="0" showErrorMessage="0" allowBlank="1" type="list">
      <formula1>='Tenants &amp; Leases'!$A$4:$A$38</formula1>
    </dataValidation>
    <dataValidation sqref="B42" showDropDown="0" showInputMessage="0" showErrorMessage="0" allowBlank="1" type="list">
      <formula1>='Properties &amp; Units'!$A$4:$A$38</formula1>
    </dataValidation>
    <dataValidation sqref="C42" showDropDown="0" showInputMessage="0" showErrorMessage="0" allowBlank="1" type="list">
      <formula1>='Properties &amp; Units'!$D$4:$D$38</formula1>
    </dataValidation>
    <dataValidation sqref="D42" showDropDown="0" showInputMessage="0" showErrorMessage="0" allowBlank="1" type="list">
      <formula1>='Tenants &amp; Leases'!$A$4:$A$38</formula1>
    </dataValidation>
    <dataValidation sqref="B43" showDropDown="0" showInputMessage="0" showErrorMessage="0" allowBlank="1" type="list">
      <formula1>='Properties &amp; Units'!$A$4:$A$38</formula1>
    </dataValidation>
    <dataValidation sqref="C43" showDropDown="0" showInputMessage="0" showErrorMessage="0" allowBlank="1" type="list">
      <formula1>='Properties &amp; Units'!$D$4:$D$38</formula1>
    </dataValidation>
    <dataValidation sqref="D43" showDropDown="0" showInputMessage="0" showErrorMessage="0" allowBlank="1" type="list">
      <formula1>='Tenants &amp; Leases'!$A$4:$A$38</formula1>
    </dataValidation>
    <dataValidation sqref="B44" showDropDown="0" showInputMessage="0" showErrorMessage="0" allowBlank="1" type="list">
      <formula1>='Properties &amp; Units'!$A$4:$A$38</formula1>
    </dataValidation>
    <dataValidation sqref="C44" showDropDown="0" showInputMessage="0" showErrorMessage="0" allowBlank="1" type="list">
      <formula1>='Properties &amp; Units'!$D$4:$D$38</formula1>
    </dataValidation>
    <dataValidation sqref="D44" showDropDown="0" showInputMessage="0" showErrorMessage="0" allowBlank="1" type="list">
      <formula1>='Tenants &amp; Leases'!$A$4:$A$38</formula1>
    </dataValidation>
    <dataValidation sqref="B45" showDropDown="0" showInputMessage="0" showErrorMessage="0" allowBlank="1" type="list">
      <formula1>='Properties &amp; Units'!$A$4:$A$38</formula1>
    </dataValidation>
    <dataValidation sqref="C45" showDropDown="0" showInputMessage="0" showErrorMessage="0" allowBlank="1" type="list">
      <formula1>='Properties &amp; Units'!$D$4:$D$38</formula1>
    </dataValidation>
    <dataValidation sqref="D45" showDropDown="0" showInputMessage="0" showErrorMessage="0" allowBlank="1" type="list">
      <formula1>='Tenants &amp; Leases'!$A$4:$A$38</formula1>
    </dataValidation>
    <dataValidation sqref="B46" showDropDown="0" showInputMessage="0" showErrorMessage="0" allowBlank="1" type="list">
      <formula1>='Properties &amp; Units'!$A$4:$A$38</formula1>
    </dataValidation>
    <dataValidation sqref="C46" showDropDown="0" showInputMessage="0" showErrorMessage="0" allowBlank="1" type="list">
      <formula1>='Properties &amp; Units'!$D$4:$D$38</formula1>
    </dataValidation>
    <dataValidation sqref="D46" showDropDown="0" showInputMessage="0" showErrorMessage="0" allowBlank="1" type="list">
      <formula1>='Tenants &amp; Leases'!$A$4:$A$38</formula1>
    </dataValidation>
    <dataValidation sqref="B47" showDropDown="0" showInputMessage="0" showErrorMessage="0" allowBlank="1" type="list">
      <formula1>='Properties &amp; Units'!$A$4:$A$38</formula1>
    </dataValidation>
    <dataValidation sqref="C47" showDropDown="0" showInputMessage="0" showErrorMessage="0" allowBlank="1" type="list">
      <formula1>='Properties &amp; Units'!$D$4:$D$38</formula1>
    </dataValidation>
    <dataValidation sqref="D47" showDropDown="0" showInputMessage="0" showErrorMessage="0" allowBlank="1" type="list">
      <formula1>='Tenants &amp; Leases'!$A$4:$A$38</formula1>
    </dataValidation>
    <dataValidation sqref="B48" showDropDown="0" showInputMessage="0" showErrorMessage="0" allowBlank="1" type="list">
      <formula1>='Properties &amp; Units'!$A$4:$A$38</formula1>
    </dataValidation>
    <dataValidation sqref="C48" showDropDown="0" showInputMessage="0" showErrorMessage="0" allowBlank="1" type="list">
      <formula1>='Properties &amp; Units'!$D$4:$D$38</formula1>
    </dataValidation>
    <dataValidation sqref="D48" showDropDown="0" showInputMessage="0" showErrorMessage="0" allowBlank="1" type="list">
      <formula1>='Tenants &amp; Leases'!$A$4:$A$38</formula1>
    </dataValidation>
    <dataValidation sqref="B49" showDropDown="0" showInputMessage="0" showErrorMessage="0" allowBlank="1" type="list">
      <formula1>='Properties &amp; Units'!$A$4:$A$38</formula1>
    </dataValidation>
    <dataValidation sqref="C49" showDropDown="0" showInputMessage="0" showErrorMessage="0" allowBlank="1" type="list">
      <formula1>='Properties &amp; Units'!$D$4:$D$38</formula1>
    </dataValidation>
    <dataValidation sqref="D49" showDropDown="0" showInputMessage="0" showErrorMessage="0" allowBlank="1" type="list">
      <formula1>='Tenants &amp; Leases'!$A$4:$A$38</formula1>
    </dataValidation>
    <dataValidation sqref="B50" showDropDown="0" showInputMessage="0" showErrorMessage="0" allowBlank="1" type="list">
      <formula1>='Properties &amp; Units'!$A$4:$A$38</formula1>
    </dataValidation>
    <dataValidation sqref="C50" showDropDown="0" showInputMessage="0" showErrorMessage="0" allowBlank="1" type="list">
      <formula1>='Properties &amp; Units'!$D$4:$D$38</formula1>
    </dataValidation>
    <dataValidation sqref="D50" showDropDown="0" showInputMessage="0" showErrorMessage="0" allowBlank="1" type="list">
      <formula1>='Tenants &amp; Leases'!$A$4:$A$38</formula1>
    </dataValidation>
    <dataValidation sqref="B51" showDropDown="0" showInputMessage="0" showErrorMessage="0" allowBlank="1" type="list">
      <formula1>='Properties &amp; Units'!$A$4:$A$38</formula1>
    </dataValidation>
    <dataValidation sqref="C51" showDropDown="0" showInputMessage="0" showErrorMessage="0" allowBlank="1" type="list">
      <formula1>='Properties &amp; Units'!$D$4:$D$38</formula1>
    </dataValidation>
    <dataValidation sqref="D51" showDropDown="0" showInputMessage="0" showErrorMessage="0" allowBlank="1" type="list">
      <formula1>='Tenants &amp; Leases'!$A$4:$A$38</formula1>
    </dataValidation>
    <dataValidation sqref="B52" showDropDown="0" showInputMessage="0" showErrorMessage="0" allowBlank="1" type="list">
      <formula1>='Properties &amp; Units'!$A$4:$A$38</formula1>
    </dataValidation>
    <dataValidation sqref="C52" showDropDown="0" showInputMessage="0" showErrorMessage="0" allowBlank="1" type="list">
      <formula1>='Properties &amp; Units'!$D$4:$D$38</formula1>
    </dataValidation>
    <dataValidation sqref="D52" showDropDown="0" showInputMessage="0" showErrorMessage="0" allowBlank="1" type="list">
      <formula1>='Tenants &amp; Leases'!$A$4:$A$38</formula1>
    </dataValidation>
    <dataValidation sqref="B53" showDropDown="0" showInputMessage="0" showErrorMessage="0" allowBlank="1" type="list">
      <formula1>='Properties &amp; Units'!$A$4:$A$38</formula1>
    </dataValidation>
    <dataValidation sqref="C53" showDropDown="0" showInputMessage="0" showErrorMessage="0" allowBlank="1" type="list">
      <formula1>='Properties &amp; Units'!$D$4:$D$38</formula1>
    </dataValidation>
    <dataValidation sqref="D53" showDropDown="0" showInputMessage="0" showErrorMessage="0" allowBlank="1" type="list">
      <formula1>='Tenants &amp; Leases'!$A$4:$A$38</formula1>
    </dataValidation>
    <dataValidation sqref="B54" showDropDown="0" showInputMessage="0" showErrorMessage="0" allowBlank="1" type="list">
      <formula1>='Properties &amp; Units'!$A$4:$A$38</formula1>
    </dataValidation>
    <dataValidation sqref="C54" showDropDown="0" showInputMessage="0" showErrorMessage="0" allowBlank="1" type="list">
      <formula1>='Properties &amp; Units'!$D$4:$D$38</formula1>
    </dataValidation>
    <dataValidation sqref="D54" showDropDown="0" showInputMessage="0" showErrorMessage="0" allowBlank="1" type="list">
      <formula1>='Tenants &amp; Leases'!$A$4:$A$38</formula1>
    </dataValidation>
    <dataValidation sqref="B55" showDropDown="0" showInputMessage="0" showErrorMessage="0" allowBlank="1" type="list">
      <formula1>='Properties &amp; Units'!$A$4:$A$38</formula1>
    </dataValidation>
    <dataValidation sqref="C55" showDropDown="0" showInputMessage="0" showErrorMessage="0" allowBlank="1" type="list">
      <formula1>='Properties &amp; Units'!$D$4:$D$38</formula1>
    </dataValidation>
    <dataValidation sqref="D55" showDropDown="0" showInputMessage="0" showErrorMessage="0" allowBlank="1" type="list">
      <formula1>='Tenants &amp; Leases'!$A$4:$A$38</formula1>
    </dataValidation>
    <dataValidation sqref="B56" showDropDown="0" showInputMessage="0" showErrorMessage="0" allowBlank="1" type="list">
      <formula1>='Properties &amp; Units'!$A$4:$A$38</formula1>
    </dataValidation>
    <dataValidation sqref="C56" showDropDown="0" showInputMessage="0" showErrorMessage="0" allowBlank="1" type="list">
      <formula1>='Properties &amp; Units'!$D$4:$D$38</formula1>
    </dataValidation>
    <dataValidation sqref="D56" showDropDown="0" showInputMessage="0" showErrorMessage="0" allowBlank="1" type="list">
      <formula1>='Tenants &amp; Leases'!$A$4:$A$38</formula1>
    </dataValidation>
    <dataValidation sqref="B57" showDropDown="0" showInputMessage="0" showErrorMessage="0" allowBlank="1" type="list">
      <formula1>='Properties &amp; Units'!$A$4:$A$38</formula1>
    </dataValidation>
    <dataValidation sqref="C57" showDropDown="0" showInputMessage="0" showErrorMessage="0" allowBlank="1" type="list">
      <formula1>='Properties &amp; Units'!$D$4:$D$38</formula1>
    </dataValidation>
    <dataValidation sqref="D57" showDropDown="0" showInputMessage="0" showErrorMessage="0" allowBlank="1" type="list">
      <formula1>='Tenants &amp; Leases'!$A$4:$A$38</formula1>
    </dataValidation>
    <dataValidation sqref="B58" showDropDown="0" showInputMessage="0" showErrorMessage="0" allowBlank="1" type="list">
      <formula1>='Properties &amp; Units'!$A$4:$A$38</formula1>
    </dataValidation>
    <dataValidation sqref="C58" showDropDown="0" showInputMessage="0" showErrorMessage="0" allowBlank="1" type="list">
      <formula1>='Properties &amp; Units'!$D$4:$D$38</formula1>
    </dataValidation>
    <dataValidation sqref="D58" showDropDown="0" showInputMessage="0" showErrorMessage="0" allowBlank="1" type="list">
      <formula1>='Tenants &amp; Leases'!$A$4:$A$38</formula1>
    </dataValidation>
    <dataValidation sqref="B59" showDropDown="0" showInputMessage="0" showErrorMessage="0" allowBlank="1" type="list">
      <formula1>='Properties &amp; Units'!$A$4:$A$38</formula1>
    </dataValidation>
    <dataValidation sqref="C59" showDropDown="0" showInputMessage="0" showErrorMessage="0" allowBlank="1" type="list">
      <formula1>='Properties &amp; Units'!$D$4:$D$38</formula1>
    </dataValidation>
    <dataValidation sqref="D59" showDropDown="0" showInputMessage="0" showErrorMessage="0" allowBlank="1" type="list">
      <formula1>='Tenants &amp; Leases'!$A$4:$A$38</formula1>
    </dataValidation>
    <dataValidation sqref="B60" showDropDown="0" showInputMessage="0" showErrorMessage="0" allowBlank="1" type="list">
      <formula1>='Properties &amp; Units'!$A$4:$A$38</formula1>
    </dataValidation>
    <dataValidation sqref="C60" showDropDown="0" showInputMessage="0" showErrorMessage="0" allowBlank="1" type="list">
      <formula1>='Properties &amp; Units'!$D$4:$D$38</formula1>
    </dataValidation>
    <dataValidation sqref="D60" showDropDown="0" showInputMessage="0" showErrorMessage="0" allowBlank="1" type="list">
      <formula1>='Tenants &amp; Leases'!$A$4:$A$38</formula1>
    </dataValidation>
    <dataValidation sqref="B61" showDropDown="0" showInputMessage="0" showErrorMessage="0" allowBlank="1" type="list">
      <formula1>='Properties &amp; Units'!$A$4:$A$38</formula1>
    </dataValidation>
    <dataValidation sqref="C61" showDropDown="0" showInputMessage="0" showErrorMessage="0" allowBlank="1" type="list">
      <formula1>='Properties &amp; Units'!$D$4:$D$38</formula1>
    </dataValidation>
    <dataValidation sqref="D61" showDropDown="0" showInputMessage="0" showErrorMessage="0" allowBlank="1" type="list">
      <formula1>='Tenants &amp; Leases'!$A$4:$A$38</formula1>
    </dataValidation>
    <dataValidation sqref="B62" showDropDown="0" showInputMessage="0" showErrorMessage="0" allowBlank="1" type="list">
      <formula1>='Properties &amp; Units'!$A$4:$A$38</formula1>
    </dataValidation>
    <dataValidation sqref="C62" showDropDown="0" showInputMessage="0" showErrorMessage="0" allowBlank="1" type="list">
      <formula1>='Properties &amp; Units'!$D$4:$D$38</formula1>
    </dataValidation>
    <dataValidation sqref="D62" showDropDown="0" showInputMessage="0" showErrorMessage="0" allowBlank="1" type="list">
      <formula1>='Tenants &amp; Leases'!$A$4:$A$38</formula1>
    </dataValidation>
    <dataValidation sqref="B63" showDropDown="0" showInputMessage="0" showErrorMessage="0" allowBlank="1" type="list">
      <formula1>='Properties &amp; Units'!$A$4:$A$38</formula1>
    </dataValidation>
    <dataValidation sqref="C63" showDropDown="0" showInputMessage="0" showErrorMessage="0" allowBlank="1" type="list">
      <formula1>='Properties &amp; Units'!$D$4:$D$38</formula1>
    </dataValidation>
    <dataValidation sqref="D63" showDropDown="0" showInputMessage="0" showErrorMessage="0" allowBlank="1" type="list">
      <formula1>='Tenants &amp; Leases'!$A$4:$A$38</formula1>
    </dataValidation>
    <dataValidation sqref="B64" showDropDown="0" showInputMessage="0" showErrorMessage="0" allowBlank="1" type="list">
      <formula1>='Properties &amp; Units'!$A$4:$A$38</formula1>
    </dataValidation>
    <dataValidation sqref="C64" showDropDown="0" showInputMessage="0" showErrorMessage="0" allowBlank="1" type="list">
      <formula1>='Properties &amp; Units'!$D$4:$D$38</formula1>
    </dataValidation>
    <dataValidation sqref="D64" showDropDown="0" showInputMessage="0" showErrorMessage="0" allowBlank="1" type="list">
      <formula1>='Tenants &amp; Leases'!$A$4:$A$38</formula1>
    </dataValidation>
    <dataValidation sqref="B65" showDropDown="0" showInputMessage="0" showErrorMessage="0" allowBlank="1" type="list">
      <formula1>='Properties &amp; Units'!$A$4:$A$38</formula1>
    </dataValidation>
    <dataValidation sqref="C65" showDropDown="0" showInputMessage="0" showErrorMessage="0" allowBlank="1" type="list">
      <formula1>='Properties &amp; Units'!$D$4:$D$38</formula1>
    </dataValidation>
    <dataValidation sqref="D65" showDropDown="0" showInputMessage="0" showErrorMessage="0" allowBlank="1" type="list">
      <formula1>='Tenants &amp; Leases'!$A$4:$A$38</formula1>
    </dataValidation>
    <dataValidation sqref="B66" showDropDown="0" showInputMessage="0" showErrorMessage="0" allowBlank="1" type="list">
      <formula1>='Properties &amp; Units'!$A$4:$A$38</formula1>
    </dataValidation>
    <dataValidation sqref="C66" showDropDown="0" showInputMessage="0" showErrorMessage="0" allowBlank="1" type="list">
      <formula1>='Properties &amp; Units'!$D$4:$D$38</formula1>
    </dataValidation>
    <dataValidation sqref="D66" showDropDown="0" showInputMessage="0" showErrorMessage="0" allowBlank="1" type="list">
      <formula1>='Tenants &amp; Leases'!$A$4:$A$38</formula1>
    </dataValidation>
    <dataValidation sqref="B67" showDropDown="0" showInputMessage="0" showErrorMessage="0" allowBlank="1" type="list">
      <formula1>='Properties &amp; Units'!$A$4:$A$38</formula1>
    </dataValidation>
    <dataValidation sqref="C67" showDropDown="0" showInputMessage="0" showErrorMessage="0" allowBlank="1" type="list">
      <formula1>='Properties &amp; Units'!$D$4:$D$38</formula1>
    </dataValidation>
    <dataValidation sqref="D67" showDropDown="0" showInputMessage="0" showErrorMessage="0" allowBlank="1" type="list">
      <formula1>='Tenants &amp; Leases'!$A$4:$A$38</formula1>
    </dataValidation>
    <dataValidation sqref="B68" showDropDown="0" showInputMessage="0" showErrorMessage="0" allowBlank="1" type="list">
      <formula1>='Properties &amp; Units'!$A$4:$A$38</formula1>
    </dataValidation>
    <dataValidation sqref="C68" showDropDown="0" showInputMessage="0" showErrorMessage="0" allowBlank="1" type="list">
      <formula1>='Properties &amp; Units'!$D$4:$D$38</formula1>
    </dataValidation>
    <dataValidation sqref="D68" showDropDown="0" showInputMessage="0" showErrorMessage="0" allowBlank="1" type="list">
      <formula1>='Tenants &amp; Leases'!$A$4:$A$38</formula1>
    </dataValidation>
    <dataValidation sqref="B69" showDropDown="0" showInputMessage="0" showErrorMessage="0" allowBlank="1" type="list">
      <formula1>='Properties &amp; Units'!$A$4:$A$38</formula1>
    </dataValidation>
    <dataValidation sqref="C69" showDropDown="0" showInputMessage="0" showErrorMessage="0" allowBlank="1" type="list">
      <formula1>='Properties &amp; Units'!$D$4:$D$38</formula1>
    </dataValidation>
    <dataValidation sqref="D69" showDropDown="0" showInputMessage="0" showErrorMessage="0" allowBlank="1" type="list">
      <formula1>='Tenants &amp; Leases'!$A$4:$A$38</formula1>
    </dataValidation>
    <dataValidation sqref="B70" showDropDown="0" showInputMessage="0" showErrorMessage="0" allowBlank="1" type="list">
      <formula1>='Properties &amp; Units'!$A$4:$A$38</formula1>
    </dataValidation>
    <dataValidation sqref="C70" showDropDown="0" showInputMessage="0" showErrorMessage="0" allowBlank="1" type="list">
      <formula1>='Properties &amp; Units'!$D$4:$D$38</formula1>
    </dataValidation>
    <dataValidation sqref="D70" showDropDown="0" showInputMessage="0" showErrorMessage="0" allowBlank="1" type="list">
      <formula1>='Tenants &amp; Leases'!$A$4:$A$38</formula1>
    </dataValidation>
    <dataValidation sqref="B71" showDropDown="0" showInputMessage="0" showErrorMessage="0" allowBlank="1" type="list">
      <formula1>='Properties &amp; Units'!$A$4:$A$38</formula1>
    </dataValidation>
    <dataValidation sqref="C71" showDropDown="0" showInputMessage="0" showErrorMessage="0" allowBlank="1" type="list">
      <formula1>='Properties &amp; Units'!$D$4:$D$38</formula1>
    </dataValidation>
    <dataValidation sqref="D71" showDropDown="0" showInputMessage="0" showErrorMessage="0" allowBlank="1" type="list">
      <formula1>='Tenants &amp; Leases'!$A$4:$A$38</formula1>
    </dataValidation>
    <dataValidation sqref="B72" showDropDown="0" showInputMessage="0" showErrorMessage="0" allowBlank="1" type="list">
      <formula1>='Properties &amp; Units'!$A$4:$A$38</formula1>
    </dataValidation>
    <dataValidation sqref="C72" showDropDown="0" showInputMessage="0" showErrorMessage="0" allowBlank="1" type="list">
      <formula1>='Properties &amp; Units'!$D$4:$D$38</formula1>
    </dataValidation>
    <dataValidation sqref="D72" showDropDown="0" showInputMessage="0" showErrorMessage="0" allowBlank="1" type="list">
      <formula1>='Tenants &amp; Leases'!$A$4:$A$38</formula1>
    </dataValidation>
    <dataValidation sqref="B73" showDropDown="0" showInputMessage="0" showErrorMessage="0" allowBlank="1" type="list">
      <formula1>='Properties &amp; Units'!$A$4:$A$38</formula1>
    </dataValidation>
    <dataValidation sqref="C73" showDropDown="0" showInputMessage="0" showErrorMessage="0" allowBlank="1" type="list">
      <formula1>='Properties &amp; Units'!$D$4:$D$38</formula1>
    </dataValidation>
    <dataValidation sqref="D73" showDropDown="0" showInputMessage="0" showErrorMessage="0" allowBlank="1" type="list">
      <formula1>='Tenants &amp; Leases'!$A$4:$A$38</formula1>
    </dataValidation>
    <dataValidation sqref="B74" showDropDown="0" showInputMessage="0" showErrorMessage="0" allowBlank="1" type="list">
      <formula1>='Properties &amp; Units'!$A$4:$A$38</formula1>
    </dataValidation>
    <dataValidation sqref="C74" showDropDown="0" showInputMessage="0" showErrorMessage="0" allowBlank="1" type="list">
      <formula1>='Properties &amp; Units'!$D$4:$D$38</formula1>
    </dataValidation>
    <dataValidation sqref="D74" showDropDown="0" showInputMessage="0" showErrorMessage="0" allowBlank="1" type="list">
      <formula1>='Tenants &amp; Leases'!$A$4:$A$38</formula1>
    </dataValidation>
    <dataValidation sqref="B75" showDropDown="0" showInputMessage="0" showErrorMessage="0" allowBlank="1" type="list">
      <formula1>='Properties &amp; Units'!$A$4:$A$38</formula1>
    </dataValidation>
    <dataValidation sqref="C75" showDropDown="0" showInputMessage="0" showErrorMessage="0" allowBlank="1" type="list">
      <formula1>='Properties &amp; Units'!$D$4:$D$38</formula1>
    </dataValidation>
    <dataValidation sqref="D75" showDropDown="0" showInputMessage="0" showErrorMessage="0" allowBlank="1" type="list">
      <formula1>='Tenants &amp; Leases'!$A$4:$A$38</formula1>
    </dataValidation>
    <dataValidation sqref="B76" showDropDown="0" showInputMessage="0" showErrorMessage="0" allowBlank="1" type="list">
      <formula1>='Properties &amp; Units'!$A$4:$A$38</formula1>
    </dataValidation>
    <dataValidation sqref="C76" showDropDown="0" showInputMessage="0" showErrorMessage="0" allowBlank="1" type="list">
      <formula1>='Properties &amp; Units'!$D$4:$D$38</formula1>
    </dataValidation>
    <dataValidation sqref="D76" showDropDown="0" showInputMessage="0" showErrorMessage="0" allowBlank="1" type="list">
      <formula1>='Tenants &amp; Leases'!$A$4:$A$38</formula1>
    </dataValidation>
    <dataValidation sqref="B77" showDropDown="0" showInputMessage="0" showErrorMessage="0" allowBlank="1" type="list">
      <formula1>='Properties &amp; Units'!$A$4:$A$38</formula1>
    </dataValidation>
    <dataValidation sqref="C77" showDropDown="0" showInputMessage="0" showErrorMessage="0" allowBlank="1" type="list">
      <formula1>='Properties &amp; Units'!$D$4:$D$38</formula1>
    </dataValidation>
    <dataValidation sqref="D77" showDropDown="0" showInputMessage="0" showErrorMessage="0" allowBlank="1" type="list">
      <formula1>='Tenants &amp; Leases'!$A$4:$A$38</formula1>
    </dataValidation>
    <dataValidation sqref="B78" showDropDown="0" showInputMessage="0" showErrorMessage="0" allowBlank="1" type="list">
      <formula1>='Properties &amp; Units'!$A$4:$A$38</formula1>
    </dataValidation>
    <dataValidation sqref="C78" showDropDown="0" showInputMessage="0" showErrorMessage="0" allowBlank="1" type="list">
      <formula1>='Properties &amp; Units'!$D$4:$D$38</formula1>
    </dataValidation>
    <dataValidation sqref="D78" showDropDown="0" showInputMessage="0" showErrorMessage="0" allowBlank="1" type="list">
      <formula1>='Tenants &amp; Leases'!$A$4:$A$38</formula1>
    </dataValidation>
    <dataValidation sqref="B79" showDropDown="0" showInputMessage="0" showErrorMessage="0" allowBlank="1" type="list">
      <formula1>='Properties &amp; Units'!$A$4:$A$38</formula1>
    </dataValidation>
    <dataValidation sqref="C79" showDropDown="0" showInputMessage="0" showErrorMessage="0" allowBlank="1" type="list">
      <formula1>='Properties &amp; Units'!$D$4:$D$38</formula1>
    </dataValidation>
    <dataValidation sqref="D79" showDropDown="0" showInputMessage="0" showErrorMessage="0" allowBlank="1" type="list">
      <formula1>='Tenants &amp; Leases'!$A$4:$A$38</formula1>
    </dataValidation>
    <dataValidation sqref="B80" showDropDown="0" showInputMessage="0" showErrorMessage="0" allowBlank="1" type="list">
      <formula1>='Properties &amp; Units'!$A$4:$A$38</formula1>
    </dataValidation>
    <dataValidation sqref="C80" showDropDown="0" showInputMessage="0" showErrorMessage="0" allowBlank="1" type="list">
      <formula1>='Properties &amp; Units'!$D$4:$D$38</formula1>
    </dataValidation>
    <dataValidation sqref="D80" showDropDown="0" showInputMessage="0" showErrorMessage="0" allowBlank="1" type="list">
      <formula1>='Tenants &amp; Leases'!$A$4:$A$38</formula1>
    </dataValidation>
    <dataValidation sqref="B81" showDropDown="0" showInputMessage="0" showErrorMessage="0" allowBlank="1" type="list">
      <formula1>='Properties &amp; Units'!$A$4:$A$38</formula1>
    </dataValidation>
    <dataValidation sqref="C81" showDropDown="0" showInputMessage="0" showErrorMessage="0" allowBlank="1" type="list">
      <formula1>='Properties &amp; Units'!$D$4:$D$38</formula1>
    </dataValidation>
    <dataValidation sqref="D81" showDropDown="0" showInputMessage="0" showErrorMessage="0" allowBlank="1" type="list">
      <formula1>='Tenants &amp; Leases'!$A$4:$A$38</formula1>
    </dataValidation>
    <dataValidation sqref="B82" showDropDown="0" showInputMessage="0" showErrorMessage="0" allowBlank="1" type="list">
      <formula1>='Properties &amp; Units'!$A$4:$A$38</formula1>
    </dataValidation>
    <dataValidation sqref="C82" showDropDown="0" showInputMessage="0" showErrorMessage="0" allowBlank="1" type="list">
      <formula1>='Properties &amp; Units'!$D$4:$D$38</formula1>
    </dataValidation>
    <dataValidation sqref="D82" showDropDown="0" showInputMessage="0" showErrorMessage="0" allowBlank="1" type="list">
      <formula1>='Tenants &amp; Leases'!$A$4:$A$38</formula1>
    </dataValidation>
    <dataValidation sqref="B83" showDropDown="0" showInputMessage="0" showErrorMessage="0" allowBlank="1" type="list">
      <formula1>='Properties &amp; Units'!$A$4:$A$38</formula1>
    </dataValidation>
    <dataValidation sqref="C83" showDropDown="0" showInputMessage="0" showErrorMessage="0" allowBlank="1" type="list">
      <formula1>='Properties &amp; Units'!$D$4:$D$38</formula1>
    </dataValidation>
    <dataValidation sqref="D83" showDropDown="0" showInputMessage="0" showErrorMessage="0" allowBlank="1" type="list">
      <formula1>='Tenants &amp; Leases'!$A$4:$A$38</formula1>
    </dataValidation>
    <dataValidation sqref="B84" showDropDown="0" showInputMessage="0" showErrorMessage="0" allowBlank="1" type="list">
      <formula1>='Properties &amp; Units'!$A$4:$A$38</formula1>
    </dataValidation>
    <dataValidation sqref="C84" showDropDown="0" showInputMessage="0" showErrorMessage="0" allowBlank="1" type="list">
      <formula1>='Properties &amp; Units'!$D$4:$D$38</formula1>
    </dataValidation>
    <dataValidation sqref="D84" showDropDown="0" showInputMessage="0" showErrorMessage="0" allowBlank="1" type="list">
      <formula1>='Tenants &amp; Leases'!$A$4:$A$38</formula1>
    </dataValidation>
    <dataValidation sqref="B85" showDropDown="0" showInputMessage="0" showErrorMessage="0" allowBlank="1" type="list">
      <formula1>='Properties &amp; Units'!$A$4:$A$38</formula1>
    </dataValidation>
    <dataValidation sqref="C85" showDropDown="0" showInputMessage="0" showErrorMessage="0" allowBlank="1" type="list">
      <formula1>='Properties &amp; Units'!$D$4:$D$38</formula1>
    </dataValidation>
    <dataValidation sqref="D85" showDropDown="0" showInputMessage="0" showErrorMessage="0" allowBlank="1" type="list">
      <formula1>='Tenants &amp; Leases'!$A$4:$A$38</formula1>
    </dataValidation>
    <dataValidation sqref="B86" showDropDown="0" showInputMessage="0" showErrorMessage="0" allowBlank="1" type="list">
      <formula1>='Properties &amp; Units'!$A$4:$A$38</formula1>
    </dataValidation>
    <dataValidation sqref="C86" showDropDown="0" showInputMessage="0" showErrorMessage="0" allowBlank="1" type="list">
      <formula1>='Properties &amp; Units'!$D$4:$D$38</formula1>
    </dataValidation>
    <dataValidation sqref="D86" showDropDown="0" showInputMessage="0" showErrorMessage="0" allowBlank="1" type="list">
      <formula1>='Tenants &amp; Leases'!$A$4:$A$38</formula1>
    </dataValidation>
    <dataValidation sqref="B87" showDropDown="0" showInputMessage="0" showErrorMessage="0" allowBlank="1" type="list">
      <formula1>='Properties &amp; Units'!$A$4:$A$38</formula1>
    </dataValidation>
    <dataValidation sqref="C87" showDropDown="0" showInputMessage="0" showErrorMessage="0" allowBlank="1" type="list">
      <formula1>='Properties &amp; Units'!$D$4:$D$38</formula1>
    </dataValidation>
    <dataValidation sqref="D87" showDropDown="0" showInputMessage="0" showErrorMessage="0" allowBlank="1" type="list">
      <formula1>='Tenants &amp; Leases'!$A$4:$A$38</formula1>
    </dataValidation>
    <dataValidation sqref="B88" showDropDown="0" showInputMessage="0" showErrorMessage="0" allowBlank="1" type="list">
      <formula1>='Properties &amp; Units'!$A$4:$A$38</formula1>
    </dataValidation>
    <dataValidation sqref="C88" showDropDown="0" showInputMessage="0" showErrorMessage="0" allowBlank="1" type="list">
      <formula1>='Properties &amp; Units'!$D$4:$D$38</formula1>
    </dataValidation>
    <dataValidation sqref="D88" showDropDown="0" showInputMessage="0" showErrorMessage="0" allowBlank="1" type="list">
      <formula1>='Tenants &amp; Leases'!$A$4:$A$38</formula1>
    </dataValidation>
    <dataValidation sqref="B89" showDropDown="0" showInputMessage="0" showErrorMessage="0" allowBlank="1" type="list">
      <formula1>='Properties &amp; Units'!$A$4:$A$38</formula1>
    </dataValidation>
    <dataValidation sqref="C89" showDropDown="0" showInputMessage="0" showErrorMessage="0" allowBlank="1" type="list">
      <formula1>='Properties &amp; Units'!$D$4:$D$38</formula1>
    </dataValidation>
    <dataValidation sqref="D89" showDropDown="0" showInputMessage="0" showErrorMessage="0" allowBlank="1" type="list">
      <formula1>='Tenants &amp; Leases'!$A$4:$A$38</formula1>
    </dataValidation>
    <dataValidation sqref="B90" showDropDown="0" showInputMessage="0" showErrorMessage="0" allowBlank="1" type="list">
      <formula1>='Properties &amp; Units'!$A$4:$A$38</formula1>
    </dataValidation>
    <dataValidation sqref="C90" showDropDown="0" showInputMessage="0" showErrorMessage="0" allowBlank="1" type="list">
      <formula1>='Properties &amp; Units'!$D$4:$D$38</formula1>
    </dataValidation>
    <dataValidation sqref="D90" showDropDown="0" showInputMessage="0" showErrorMessage="0" allowBlank="1" type="list">
      <formula1>='Tenants &amp; Leases'!$A$4:$A$38</formula1>
    </dataValidation>
    <dataValidation sqref="B91" showDropDown="0" showInputMessage="0" showErrorMessage="0" allowBlank="1" type="list">
      <formula1>='Properties &amp; Units'!$A$4:$A$38</formula1>
    </dataValidation>
    <dataValidation sqref="C91" showDropDown="0" showInputMessage="0" showErrorMessage="0" allowBlank="1" type="list">
      <formula1>='Properties &amp; Units'!$D$4:$D$38</formula1>
    </dataValidation>
    <dataValidation sqref="D91" showDropDown="0" showInputMessage="0" showErrorMessage="0" allowBlank="1" type="list">
      <formula1>='Tenants &amp; Leases'!$A$4:$A$38</formula1>
    </dataValidation>
    <dataValidation sqref="B92" showDropDown="0" showInputMessage="0" showErrorMessage="0" allowBlank="1" type="list">
      <formula1>='Properties &amp; Units'!$A$4:$A$38</formula1>
    </dataValidation>
    <dataValidation sqref="C92" showDropDown="0" showInputMessage="0" showErrorMessage="0" allowBlank="1" type="list">
      <formula1>='Properties &amp; Units'!$D$4:$D$38</formula1>
    </dataValidation>
    <dataValidation sqref="D92" showDropDown="0" showInputMessage="0" showErrorMessage="0" allowBlank="1" type="list">
      <formula1>='Tenants &amp; Leases'!$A$4:$A$38</formula1>
    </dataValidation>
    <dataValidation sqref="B93" showDropDown="0" showInputMessage="0" showErrorMessage="0" allowBlank="1" type="list">
      <formula1>='Properties &amp; Units'!$A$4:$A$38</formula1>
    </dataValidation>
    <dataValidation sqref="C93" showDropDown="0" showInputMessage="0" showErrorMessage="0" allowBlank="1" type="list">
      <formula1>='Properties &amp; Units'!$D$4:$D$38</formula1>
    </dataValidation>
    <dataValidation sqref="D93" showDropDown="0" showInputMessage="0" showErrorMessage="0" allowBlank="1" type="list">
      <formula1>='Tenants &amp; Leases'!$A$4:$A$38</formula1>
    </dataValidation>
    <dataValidation sqref="B94" showDropDown="0" showInputMessage="0" showErrorMessage="0" allowBlank="1" type="list">
      <formula1>='Properties &amp; Units'!$A$4:$A$38</formula1>
    </dataValidation>
    <dataValidation sqref="C94" showDropDown="0" showInputMessage="0" showErrorMessage="0" allowBlank="1" type="list">
      <formula1>='Properties &amp; Units'!$D$4:$D$38</formula1>
    </dataValidation>
    <dataValidation sqref="D94" showDropDown="0" showInputMessage="0" showErrorMessage="0" allowBlank="1" type="list">
      <formula1>='Tenants &amp; Leases'!$A$4:$A$38</formula1>
    </dataValidation>
    <dataValidation sqref="B95" showDropDown="0" showInputMessage="0" showErrorMessage="0" allowBlank="1" type="list">
      <formula1>='Properties &amp; Units'!$A$4:$A$38</formula1>
    </dataValidation>
    <dataValidation sqref="C95" showDropDown="0" showInputMessage="0" showErrorMessage="0" allowBlank="1" type="list">
      <formula1>='Properties &amp; Units'!$D$4:$D$38</formula1>
    </dataValidation>
    <dataValidation sqref="D95" showDropDown="0" showInputMessage="0" showErrorMessage="0" allowBlank="1" type="list">
      <formula1>='Tenants &amp; Leases'!$A$4:$A$38</formula1>
    </dataValidation>
    <dataValidation sqref="B96" showDropDown="0" showInputMessage="0" showErrorMessage="0" allowBlank="1" type="list">
      <formula1>='Properties &amp; Units'!$A$4:$A$38</formula1>
    </dataValidation>
    <dataValidation sqref="C96" showDropDown="0" showInputMessage="0" showErrorMessage="0" allowBlank="1" type="list">
      <formula1>='Properties &amp; Units'!$D$4:$D$38</formula1>
    </dataValidation>
    <dataValidation sqref="D96" showDropDown="0" showInputMessage="0" showErrorMessage="0" allowBlank="1" type="list">
      <formula1>='Tenants &amp; Leases'!$A$4:$A$38</formula1>
    </dataValidation>
    <dataValidation sqref="B97" showDropDown="0" showInputMessage="0" showErrorMessage="0" allowBlank="1" type="list">
      <formula1>='Properties &amp; Units'!$A$4:$A$38</formula1>
    </dataValidation>
    <dataValidation sqref="C97" showDropDown="0" showInputMessage="0" showErrorMessage="0" allowBlank="1" type="list">
      <formula1>='Properties &amp; Units'!$D$4:$D$38</formula1>
    </dataValidation>
    <dataValidation sqref="D97" showDropDown="0" showInputMessage="0" showErrorMessage="0" allowBlank="1" type="list">
      <formula1>='Tenants &amp; Leases'!$A$4:$A$38</formula1>
    </dataValidation>
    <dataValidation sqref="B98" showDropDown="0" showInputMessage="0" showErrorMessage="0" allowBlank="1" type="list">
      <formula1>='Properties &amp; Units'!$A$4:$A$38</formula1>
    </dataValidation>
    <dataValidation sqref="C98" showDropDown="0" showInputMessage="0" showErrorMessage="0" allowBlank="1" type="list">
      <formula1>='Properties &amp; Units'!$D$4:$D$38</formula1>
    </dataValidation>
    <dataValidation sqref="D98" showDropDown="0" showInputMessage="0" showErrorMessage="0" allowBlank="1" type="list">
      <formula1>='Tenants &amp; Leases'!$A$4:$A$38</formula1>
    </dataValidation>
    <dataValidation sqref="B99" showDropDown="0" showInputMessage="0" showErrorMessage="0" allowBlank="1" type="list">
      <formula1>='Properties &amp; Units'!$A$4:$A$38</formula1>
    </dataValidation>
    <dataValidation sqref="C99" showDropDown="0" showInputMessage="0" showErrorMessage="0" allowBlank="1" type="list">
      <formula1>='Properties &amp; Units'!$D$4:$D$38</formula1>
    </dataValidation>
    <dataValidation sqref="D99" showDropDown="0" showInputMessage="0" showErrorMessage="0" allowBlank="1" type="list">
      <formula1>='Tenants &amp; Leases'!$A$4:$A$38</formula1>
    </dataValidation>
    <dataValidation sqref="B100" showDropDown="0" showInputMessage="0" showErrorMessage="0" allowBlank="1" type="list">
      <formula1>='Properties &amp; Units'!$A$4:$A$38</formula1>
    </dataValidation>
    <dataValidation sqref="C100" showDropDown="0" showInputMessage="0" showErrorMessage="0" allowBlank="1" type="list">
      <formula1>='Properties &amp; Units'!$D$4:$D$38</formula1>
    </dataValidation>
    <dataValidation sqref="D100" showDropDown="0" showInputMessage="0" showErrorMessage="0" allowBlank="1" type="list">
      <formula1>='Tenants &amp; Leases'!$A$4:$A$38</formula1>
    </dataValidation>
    <dataValidation sqref="B101" showDropDown="0" showInputMessage="0" showErrorMessage="0" allowBlank="1" type="list">
      <formula1>='Properties &amp; Units'!$A$4:$A$38</formula1>
    </dataValidation>
    <dataValidation sqref="C101" showDropDown="0" showInputMessage="0" showErrorMessage="0" allowBlank="1" type="list">
      <formula1>='Properties &amp; Units'!$D$4:$D$38</formula1>
    </dataValidation>
    <dataValidation sqref="D101" showDropDown="0" showInputMessage="0" showErrorMessage="0" allowBlank="1" type="list">
      <formula1>='Tenants &amp; Leases'!$A$4:$A$38</formula1>
    </dataValidation>
    <dataValidation sqref="B102" showDropDown="0" showInputMessage="0" showErrorMessage="0" allowBlank="1" type="list">
      <formula1>='Properties &amp; Units'!$A$4:$A$38</formula1>
    </dataValidation>
    <dataValidation sqref="C102" showDropDown="0" showInputMessage="0" showErrorMessage="0" allowBlank="1" type="list">
      <formula1>='Properties &amp; Units'!$D$4:$D$38</formula1>
    </dataValidation>
    <dataValidation sqref="D102" showDropDown="0" showInputMessage="0" showErrorMessage="0" allowBlank="1" type="list">
      <formula1>='Tenants &amp; Leases'!$A$4:$A$38</formula1>
    </dataValidation>
    <dataValidation sqref="B103" showDropDown="0" showInputMessage="0" showErrorMessage="0" allowBlank="1" type="list">
      <formula1>='Properties &amp; Units'!$A$4:$A$38</formula1>
    </dataValidation>
    <dataValidation sqref="C103" showDropDown="0" showInputMessage="0" showErrorMessage="0" allowBlank="1" type="list">
      <formula1>='Properties &amp; Units'!$D$4:$D$38</formula1>
    </dataValidation>
    <dataValidation sqref="D103" showDropDown="0" showInputMessage="0" showErrorMessage="0" allowBlank="1" type="list">
      <formula1>='Tenants &amp; Leases'!$A$4:$A$38</formula1>
    </dataValidation>
    <dataValidation sqref="B104" showDropDown="0" showInputMessage="0" showErrorMessage="0" allowBlank="1" type="list">
      <formula1>='Properties &amp; Units'!$A$4:$A$38</formula1>
    </dataValidation>
    <dataValidation sqref="C104" showDropDown="0" showInputMessage="0" showErrorMessage="0" allowBlank="1" type="list">
      <formula1>='Properties &amp; Units'!$D$4:$D$38</formula1>
    </dataValidation>
    <dataValidation sqref="D104" showDropDown="0" showInputMessage="0" showErrorMessage="0" allowBlank="1" type="list">
      <formula1>='Tenants &amp; Leases'!$A$4:$A$38</formula1>
    </dataValidation>
    <dataValidation sqref="B105" showDropDown="0" showInputMessage="0" showErrorMessage="0" allowBlank="1" type="list">
      <formula1>='Properties &amp; Units'!$A$4:$A$38</formula1>
    </dataValidation>
    <dataValidation sqref="C105" showDropDown="0" showInputMessage="0" showErrorMessage="0" allowBlank="1" type="list">
      <formula1>='Properties &amp; Units'!$D$4:$D$38</formula1>
    </dataValidation>
    <dataValidation sqref="D105" showDropDown="0" showInputMessage="0" showErrorMessage="0" allowBlank="1" type="list">
      <formula1>='Tenants &amp; Leases'!$A$4:$A$38</formula1>
    </dataValidation>
    <dataValidation sqref="B106" showDropDown="0" showInputMessage="0" showErrorMessage="0" allowBlank="1" type="list">
      <formula1>='Properties &amp; Units'!$A$4:$A$38</formula1>
    </dataValidation>
    <dataValidation sqref="C106" showDropDown="0" showInputMessage="0" showErrorMessage="0" allowBlank="1" type="list">
      <formula1>='Properties &amp; Units'!$D$4:$D$38</formula1>
    </dataValidation>
    <dataValidation sqref="D106" showDropDown="0" showInputMessage="0" showErrorMessage="0" allowBlank="1" type="list">
      <formula1>='Tenants &amp; Leases'!$A$4:$A$38</formula1>
    </dataValidation>
    <dataValidation sqref="B107" showDropDown="0" showInputMessage="0" showErrorMessage="0" allowBlank="1" type="list">
      <formula1>='Properties &amp; Units'!$A$4:$A$38</formula1>
    </dataValidation>
    <dataValidation sqref="C107" showDropDown="0" showInputMessage="0" showErrorMessage="0" allowBlank="1" type="list">
      <formula1>='Properties &amp; Units'!$D$4:$D$38</formula1>
    </dataValidation>
    <dataValidation sqref="D107" showDropDown="0" showInputMessage="0" showErrorMessage="0" allowBlank="1" type="list">
      <formula1>='Tenants &amp; Leases'!$A$4:$A$38</formula1>
    </dataValidation>
    <dataValidation sqref="B108" showDropDown="0" showInputMessage="0" showErrorMessage="0" allowBlank="1" type="list">
      <formula1>='Properties &amp; Units'!$A$4:$A$38</formula1>
    </dataValidation>
    <dataValidation sqref="C108" showDropDown="0" showInputMessage="0" showErrorMessage="0" allowBlank="1" type="list">
      <formula1>='Properties &amp; Units'!$D$4:$D$38</formula1>
    </dataValidation>
    <dataValidation sqref="D108" showDropDown="0" showInputMessage="0" showErrorMessage="0" allowBlank="1" type="list">
      <formula1>='Tenants &amp; Leases'!$A$4:$A$38</formula1>
    </dataValidation>
    <dataValidation sqref="B109" showDropDown="0" showInputMessage="0" showErrorMessage="0" allowBlank="1" type="list">
      <formula1>='Properties &amp; Units'!$A$4:$A$38</formula1>
    </dataValidation>
    <dataValidation sqref="C109" showDropDown="0" showInputMessage="0" showErrorMessage="0" allowBlank="1" type="list">
      <formula1>='Properties &amp; Units'!$D$4:$D$38</formula1>
    </dataValidation>
    <dataValidation sqref="D109" showDropDown="0" showInputMessage="0" showErrorMessage="0" allowBlank="1" type="list">
      <formula1>='Tenants &amp; Leases'!$A$4:$A$38</formula1>
    </dataValidation>
    <dataValidation sqref="B110" showDropDown="0" showInputMessage="0" showErrorMessage="0" allowBlank="1" type="list">
      <formula1>='Properties &amp; Units'!$A$4:$A$38</formula1>
    </dataValidation>
    <dataValidation sqref="C110" showDropDown="0" showInputMessage="0" showErrorMessage="0" allowBlank="1" type="list">
      <formula1>='Properties &amp; Units'!$D$4:$D$38</formula1>
    </dataValidation>
    <dataValidation sqref="D110" showDropDown="0" showInputMessage="0" showErrorMessage="0" allowBlank="1" type="list">
      <formula1>='Tenants &amp; Leases'!$A$4:$A$38</formula1>
    </dataValidation>
    <dataValidation sqref="B111" showDropDown="0" showInputMessage="0" showErrorMessage="0" allowBlank="1" type="list">
      <formula1>='Properties &amp; Units'!$A$4:$A$38</formula1>
    </dataValidation>
    <dataValidation sqref="C111" showDropDown="0" showInputMessage="0" showErrorMessage="0" allowBlank="1" type="list">
      <formula1>='Properties &amp; Units'!$D$4:$D$38</formula1>
    </dataValidation>
    <dataValidation sqref="D111" showDropDown="0" showInputMessage="0" showErrorMessage="0" allowBlank="1" type="list">
      <formula1>='Tenants &amp; Leases'!$A$4:$A$38</formula1>
    </dataValidation>
    <dataValidation sqref="B112" showDropDown="0" showInputMessage="0" showErrorMessage="0" allowBlank="1" type="list">
      <formula1>='Properties &amp; Units'!$A$4:$A$38</formula1>
    </dataValidation>
    <dataValidation sqref="C112" showDropDown="0" showInputMessage="0" showErrorMessage="0" allowBlank="1" type="list">
      <formula1>='Properties &amp; Units'!$D$4:$D$38</formula1>
    </dataValidation>
    <dataValidation sqref="D112" showDropDown="0" showInputMessage="0" showErrorMessage="0" allowBlank="1" type="list">
      <formula1>='Tenants &amp; Leases'!$A$4:$A$38</formula1>
    </dataValidation>
    <dataValidation sqref="B113" showDropDown="0" showInputMessage="0" showErrorMessage="0" allowBlank="1" type="list">
      <formula1>='Properties &amp; Units'!$A$4:$A$38</formula1>
    </dataValidation>
    <dataValidation sqref="C113" showDropDown="0" showInputMessage="0" showErrorMessage="0" allowBlank="1" type="list">
      <formula1>='Properties &amp; Units'!$D$4:$D$38</formula1>
    </dataValidation>
    <dataValidation sqref="D113" showDropDown="0" showInputMessage="0" showErrorMessage="0" allowBlank="1" type="list">
      <formula1>='Tenants &amp; Leases'!$A$4:$A$38</formula1>
    </dataValidation>
    <dataValidation sqref="B114" showDropDown="0" showInputMessage="0" showErrorMessage="0" allowBlank="1" type="list">
      <formula1>='Properties &amp; Units'!$A$4:$A$38</formula1>
    </dataValidation>
    <dataValidation sqref="C114" showDropDown="0" showInputMessage="0" showErrorMessage="0" allowBlank="1" type="list">
      <formula1>='Properties &amp; Units'!$D$4:$D$38</formula1>
    </dataValidation>
    <dataValidation sqref="D114" showDropDown="0" showInputMessage="0" showErrorMessage="0" allowBlank="1" type="list">
      <formula1>='Tenants &amp; Leases'!$A$4:$A$38</formula1>
    </dataValidation>
    <dataValidation sqref="B115" showDropDown="0" showInputMessage="0" showErrorMessage="0" allowBlank="1" type="list">
      <formula1>='Properties &amp; Units'!$A$4:$A$38</formula1>
    </dataValidation>
    <dataValidation sqref="C115" showDropDown="0" showInputMessage="0" showErrorMessage="0" allowBlank="1" type="list">
      <formula1>='Properties &amp; Units'!$D$4:$D$38</formula1>
    </dataValidation>
    <dataValidation sqref="D115" showDropDown="0" showInputMessage="0" showErrorMessage="0" allowBlank="1" type="list">
      <formula1>='Tenants &amp; Leases'!$A$4:$A$38</formula1>
    </dataValidation>
    <dataValidation sqref="B116" showDropDown="0" showInputMessage="0" showErrorMessage="0" allowBlank="1" type="list">
      <formula1>='Properties &amp; Units'!$A$4:$A$38</formula1>
    </dataValidation>
    <dataValidation sqref="C116" showDropDown="0" showInputMessage="0" showErrorMessage="0" allowBlank="1" type="list">
      <formula1>='Properties &amp; Units'!$D$4:$D$38</formula1>
    </dataValidation>
    <dataValidation sqref="D116" showDropDown="0" showInputMessage="0" showErrorMessage="0" allowBlank="1" type="list">
      <formula1>='Tenants &amp; Leases'!$A$4:$A$38</formula1>
    </dataValidation>
    <dataValidation sqref="B117" showDropDown="0" showInputMessage="0" showErrorMessage="0" allowBlank="1" type="list">
      <formula1>='Properties &amp; Units'!$A$4:$A$38</formula1>
    </dataValidation>
    <dataValidation sqref="C117" showDropDown="0" showInputMessage="0" showErrorMessage="0" allowBlank="1" type="list">
      <formula1>='Properties &amp; Units'!$D$4:$D$38</formula1>
    </dataValidation>
    <dataValidation sqref="D117" showDropDown="0" showInputMessage="0" showErrorMessage="0" allowBlank="1" type="list">
      <formula1>='Tenants &amp; Leases'!$A$4:$A$38</formula1>
    </dataValidation>
    <dataValidation sqref="B118" showDropDown="0" showInputMessage="0" showErrorMessage="0" allowBlank="1" type="list">
      <formula1>='Properties &amp; Units'!$A$4:$A$38</formula1>
    </dataValidation>
    <dataValidation sqref="C118" showDropDown="0" showInputMessage="0" showErrorMessage="0" allowBlank="1" type="list">
      <formula1>='Properties &amp; Units'!$D$4:$D$38</formula1>
    </dataValidation>
    <dataValidation sqref="D118" showDropDown="0" showInputMessage="0" showErrorMessage="0" allowBlank="1" type="list">
      <formula1>='Tenants &amp; Leases'!$A$4:$A$38</formula1>
    </dataValidation>
    <dataValidation sqref="B119" showDropDown="0" showInputMessage="0" showErrorMessage="0" allowBlank="1" type="list">
      <formula1>='Properties &amp; Units'!$A$4:$A$38</formula1>
    </dataValidation>
    <dataValidation sqref="C119" showDropDown="0" showInputMessage="0" showErrorMessage="0" allowBlank="1" type="list">
      <formula1>='Properties &amp; Units'!$D$4:$D$38</formula1>
    </dataValidation>
    <dataValidation sqref="D119" showDropDown="0" showInputMessage="0" showErrorMessage="0" allowBlank="1" type="list">
      <formula1>='Tenants &amp; Leases'!$A$4:$A$38</formula1>
    </dataValidation>
    <dataValidation sqref="B120" showDropDown="0" showInputMessage="0" showErrorMessage="0" allowBlank="1" type="list">
      <formula1>='Properties &amp; Units'!$A$4:$A$38</formula1>
    </dataValidation>
    <dataValidation sqref="C120" showDropDown="0" showInputMessage="0" showErrorMessage="0" allowBlank="1" type="list">
      <formula1>='Properties &amp; Units'!$D$4:$D$38</formula1>
    </dataValidation>
    <dataValidation sqref="D120" showDropDown="0" showInputMessage="0" showErrorMessage="0" allowBlank="1" type="list">
      <formula1>='Tenants &amp; Leases'!$A$4:$A$38</formula1>
    </dataValidation>
    <dataValidation sqref="B121" showDropDown="0" showInputMessage="0" showErrorMessage="0" allowBlank="1" type="list">
      <formula1>='Properties &amp; Units'!$A$4:$A$38</formula1>
    </dataValidation>
    <dataValidation sqref="C121" showDropDown="0" showInputMessage="0" showErrorMessage="0" allowBlank="1" type="list">
      <formula1>='Properties &amp; Units'!$D$4:$D$38</formula1>
    </dataValidation>
    <dataValidation sqref="D121" showDropDown="0" showInputMessage="0" showErrorMessage="0" allowBlank="1" type="list">
      <formula1>='Tenants &amp; Leases'!$A$4:$A$38</formula1>
    </dataValidation>
    <dataValidation sqref="B122" showDropDown="0" showInputMessage="0" showErrorMessage="0" allowBlank="1" type="list">
      <formula1>='Properties &amp; Units'!$A$4:$A$38</formula1>
    </dataValidation>
    <dataValidation sqref="C122" showDropDown="0" showInputMessage="0" showErrorMessage="0" allowBlank="1" type="list">
      <formula1>='Properties &amp; Units'!$D$4:$D$38</formula1>
    </dataValidation>
    <dataValidation sqref="D122" showDropDown="0" showInputMessage="0" showErrorMessage="0" allowBlank="1" type="list">
      <formula1>='Tenants &amp; Leases'!$A$4:$A$38</formula1>
    </dataValidation>
    <dataValidation sqref="B123" showDropDown="0" showInputMessage="0" showErrorMessage="0" allowBlank="1" type="list">
      <formula1>='Properties &amp; Units'!$A$4:$A$38</formula1>
    </dataValidation>
    <dataValidation sqref="C123" showDropDown="0" showInputMessage="0" showErrorMessage="0" allowBlank="1" type="list">
      <formula1>='Properties &amp; Units'!$D$4:$D$38</formula1>
    </dataValidation>
    <dataValidation sqref="D123" showDropDown="0" showInputMessage="0" showErrorMessage="0" allowBlank="1" type="list">
      <formula1>='Tenants &amp; Leases'!$A$4:$A$38</formula1>
    </dataValidation>
    <dataValidation sqref="B124" showDropDown="0" showInputMessage="0" showErrorMessage="0" allowBlank="1" type="list">
      <formula1>='Properties &amp; Units'!$A$4:$A$38</formula1>
    </dataValidation>
    <dataValidation sqref="C124" showDropDown="0" showInputMessage="0" showErrorMessage="0" allowBlank="1" type="list">
      <formula1>='Properties &amp; Units'!$D$4:$D$38</formula1>
    </dataValidation>
    <dataValidation sqref="D124" showDropDown="0" showInputMessage="0" showErrorMessage="0" allowBlank="1" type="list">
      <formula1>='Tenants &amp; Leases'!$A$4:$A$38</formula1>
    </dataValidation>
    <dataValidation sqref="B125" showDropDown="0" showInputMessage="0" showErrorMessage="0" allowBlank="1" type="list">
      <formula1>='Properties &amp; Units'!$A$4:$A$38</formula1>
    </dataValidation>
    <dataValidation sqref="C125" showDropDown="0" showInputMessage="0" showErrorMessage="0" allowBlank="1" type="list">
      <formula1>='Properties &amp; Units'!$D$4:$D$38</formula1>
    </dataValidation>
    <dataValidation sqref="D125" showDropDown="0" showInputMessage="0" showErrorMessage="0" allowBlank="1" type="list">
      <formula1>='Tenants &amp; Leases'!$A$4:$A$38</formula1>
    </dataValidation>
    <dataValidation sqref="B126" showDropDown="0" showInputMessage="0" showErrorMessage="0" allowBlank="1" type="list">
      <formula1>='Properties &amp; Units'!$A$4:$A$38</formula1>
    </dataValidation>
    <dataValidation sqref="C126" showDropDown="0" showInputMessage="0" showErrorMessage="0" allowBlank="1" type="list">
      <formula1>='Properties &amp; Units'!$D$4:$D$38</formula1>
    </dataValidation>
    <dataValidation sqref="D126" showDropDown="0" showInputMessage="0" showErrorMessage="0" allowBlank="1" type="list">
      <formula1>='Tenants &amp; Leases'!$A$4:$A$38</formula1>
    </dataValidation>
    <dataValidation sqref="B127" showDropDown="0" showInputMessage="0" showErrorMessage="0" allowBlank="1" type="list">
      <formula1>='Properties &amp; Units'!$A$4:$A$38</formula1>
    </dataValidation>
    <dataValidation sqref="C127" showDropDown="0" showInputMessage="0" showErrorMessage="0" allowBlank="1" type="list">
      <formula1>='Properties &amp; Units'!$D$4:$D$38</formula1>
    </dataValidation>
    <dataValidation sqref="D127" showDropDown="0" showInputMessage="0" showErrorMessage="0" allowBlank="1" type="list">
      <formula1>='Tenants &amp; Leases'!$A$4:$A$38</formula1>
    </dataValidation>
    <dataValidation sqref="B128" showDropDown="0" showInputMessage="0" showErrorMessage="0" allowBlank="1" type="list">
      <formula1>='Properties &amp; Units'!$A$4:$A$38</formula1>
    </dataValidation>
    <dataValidation sqref="C128" showDropDown="0" showInputMessage="0" showErrorMessage="0" allowBlank="1" type="list">
      <formula1>='Properties &amp; Units'!$D$4:$D$38</formula1>
    </dataValidation>
    <dataValidation sqref="D128" showDropDown="0" showInputMessage="0" showErrorMessage="0" allowBlank="1" type="list">
      <formula1>='Tenants &amp; Leases'!$A$4:$A$38</formula1>
    </dataValidation>
    <dataValidation sqref="B129" showDropDown="0" showInputMessage="0" showErrorMessage="0" allowBlank="1" type="list">
      <formula1>='Properties &amp; Units'!$A$4:$A$38</formula1>
    </dataValidation>
    <dataValidation sqref="C129" showDropDown="0" showInputMessage="0" showErrorMessage="0" allowBlank="1" type="list">
      <formula1>='Properties &amp; Units'!$D$4:$D$38</formula1>
    </dataValidation>
    <dataValidation sqref="D129" showDropDown="0" showInputMessage="0" showErrorMessage="0" allowBlank="1" type="list">
      <formula1>='Tenants &amp; Leases'!$A$4:$A$38</formula1>
    </dataValidation>
    <dataValidation sqref="B130" showDropDown="0" showInputMessage="0" showErrorMessage="0" allowBlank="1" type="list">
      <formula1>='Properties &amp; Units'!$A$4:$A$38</formula1>
    </dataValidation>
    <dataValidation sqref="C130" showDropDown="0" showInputMessage="0" showErrorMessage="0" allowBlank="1" type="list">
      <formula1>='Properties &amp; Units'!$D$4:$D$38</formula1>
    </dataValidation>
    <dataValidation sqref="D130" showDropDown="0" showInputMessage="0" showErrorMessage="0" allowBlank="1" type="list">
      <formula1>='Tenants &amp; Leases'!$A$4:$A$38</formula1>
    </dataValidation>
    <dataValidation sqref="B131" showDropDown="0" showInputMessage="0" showErrorMessage="0" allowBlank="1" type="list">
      <formula1>='Properties &amp; Units'!$A$4:$A$38</formula1>
    </dataValidation>
    <dataValidation sqref="C131" showDropDown="0" showInputMessage="0" showErrorMessage="0" allowBlank="1" type="list">
      <formula1>='Properties &amp; Units'!$D$4:$D$38</formula1>
    </dataValidation>
    <dataValidation sqref="D131" showDropDown="0" showInputMessage="0" showErrorMessage="0" allowBlank="1" type="list">
      <formula1>='Tenants &amp; Leases'!$A$4:$A$38</formula1>
    </dataValidation>
    <dataValidation sqref="B132" showDropDown="0" showInputMessage="0" showErrorMessage="0" allowBlank="1" type="list">
      <formula1>='Properties &amp; Units'!$A$4:$A$38</formula1>
    </dataValidation>
    <dataValidation sqref="C132" showDropDown="0" showInputMessage="0" showErrorMessage="0" allowBlank="1" type="list">
      <formula1>='Properties &amp; Units'!$D$4:$D$38</formula1>
    </dataValidation>
    <dataValidation sqref="D132" showDropDown="0" showInputMessage="0" showErrorMessage="0" allowBlank="1" type="list">
      <formula1>='Tenants &amp; Leases'!$A$4:$A$38</formula1>
    </dataValidation>
    <dataValidation sqref="B133" showDropDown="0" showInputMessage="0" showErrorMessage="0" allowBlank="1" type="list">
      <formula1>='Properties &amp; Units'!$A$4:$A$38</formula1>
    </dataValidation>
    <dataValidation sqref="C133" showDropDown="0" showInputMessage="0" showErrorMessage="0" allowBlank="1" type="list">
      <formula1>='Properties &amp; Units'!$D$4:$D$38</formula1>
    </dataValidation>
    <dataValidation sqref="D133" showDropDown="0" showInputMessage="0" showErrorMessage="0" allowBlank="1" type="list">
      <formula1>='Tenants &amp; Leases'!$A$4:$A$38</formula1>
    </dataValidation>
    <dataValidation sqref="B134" showDropDown="0" showInputMessage="0" showErrorMessage="0" allowBlank="1" type="list">
      <formula1>='Properties &amp; Units'!$A$4:$A$38</formula1>
    </dataValidation>
    <dataValidation sqref="C134" showDropDown="0" showInputMessage="0" showErrorMessage="0" allowBlank="1" type="list">
      <formula1>='Properties &amp; Units'!$D$4:$D$38</formula1>
    </dataValidation>
    <dataValidation sqref="D134" showDropDown="0" showInputMessage="0" showErrorMessage="0" allowBlank="1" type="list">
      <formula1>='Tenants &amp; Leases'!$A$4:$A$38</formula1>
    </dataValidation>
    <dataValidation sqref="B135" showDropDown="0" showInputMessage="0" showErrorMessage="0" allowBlank="1" type="list">
      <formula1>='Properties &amp; Units'!$A$4:$A$38</formula1>
    </dataValidation>
    <dataValidation sqref="C135" showDropDown="0" showInputMessage="0" showErrorMessage="0" allowBlank="1" type="list">
      <formula1>='Properties &amp; Units'!$D$4:$D$38</formula1>
    </dataValidation>
    <dataValidation sqref="D135" showDropDown="0" showInputMessage="0" showErrorMessage="0" allowBlank="1" type="list">
      <formula1>='Tenants &amp; Leases'!$A$4:$A$38</formula1>
    </dataValidation>
    <dataValidation sqref="B136" showDropDown="0" showInputMessage="0" showErrorMessage="0" allowBlank="1" type="list">
      <formula1>='Properties &amp; Units'!$A$4:$A$38</formula1>
    </dataValidation>
    <dataValidation sqref="C136" showDropDown="0" showInputMessage="0" showErrorMessage="0" allowBlank="1" type="list">
      <formula1>='Properties &amp; Units'!$D$4:$D$38</formula1>
    </dataValidation>
    <dataValidation sqref="D136" showDropDown="0" showInputMessage="0" showErrorMessage="0" allowBlank="1" type="list">
      <formula1>='Tenants &amp; Leases'!$A$4:$A$38</formula1>
    </dataValidation>
    <dataValidation sqref="B137" showDropDown="0" showInputMessage="0" showErrorMessage="0" allowBlank="1" type="list">
      <formula1>='Properties &amp; Units'!$A$4:$A$38</formula1>
    </dataValidation>
    <dataValidation sqref="C137" showDropDown="0" showInputMessage="0" showErrorMessage="0" allowBlank="1" type="list">
      <formula1>='Properties &amp; Units'!$D$4:$D$38</formula1>
    </dataValidation>
    <dataValidation sqref="D137" showDropDown="0" showInputMessage="0" showErrorMessage="0" allowBlank="1" type="list">
      <formula1>='Tenants &amp; Leases'!$A$4:$A$38</formula1>
    </dataValidation>
    <dataValidation sqref="B138" showDropDown="0" showInputMessage="0" showErrorMessage="0" allowBlank="1" type="list">
      <formula1>='Properties &amp; Units'!$A$4:$A$38</formula1>
    </dataValidation>
    <dataValidation sqref="C138" showDropDown="0" showInputMessage="0" showErrorMessage="0" allowBlank="1" type="list">
      <formula1>='Properties &amp; Units'!$D$4:$D$38</formula1>
    </dataValidation>
    <dataValidation sqref="D138" showDropDown="0" showInputMessage="0" showErrorMessage="0" allowBlank="1" type="list">
      <formula1>='Tenants &amp; Leases'!$A$4:$A$38</formula1>
    </dataValidation>
    <dataValidation sqref="B139" showDropDown="0" showInputMessage="0" showErrorMessage="0" allowBlank="1" type="list">
      <formula1>='Properties &amp; Units'!$A$4:$A$38</formula1>
    </dataValidation>
    <dataValidation sqref="C139" showDropDown="0" showInputMessage="0" showErrorMessage="0" allowBlank="1" type="list">
      <formula1>='Properties &amp; Units'!$D$4:$D$38</formula1>
    </dataValidation>
    <dataValidation sqref="D139" showDropDown="0" showInputMessage="0" showErrorMessage="0" allowBlank="1" type="list">
      <formula1>='Tenants &amp; Leases'!$A$4:$A$38</formula1>
    </dataValidation>
    <dataValidation sqref="B140" showDropDown="0" showInputMessage="0" showErrorMessage="0" allowBlank="1" type="list">
      <formula1>='Properties &amp; Units'!$A$4:$A$38</formula1>
    </dataValidation>
    <dataValidation sqref="C140" showDropDown="0" showInputMessage="0" showErrorMessage="0" allowBlank="1" type="list">
      <formula1>='Properties &amp; Units'!$D$4:$D$38</formula1>
    </dataValidation>
    <dataValidation sqref="D140" showDropDown="0" showInputMessage="0" showErrorMessage="0" allowBlank="1" type="list">
      <formula1>='Tenants &amp; Leases'!$A$4:$A$38</formula1>
    </dataValidation>
    <dataValidation sqref="B141" showDropDown="0" showInputMessage="0" showErrorMessage="0" allowBlank="1" type="list">
      <formula1>='Properties &amp; Units'!$A$4:$A$38</formula1>
    </dataValidation>
    <dataValidation sqref="C141" showDropDown="0" showInputMessage="0" showErrorMessage="0" allowBlank="1" type="list">
      <formula1>='Properties &amp; Units'!$D$4:$D$38</formula1>
    </dataValidation>
    <dataValidation sqref="D141" showDropDown="0" showInputMessage="0" showErrorMessage="0" allowBlank="1" type="list">
      <formula1>='Tenants &amp; Leases'!$A$4:$A$38</formula1>
    </dataValidation>
    <dataValidation sqref="B142" showDropDown="0" showInputMessage="0" showErrorMessage="0" allowBlank="1" type="list">
      <formula1>='Properties &amp; Units'!$A$4:$A$38</formula1>
    </dataValidation>
    <dataValidation sqref="C142" showDropDown="0" showInputMessage="0" showErrorMessage="0" allowBlank="1" type="list">
      <formula1>='Properties &amp; Units'!$D$4:$D$38</formula1>
    </dataValidation>
    <dataValidation sqref="D142" showDropDown="0" showInputMessage="0" showErrorMessage="0" allowBlank="1" type="list">
      <formula1>='Tenants &amp; Leases'!$A$4:$A$38</formula1>
    </dataValidation>
    <dataValidation sqref="B143" showDropDown="0" showInputMessage="0" showErrorMessage="0" allowBlank="1" type="list">
      <formula1>='Properties &amp; Units'!$A$4:$A$38</formula1>
    </dataValidation>
    <dataValidation sqref="C143" showDropDown="0" showInputMessage="0" showErrorMessage="0" allowBlank="1" type="list">
      <formula1>='Properties &amp; Units'!$D$4:$D$38</formula1>
    </dataValidation>
    <dataValidation sqref="D143" showDropDown="0" showInputMessage="0" showErrorMessage="0" allowBlank="1" type="list">
      <formula1>='Tenants &amp; Leases'!$A$4:$A$38</formula1>
    </dataValidation>
    <dataValidation sqref="B144" showDropDown="0" showInputMessage="0" showErrorMessage="0" allowBlank="1" type="list">
      <formula1>='Properties &amp; Units'!$A$4:$A$38</formula1>
    </dataValidation>
    <dataValidation sqref="C144" showDropDown="0" showInputMessage="0" showErrorMessage="0" allowBlank="1" type="list">
      <formula1>='Properties &amp; Units'!$D$4:$D$38</formula1>
    </dataValidation>
    <dataValidation sqref="D144" showDropDown="0" showInputMessage="0" showErrorMessage="0" allowBlank="1" type="list">
      <formula1>='Tenants &amp; Leases'!$A$4:$A$38</formula1>
    </dataValidation>
    <dataValidation sqref="B145" showDropDown="0" showInputMessage="0" showErrorMessage="0" allowBlank="1" type="list">
      <formula1>='Properties &amp; Units'!$A$4:$A$38</formula1>
    </dataValidation>
    <dataValidation sqref="C145" showDropDown="0" showInputMessage="0" showErrorMessage="0" allowBlank="1" type="list">
      <formula1>='Properties &amp; Units'!$D$4:$D$38</formula1>
    </dataValidation>
    <dataValidation sqref="D145" showDropDown="0" showInputMessage="0" showErrorMessage="0" allowBlank="1" type="list">
      <formula1>='Tenants &amp; Leases'!$A$4:$A$38</formula1>
    </dataValidation>
    <dataValidation sqref="B146" showDropDown="0" showInputMessage="0" showErrorMessage="0" allowBlank="1" type="list">
      <formula1>='Properties &amp; Units'!$A$4:$A$38</formula1>
    </dataValidation>
    <dataValidation sqref="C146" showDropDown="0" showInputMessage="0" showErrorMessage="0" allowBlank="1" type="list">
      <formula1>='Properties &amp; Units'!$D$4:$D$38</formula1>
    </dataValidation>
    <dataValidation sqref="D146" showDropDown="0" showInputMessage="0" showErrorMessage="0" allowBlank="1" type="list">
      <formula1>='Tenants &amp; Leases'!$A$4:$A$38</formula1>
    </dataValidation>
    <dataValidation sqref="B147" showDropDown="0" showInputMessage="0" showErrorMessage="0" allowBlank="1" type="list">
      <formula1>='Properties &amp; Units'!$A$4:$A$38</formula1>
    </dataValidation>
    <dataValidation sqref="C147" showDropDown="0" showInputMessage="0" showErrorMessage="0" allowBlank="1" type="list">
      <formula1>='Properties &amp; Units'!$D$4:$D$38</formula1>
    </dataValidation>
    <dataValidation sqref="D147" showDropDown="0" showInputMessage="0" showErrorMessage="0" allowBlank="1" type="list">
      <formula1>='Tenants &amp; Leases'!$A$4:$A$38</formula1>
    </dataValidation>
    <dataValidation sqref="B148" showDropDown="0" showInputMessage="0" showErrorMessage="0" allowBlank="1" type="list">
      <formula1>='Properties &amp; Units'!$A$4:$A$38</formula1>
    </dataValidation>
    <dataValidation sqref="C148" showDropDown="0" showInputMessage="0" showErrorMessage="0" allowBlank="1" type="list">
      <formula1>='Properties &amp; Units'!$D$4:$D$38</formula1>
    </dataValidation>
    <dataValidation sqref="D148" showDropDown="0" showInputMessage="0" showErrorMessage="0" allowBlank="1" type="list">
      <formula1>='Tenants &amp; Leases'!$A$4:$A$38</formula1>
    </dataValidation>
    <dataValidation sqref="B149" showDropDown="0" showInputMessage="0" showErrorMessage="0" allowBlank="1" type="list">
      <formula1>='Properties &amp; Units'!$A$4:$A$38</formula1>
    </dataValidation>
    <dataValidation sqref="C149" showDropDown="0" showInputMessage="0" showErrorMessage="0" allowBlank="1" type="list">
      <formula1>='Properties &amp; Units'!$D$4:$D$38</formula1>
    </dataValidation>
    <dataValidation sqref="D149" showDropDown="0" showInputMessage="0" showErrorMessage="0" allowBlank="1" type="list">
      <formula1>='Tenants &amp; Leases'!$A$4:$A$38</formula1>
    </dataValidation>
    <dataValidation sqref="B150" showDropDown="0" showInputMessage="0" showErrorMessage="0" allowBlank="1" type="list">
      <formula1>='Properties &amp; Units'!$A$4:$A$38</formula1>
    </dataValidation>
    <dataValidation sqref="C150" showDropDown="0" showInputMessage="0" showErrorMessage="0" allowBlank="1" type="list">
      <formula1>='Properties &amp; Units'!$D$4:$D$38</formula1>
    </dataValidation>
    <dataValidation sqref="D150" showDropDown="0" showInputMessage="0" showErrorMessage="0" allowBlank="1" type="list">
      <formula1>='Tenants &amp; Leases'!$A$4:$A$38</formula1>
    </dataValidation>
    <dataValidation sqref="B151" showDropDown="0" showInputMessage="0" showErrorMessage="0" allowBlank="1" type="list">
      <formula1>='Properties &amp; Units'!$A$4:$A$38</formula1>
    </dataValidation>
    <dataValidation sqref="C151" showDropDown="0" showInputMessage="0" showErrorMessage="0" allowBlank="1" type="list">
      <formula1>='Properties &amp; Units'!$D$4:$D$38</formula1>
    </dataValidation>
    <dataValidation sqref="D151" showDropDown="0" showInputMessage="0" showErrorMessage="0" allowBlank="1" type="list">
      <formula1>='Tenants &amp; Leases'!$A$4:$A$38</formula1>
    </dataValidation>
    <dataValidation sqref="B152" showDropDown="0" showInputMessage="0" showErrorMessage="0" allowBlank="1" type="list">
      <formula1>='Properties &amp; Units'!$A$4:$A$38</formula1>
    </dataValidation>
    <dataValidation sqref="C152" showDropDown="0" showInputMessage="0" showErrorMessage="0" allowBlank="1" type="list">
      <formula1>='Properties &amp; Units'!$D$4:$D$38</formula1>
    </dataValidation>
    <dataValidation sqref="D152" showDropDown="0" showInputMessage="0" showErrorMessage="0" allowBlank="1" type="list">
      <formula1>='Tenants &amp; Leases'!$A$4:$A$38</formula1>
    </dataValidation>
    <dataValidation sqref="B153" showDropDown="0" showInputMessage="0" showErrorMessage="0" allowBlank="1" type="list">
      <formula1>='Properties &amp; Units'!$A$4:$A$38</formula1>
    </dataValidation>
    <dataValidation sqref="C153" showDropDown="0" showInputMessage="0" showErrorMessage="0" allowBlank="1" type="list">
      <formula1>='Properties &amp; Units'!$D$4:$D$38</formula1>
    </dataValidation>
    <dataValidation sqref="D153" showDropDown="0" showInputMessage="0" showErrorMessage="0" allowBlank="1" type="list">
      <formula1>='Tenants &amp; Leases'!$A$4:$A$38</formula1>
    </dataValidation>
    <dataValidation sqref="B154" showDropDown="0" showInputMessage="0" showErrorMessage="0" allowBlank="1" type="list">
      <formula1>='Properties &amp; Units'!$A$4:$A$38</formula1>
    </dataValidation>
    <dataValidation sqref="C154" showDropDown="0" showInputMessage="0" showErrorMessage="0" allowBlank="1" type="list">
      <formula1>='Properties &amp; Units'!$D$4:$D$38</formula1>
    </dataValidation>
    <dataValidation sqref="D154" showDropDown="0" showInputMessage="0" showErrorMessage="0" allowBlank="1" type="list">
      <formula1>='Tenants &amp; Leases'!$A$4:$A$38</formula1>
    </dataValidation>
    <dataValidation sqref="B155" showDropDown="0" showInputMessage="0" showErrorMessage="0" allowBlank="1" type="list">
      <formula1>='Properties &amp; Units'!$A$4:$A$38</formula1>
    </dataValidation>
    <dataValidation sqref="C155" showDropDown="0" showInputMessage="0" showErrorMessage="0" allowBlank="1" type="list">
      <formula1>='Properties &amp; Units'!$D$4:$D$38</formula1>
    </dataValidation>
    <dataValidation sqref="D155" showDropDown="0" showInputMessage="0" showErrorMessage="0" allowBlank="1" type="list">
      <formula1>='Tenants &amp; Leases'!$A$4:$A$38</formula1>
    </dataValidation>
    <dataValidation sqref="B156" showDropDown="0" showInputMessage="0" showErrorMessage="0" allowBlank="1" type="list">
      <formula1>='Properties &amp; Units'!$A$4:$A$38</formula1>
    </dataValidation>
    <dataValidation sqref="C156" showDropDown="0" showInputMessage="0" showErrorMessage="0" allowBlank="1" type="list">
      <formula1>='Properties &amp; Units'!$D$4:$D$38</formula1>
    </dataValidation>
    <dataValidation sqref="D156" showDropDown="0" showInputMessage="0" showErrorMessage="0" allowBlank="1" type="list">
      <formula1>='Tenants &amp; Leases'!$A$4:$A$38</formula1>
    </dataValidation>
    <dataValidation sqref="B157" showDropDown="0" showInputMessage="0" showErrorMessage="0" allowBlank="1" type="list">
      <formula1>='Properties &amp; Units'!$A$4:$A$38</formula1>
    </dataValidation>
    <dataValidation sqref="C157" showDropDown="0" showInputMessage="0" showErrorMessage="0" allowBlank="1" type="list">
      <formula1>='Properties &amp; Units'!$D$4:$D$38</formula1>
    </dataValidation>
    <dataValidation sqref="D157" showDropDown="0" showInputMessage="0" showErrorMessage="0" allowBlank="1" type="list">
      <formula1>='Tenants &amp; Leases'!$A$4:$A$38</formula1>
    </dataValidation>
    <dataValidation sqref="B158" showDropDown="0" showInputMessage="0" showErrorMessage="0" allowBlank="1" type="list">
      <formula1>='Properties &amp; Units'!$A$4:$A$38</formula1>
    </dataValidation>
    <dataValidation sqref="C158" showDropDown="0" showInputMessage="0" showErrorMessage="0" allowBlank="1" type="list">
      <formula1>='Properties &amp; Units'!$D$4:$D$38</formula1>
    </dataValidation>
    <dataValidation sqref="D158" showDropDown="0" showInputMessage="0" showErrorMessage="0" allowBlank="1" type="list">
      <formula1>='Tenants &amp; Leases'!$A$4:$A$38</formula1>
    </dataValidation>
    <dataValidation sqref="B159" showDropDown="0" showInputMessage="0" showErrorMessage="0" allowBlank="1" type="list">
      <formula1>='Properties &amp; Units'!$A$4:$A$38</formula1>
    </dataValidation>
    <dataValidation sqref="C159" showDropDown="0" showInputMessage="0" showErrorMessage="0" allowBlank="1" type="list">
      <formula1>='Properties &amp; Units'!$D$4:$D$38</formula1>
    </dataValidation>
    <dataValidation sqref="D159" showDropDown="0" showInputMessage="0" showErrorMessage="0" allowBlank="1" type="list">
      <formula1>='Tenants &amp; Leases'!$A$4:$A$38</formula1>
    </dataValidation>
    <dataValidation sqref="B160" showDropDown="0" showInputMessage="0" showErrorMessage="0" allowBlank="1" type="list">
      <formula1>='Properties &amp; Units'!$A$4:$A$38</formula1>
    </dataValidation>
    <dataValidation sqref="C160" showDropDown="0" showInputMessage="0" showErrorMessage="0" allowBlank="1" type="list">
      <formula1>='Properties &amp; Units'!$D$4:$D$38</formula1>
    </dataValidation>
    <dataValidation sqref="D160" showDropDown="0" showInputMessage="0" showErrorMessage="0" allowBlank="1" type="list">
      <formula1>='Tenants &amp; Leases'!$A$4:$A$38</formula1>
    </dataValidation>
    <dataValidation sqref="B161" showDropDown="0" showInputMessage="0" showErrorMessage="0" allowBlank="1" type="list">
      <formula1>='Properties &amp; Units'!$A$4:$A$38</formula1>
    </dataValidation>
    <dataValidation sqref="C161" showDropDown="0" showInputMessage="0" showErrorMessage="0" allowBlank="1" type="list">
      <formula1>='Properties &amp; Units'!$D$4:$D$38</formula1>
    </dataValidation>
    <dataValidation sqref="D161" showDropDown="0" showInputMessage="0" showErrorMessage="0" allowBlank="1" type="list">
      <formula1>='Tenants &amp; Leases'!$A$4:$A$38</formula1>
    </dataValidation>
    <dataValidation sqref="B162" showDropDown="0" showInputMessage="0" showErrorMessage="0" allowBlank="1" type="list">
      <formula1>='Properties &amp; Units'!$A$4:$A$38</formula1>
    </dataValidation>
    <dataValidation sqref="C162" showDropDown="0" showInputMessage="0" showErrorMessage="0" allowBlank="1" type="list">
      <formula1>='Properties &amp; Units'!$D$4:$D$38</formula1>
    </dataValidation>
    <dataValidation sqref="D162" showDropDown="0" showInputMessage="0" showErrorMessage="0" allowBlank="1" type="list">
      <formula1>='Tenants &amp; Leases'!$A$4:$A$38</formula1>
    </dataValidation>
    <dataValidation sqref="B163" showDropDown="0" showInputMessage="0" showErrorMessage="0" allowBlank="1" type="list">
      <formula1>='Properties &amp; Units'!$A$4:$A$38</formula1>
    </dataValidation>
    <dataValidation sqref="C163" showDropDown="0" showInputMessage="0" showErrorMessage="0" allowBlank="1" type="list">
      <formula1>='Properties &amp; Units'!$D$4:$D$38</formula1>
    </dataValidation>
    <dataValidation sqref="D163" showDropDown="0" showInputMessage="0" showErrorMessage="0" allowBlank="1" type="list">
      <formula1>='Tenants &amp; Leases'!$A$4:$A$38</formula1>
    </dataValidation>
    <dataValidation sqref="B164" showDropDown="0" showInputMessage="0" showErrorMessage="0" allowBlank="1" type="list">
      <formula1>='Properties &amp; Units'!$A$4:$A$38</formula1>
    </dataValidation>
    <dataValidation sqref="C164" showDropDown="0" showInputMessage="0" showErrorMessage="0" allowBlank="1" type="list">
      <formula1>='Properties &amp; Units'!$D$4:$D$38</formula1>
    </dataValidation>
    <dataValidation sqref="D164" showDropDown="0" showInputMessage="0" showErrorMessage="0" allowBlank="1" type="list">
      <formula1>='Tenants &amp; Leases'!$A$4:$A$38</formula1>
    </dataValidation>
    <dataValidation sqref="B165" showDropDown="0" showInputMessage="0" showErrorMessage="0" allowBlank="1" type="list">
      <formula1>='Properties &amp; Units'!$A$4:$A$38</formula1>
    </dataValidation>
    <dataValidation sqref="C165" showDropDown="0" showInputMessage="0" showErrorMessage="0" allowBlank="1" type="list">
      <formula1>='Properties &amp; Units'!$D$4:$D$38</formula1>
    </dataValidation>
    <dataValidation sqref="D165" showDropDown="0" showInputMessage="0" showErrorMessage="0" allowBlank="1" type="list">
      <formula1>='Tenants &amp; Leases'!$A$4:$A$38</formula1>
    </dataValidation>
    <dataValidation sqref="B166" showDropDown="0" showInputMessage="0" showErrorMessage="0" allowBlank="1" type="list">
      <formula1>='Properties &amp; Units'!$A$4:$A$38</formula1>
    </dataValidation>
    <dataValidation sqref="C166" showDropDown="0" showInputMessage="0" showErrorMessage="0" allowBlank="1" type="list">
      <formula1>='Properties &amp; Units'!$D$4:$D$38</formula1>
    </dataValidation>
    <dataValidation sqref="D166" showDropDown="0" showInputMessage="0" showErrorMessage="0" allowBlank="1" type="list">
      <formula1>='Tenants &amp; Leases'!$A$4:$A$38</formula1>
    </dataValidation>
    <dataValidation sqref="B167" showDropDown="0" showInputMessage="0" showErrorMessage="0" allowBlank="1" type="list">
      <formula1>='Properties &amp; Units'!$A$4:$A$38</formula1>
    </dataValidation>
    <dataValidation sqref="C167" showDropDown="0" showInputMessage="0" showErrorMessage="0" allowBlank="1" type="list">
      <formula1>='Properties &amp; Units'!$D$4:$D$38</formula1>
    </dataValidation>
    <dataValidation sqref="D167" showDropDown="0" showInputMessage="0" showErrorMessage="0" allowBlank="1" type="list">
      <formula1>='Tenants &amp; Leases'!$A$4:$A$38</formula1>
    </dataValidation>
    <dataValidation sqref="B168" showDropDown="0" showInputMessage="0" showErrorMessage="0" allowBlank="1" type="list">
      <formula1>='Properties &amp; Units'!$A$4:$A$38</formula1>
    </dataValidation>
    <dataValidation sqref="C168" showDropDown="0" showInputMessage="0" showErrorMessage="0" allowBlank="1" type="list">
      <formula1>='Properties &amp; Units'!$D$4:$D$38</formula1>
    </dataValidation>
    <dataValidation sqref="D168" showDropDown="0" showInputMessage="0" showErrorMessage="0" allowBlank="1" type="list">
      <formula1>='Tenants &amp; Leases'!$A$4:$A$38</formula1>
    </dataValidation>
    <dataValidation sqref="B169" showDropDown="0" showInputMessage="0" showErrorMessage="0" allowBlank="1" type="list">
      <formula1>='Properties &amp; Units'!$A$4:$A$38</formula1>
    </dataValidation>
    <dataValidation sqref="C169" showDropDown="0" showInputMessage="0" showErrorMessage="0" allowBlank="1" type="list">
      <formula1>='Properties &amp; Units'!$D$4:$D$38</formula1>
    </dataValidation>
    <dataValidation sqref="D169" showDropDown="0" showInputMessage="0" showErrorMessage="0" allowBlank="1" type="list">
      <formula1>='Tenants &amp; Leases'!$A$4:$A$38</formula1>
    </dataValidation>
    <dataValidation sqref="B170" showDropDown="0" showInputMessage="0" showErrorMessage="0" allowBlank="1" type="list">
      <formula1>='Properties &amp; Units'!$A$4:$A$38</formula1>
    </dataValidation>
    <dataValidation sqref="C170" showDropDown="0" showInputMessage="0" showErrorMessage="0" allowBlank="1" type="list">
      <formula1>='Properties &amp; Units'!$D$4:$D$38</formula1>
    </dataValidation>
    <dataValidation sqref="D170" showDropDown="0" showInputMessage="0" showErrorMessage="0" allowBlank="1" type="list">
      <formula1>='Tenants &amp; Leases'!$A$4:$A$38</formula1>
    </dataValidation>
    <dataValidation sqref="B171" showDropDown="0" showInputMessage="0" showErrorMessage="0" allowBlank="1" type="list">
      <formula1>='Properties &amp; Units'!$A$4:$A$38</formula1>
    </dataValidation>
    <dataValidation sqref="C171" showDropDown="0" showInputMessage="0" showErrorMessage="0" allowBlank="1" type="list">
      <formula1>='Properties &amp; Units'!$D$4:$D$38</formula1>
    </dataValidation>
    <dataValidation sqref="D171" showDropDown="0" showInputMessage="0" showErrorMessage="0" allowBlank="1" type="list">
      <formula1>='Tenants &amp; Leases'!$A$4:$A$38</formula1>
    </dataValidation>
    <dataValidation sqref="B172" showDropDown="0" showInputMessage="0" showErrorMessage="0" allowBlank="1" type="list">
      <formula1>='Properties &amp; Units'!$A$4:$A$38</formula1>
    </dataValidation>
    <dataValidation sqref="C172" showDropDown="0" showInputMessage="0" showErrorMessage="0" allowBlank="1" type="list">
      <formula1>='Properties &amp; Units'!$D$4:$D$38</formula1>
    </dataValidation>
    <dataValidation sqref="D172" showDropDown="0" showInputMessage="0" showErrorMessage="0" allowBlank="1" type="list">
      <formula1>='Tenants &amp; Leases'!$A$4:$A$38</formula1>
    </dataValidation>
    <dataValidation sqref="B173" showDropDown="0" showInputMessage="0" showErrorMessage="0" allowBlank="1" type="list">
      <formula1>='Properties &amp; Units'!$A$4:$A$38</formula1>
    </dataValidation>
    <dataValidation sqref="C173" showDropDown="0" showInputMessage="0" showErrorMessage="0" allowBlank="1" type="list">
      <formula1>='Properties &amp; Units'!$D$4:$D$38</formula1>
    </dataValidation>
    <dataValidation sqref="D173" showDropDown="0" showInputMessage="0" showErrorMessage="0" allowBlank="1" type="list">
      <formula1>='Tenants &amp; Leases'!$A$4:$A$38</formula1>
    </dataValidation>
    <dataValidation sqref="B174" showDropDown="0" showInputMessage="0" showErrorMessage="0" allowBlank="1" type="list">
      <formula1>='Properties &amp; Units'!$A$4:$A$38</formula1>
    </dataValidation>
    <dataValidation sqref="C174" showDropDown="0" showInputMessage="0" showErrorMessage="0" allowBlank="1" type="list">
      <formula1>='Properties &amp; Units'!$D$4:$D$38</formula1>
    </dataValidation>
    <dataValidation sqref="D174" showDropDown="0" showInputMessage="0" showErrorMessage="0" allowBlank="1" type="list">
      <formula1>='Tenants &amp; Leases'!$A$4:$A$38</formula1>
    </dataValidation>
    <dataValidation sqref="B175" showDropDown="0" showInputMessage="0" showErrorMessage="0" allowBlank="1" type="list">
      <formula1>='Properties &amp; Units'!$A$4:$A$38</formula1>
    </dataValidation>
    <dataValidation sqref="C175" showDropDown="0" showInputMessage="0" showErrorMessage="0" allowBlank="1" type="list">
      <formula1>='Properties &amp; Units'!$D$4:$D$38</formula1>
    </dataValidation>
    <dataValidation sqref="D175" showDropDown="0" showInputMessage="0" showErrorMessage="0" allowBlank="1" type="list">
      <formula1>='Tenants &amp; Leases'!$A$4:$A$38</formula1>
    </dataValidation>
    <dataValidation sqref="B176" showDropDown="0" showInputMessage="0" showErrorMessage="0" allowBlank="1" type="list">
      <formula1>='Properties &amp; Units'!$A$4:$A$38</formula1>
    </dataValidation>
    <dataValidation sqref="C176" showDropDown="0" showInputMessage="0" showErrorMessage="0" allowBlank="1" type="list">
      <formula1>='Properties &amp; Units'!$D$4:$D$38</formula1>
    </dataValidation>
    <dataValidation sqref="D176" showDropDown="0" showInputMessage="0" showErrorMessage="0" allowBlank="1" type="list">
      <formula1>='Tenants &amp; Leases'!$A$4:$A$38</formula1>
    </dataValidation>
    <dataValidation sqref="B177" showDropDown="0" showInputMessage="0" showErrorMessage="0" allowBlank="1" type="list">
      <formula1>='Properties &amp; Units'!$A$4:$A$38</formula1>
    </dataValidation>
    <dataValidation sqref="C177" showDropDown="0" showInputMessage="0" showErrorMessage="0" allowBlank="1" type="list">
      <formula1>='Properties &amp; Units'!$D$4:$D$38</formula1>
    </dataValidation>
    <dataValidation sqref="D177" showDropDown="0" showInputMessage="0" showErrorMessage="0" allowBlank="1" type="list">
      <formula1>='Tenants &amp; Leases'!$A$4:$A$38</formula1>
    </dataValidation>
    <dataValidation sqref="B178" showDropDown="0" showInputMessage="0" showErrorMessage="0" allowBlank="1" type="list">
      <formula1>='Properties &amp; Units'!$A$4:$A$38</formula1>
    </dataValidation>
    <dataValidation sqref="C178" showDropDown="0" showInputMessage="0" showErrorMessage="0" allowBlank="1" type="list">
      <formula1>='Properties &amp; Units'!$D$4:$D$38</formula1>
    </dataValidation>
    <dataValidation sqref="D178" showDropDown="0" showInputMessage="0" showErrorMessage="0" allowBlank="1" type="list">
      <formula1>='Tenants &amp; Leases'!$A$4:$A$38</formula1>
    </dataValidation>
    <dataValidation sqref="B179" showDropDown="0" showInputMessage="0" showErrorMessage="0" allowBlank="1" type="list">
      <formula1>='Properties &amp; Units'!$A$4:$A$38</formula1>
    </dataValidation>
    <dataValidation sqref="C179" showDropDown="0" showInputMessage="0" showErrorMessage="0" allowBlank="1" type="list">
      <formula1>='Properties &amp; Units'!$D$4:$D$38</formula1>
    </dataValidation>
    <dataValidation sqref="D179" showDropDown="0" showInputMessage="0" showErrorMessage="0" allowBlank="1" type="list">
      <formula1>='Tenants &amp; Leases'!$A$4:$A$38</formula1>
    </dataValidation>
    <dataValidation sqref="B180" showDropDown="0" showInputMessage="0" showErrorMessage="0" allowBlank="1" type="list">
      <formula1>='Properties &amp; Units'!$A$4:$A$38</formula1>
    </dataValidation>
    <dataValidation sqref="C180" showDropDown="0" showInputMessage="0" showErrorMessage="0" allowBlank="1" type="list">
      <formula1>='Properties &amp; Units'!$D$4:$D$38</formula1>
    </dataValidation>
    <dataValidation sqref="D180" showDropDown="0" showInputMessage="0" showErrorMessage="0" allowBlank="1" type="list">
      <formula1>='Tenants &amp; Leases'!$A$4:$A$38</formula1>
    </dataValidation>
    <dataValidation sqref="B181" showDropDown="0" showInputMessage="0" showErrorMessage="0" allowBlank="1" type="list">
      <formula1>='Properties &amp; Units'!$A$4:$A$38</formula1>
    </dataValidation>
    <dataValidation sqref="C181" showDropDown="0" showInputMessage="0" showErrorMessage="0" allowBlank="1" type="list">
      <formula1>='Properties &amp; Units'!$D$4:$D$38</formula1>
    </dataValidation>
    <dataValidation sqref="D181" showDropDown="0" showInputMessage="0" showErrorMessage="0" allowBlank="1" type="list">
      <formula1>='Tenants &amp; Leases'!$A$4:$A$38</formula1>
    </dataValidation>
    <dataValidation sqref="B182" showDropDown="0" showInputMessage="0" showErrorMessage="0" allowBlank="1" type="list">
      <formula1>='Properties &amp; Units'!$A$4:$A$38</formula1>
    </dataValidation>
    <dataValidation sqref="C182" showDropDown="0" showInputMessage="0" showErrorMessage="0" allowBlank="1" type="list">
      <formula1>='Properties &amp; Units'!$D$4:$D$38</formula1>
    </dataValidation>
    <dataValidation sqref="D182" showDropDown="0" showInputMessage="0" showErrorMessage="0" allowBlank="1" type="list">
      <formula1>='Tenants &amp; Leases'!$A$4:$A$38</formula1>
    </dataValidation>
    <dataValidation sqref="B183" showDropDown="0" showInputMessage="0" showErrorMessage="0" allowBlank="1" type="list">
      <formula1>='Properties &amp; Units'!$A$4:$A$38</formula1>
    </dataValidation>
    <dataValidation sqref="C183" showDropDown="0" showInputMessage="0" showErrorMessage="0" allowBlank="1" type="list">
      <formula1>='Properties &amp; Units'!$D$4:$D$38</formula1>
    </dataValidation>
    <dataValidation sqref="D183" showDropDown="0" showInputMessage="0" showErrorMessage="0" allowBlank="1" type="list">
      <formula1>='Tenants &amp; Leases'!$A$4:$A$38</formula1>
    </dataValidation>
    <dataValidation sqref="B184" showDropDown="0" showInputMessage="0" showErrorMessage="0" allowBlank="1" type="list">
      <formula1>='Properties &amp; Units'!$A$4:$A$38</formula1>
    </dataValidation>
    <dataValidation sqref="C184" showDropDown="0" showInputMessage="0" showErrorMessage="0" allowBlank="1" type="list">
      <formula1>='Properties &amp; Units'!$D$4:$D$38</formula1>
    </dataValidation>
    <dataValidation sqref="D184" showDropDown="0" showInputMessage="0" showErrorMessage="0" allowBlank="1" type="list">
      <formula1>='Tenants &amp; Leases'!$A$4:$A$38</formula1>
    </dataValidation>
    <dataValidation sqref="B185" showDropDown="0" showInputMessage="0" showErrorMessage="0" allowBlank="1" type="list">
      <formula1>='Properties &amp; Units'!$A$4:$A$38</formula1>
    </dataValidation>
    <dataValidation sqref="C185" showDropDown="0" showInputMessage="0" showErrorMessage="0" allowBlank="1" type="list">
      <formula1>='Properties &amp; Units'!$D$4:$D$38</formula1>
    </dataValidation>
    <dataValidation sqref="D185" showDropDown="0" showInputMessage="0" showErrorMessage="0" allowBlank="1" type="list">
      <formula1>='Tenants &amp; Leases'!$A$4:$A$38</formula1>
    </dataValidation>
    <dataValidation sqref="B186" showDropDown="0" showInputMessage="0" showErrorMessage="0" allowBlank="1" type="list">
      <formula1>='Properties &amp; Units'!$A$4:$A$38</formula1>
    </dataValidation>
    <dataValidation sqref="C186" showDropDown="0" showInputMessage="0" showErrorMessage="0" allowBlank="1" type="list">
      <formula1>='Properties &amp; Units'!$D$4:$D$38</formula1>
    </dataValidation>
    <dataValidation sqref="D186" showDropDown="0" showInputMessage="0" showErrorMessage="0" allowBlank="1" type="list">
      <formula1>='Tenants &amp; Leases'!$A$4:$A$38</formula1>
    </dataValidation>
    <dataValidation sqref="B187" showDropDown="0" showInputMessage="0" showErrorMessage="0" allowBlank="1" type="list">
      <formula1>='Properties &amp; Units'!$A$4:$A$38</formula1>
    </dataValidation>
    <dataValidation sqref="C187" showDropDown="0" showInputMessage="0" showErrorMessage="0" allowBlank="1" type="list">
      <formula1>='Properties &amp; Units'!$D$4:$D$38</formula1>
    </dataValidation>
    <dataValidation sqref="D187" showDropDown="0" showInputMessage="0" showErrorMessage="0" allowBlank="1" type="list">
      <formula1>='Tenants &amp; Leases'!$A$4:$A$38</formula1>
    </dataValidation>
    <dataValidation sqref="B188" showDropDown="0" showInputMessage="0" showErrorMessage="0" allowBlank="1" type="list">
      <formula1>='Properties &amp; Units'!$A$4:$A$38</formula1>
    </dataValidation>
    <dataValidation sqref="C188" showDropDown="0" showInputMessage="0" showErrorMessage="0" allowBlank="1" type="list">
      <formula1>='Properties &amp; Units'!$D$4:$D$38</formula1>
    </dataValidation>
    <dataValidation sqref="D188" showDropDown="0" showInputMessage="0" showErrorMessage="0" allowBlank="1" type="list">
      <formula1>='Tenants &amp; Leases'!$A$4:$A$38</formula1>
    </dataValidation>
    <dataValidation sqref="B189" showDropDown="0" showInputMessage="0" showErrorMessage="0" allowBlank="1" type="list">
      <formula1>='Properties &amp; Units'!$A$4:$A$38</formula1>
    </dataValidation>
    <dataValidation sqref="C189" showDropDown="0" showInputMessage="0" showErrorMessage="0" allowBlank="1" type="list">
      <formula1>='Properties &amp; Units'!$D$4:$D$38</formula1>
    </dataValidation>
    <dataValidation sqref="D189" showDropDown="0" showInputMessage="0" showErrorMessage="0" allowBlank="1" type="list">
      <formula1>='Tenants &amp; Leases'!$A$4:$A$38</formula1>
    </dataValidation>
    <dataValidation sqref="B190" showDropDown="0" showInputMessage="0" showErrorMessage="0" allowBlank="1" type="list">
      <formula1>='Properties &amp; Units'!$A$4:$A$38</formula1>
    </dataValidation>
    <dataValidation sqref="C190" showDropDown="0" showInputMessage="0" showErrorMessage="0" allowBlank="1" type="list">
      <formula1>='Properties &amp; Units'!$D$4:$D$38</formula1>
    </dataValidation>
    <dataValidation sqref="D190" showDropDown="0" showInputMessage="0" showErrorMessage="0" allowBlank="1" type="list">
      <formula1>='Tenants &amp; Leases'!$A$4:$A$38</formula1>
    </dataValidation>
    <dataValidation sqref="B191" showDropDown="0" showInputMessage="0" showErrorMessage="0" allowBlank="1" type="list">
      <formula1>='Properties &amp; Units'!$A$4:$A$38</formula1>
    </dataValidation>
    <dataValidation sqref="C191" showDropDown="0" showInputMessage="0" showErrorMessage="0" allowBlank="1" type="list">
      <formula1>='Properties &amp; Units'!$D$4:$D$38</formula1>
    </dataValidation>
    <dataValidation sqref="D191" showDropDown="0" showInputMessage="0" showErrorMessage="0" allowBlank="1" type="list">
      <formula1>='Tenants &amp; Leases'!$A$4:$A$38</formula1>
    </dataValidation>
    <dataValidation sqref="B192" showDropDown="0" showInputMessage="0" showErrorMessage="0" allowBlank="1" type="list">
      <formula1>='Properties &amp; Units'!$A$4:$A$38</formula1>
    </dataValidation>
    <dataValidation sqref="C192" showDropDown="0" showInputMessage="0" showErrorMessage="0" allowBlank="1" type="list">
      <formula1>='Properties &amp; Units'!$D$4:$D$38</formula1>
    </dataValidation>
    <dataValidation sqref="D192" showDropDown="0" showInputMessage="0" showErrorMessage="0" allowBlank="1" type="list">
      <formula1>='Tenants &amp; Leases'!$A$4:$A$38</formula1>
    </dataValidation>
    <dataValidation sqref="B193" showDropDown="0" showInputMessage="0" showErrorMessage="0" allowBlank="1" type="list">
      <formula1>='Properties &amp; Units'!$A$4:$A$38</formula1>
    </dataValidation>
    <dataValidation sqref="C193" showDropDown="0" showInputMessage="0" showErrorMessage="0" allowBlank="1" type="list">
      <formula1>='Properties &amp; Units'!$D$4:$D$38</formula1>
    </dataValidation>
    <dataValidation sqref="D193" showDropDown="0" showInputMessage="0" showErrorMessage="0" allowBlank="1" type="list">
      <formula1>='Tenants &amp; Leases'!$A$4:$A$38</formula1>
    </dataValidation>
    <dataValidation sqref="B194" showDropDown="0" showInputMessage="0" showErrorMessage="0" allowBlank="1" type="list">
      <formula1>='Properties &amp; Units'!$A$4:$A$38</formula1>
    </dataValidation>
    <dataValidation sqref="C194" showDropDown="0" showInputMessage="0" showErrorMessage="0" allowBlank="1" type="list">
      <formula1>='Properties &amp; Units'!$D$4:$D$38</formula1>
    </dataValidation>
    <dataValidation sqref="D194" showDropDown="0" showInputMessage="0" showErrorMessage="0" allowBlank="1" type="list">
      <formula1>='Tenants &amp; Leases'!$A$4:$A$38</formula1>
    </dataValidation>
    <dataValidation sqref="B195" showDropDown="0" showInputMessage="0" showErrorMessage="0" allowBlank="1" type="list">
      <formula1>='Properties &amp; Units'!$A$4:$A$38</formula1>
    </dataValidation>
    <dataValidation sqref="C195" showDropDown="0" showInputMessage="0" showErrorMessage="0" allowBlank="1" type="list">
      <formula1>='Properties &amp; Units'!$D$4:$D$38</formula1>
    </dataValidation>
    <dataValidation sqref="D195" showDropDown="0" showInputMessage="0" showErrorMessage="0" allowBlank="1" type="list">
      <formula1>='Tenants &amp; Leases'!$A$4:$A$38</formula1>
    </dataValidation>
    <dataValidation sqref="B196" showDropDown="0" showInputMessage="0" showErrorMessage="0" allowBlank="1" type="list">
      <formula1>='Properties &amp; Units'!$A$4:$A$38</formula1>
    </dataValidation>
    <dataValidation sqref="C196" showDropDown="0" showInputMessage="0" showErrorMessage="0" allowBlank="1" type="list">
      <formula1>='Properties &amp; Units'!$D$4:$D$38</formula1>
    </dataValidation>
    <dataValidation sqref="D196" showDropDown="0" showInputMessage="0" showErrorMessage="0" allowBlank="1" type="list">
      <formula1>='Tenants &amp; Leases'!$A$4:$A$38</formula1>
    </dataValidation>
    <dataValidation sqref="B197" showDropDown="0" showInputMessage="0" showErrorMessage="0" allowBlank="1" type="list">
      <formula1>='Properties &amp; Units'!$A$4:$A$38</formula1>
    </dataValidation>
    <dataValidation sqref="C197" showDropDown="0" showInputMessage="0" showErrorMessage="0" allowBlank="1" type="list">
      <formula1>='Properties &amp; Units'!$D$4:$D$38</formula1>
    </dataValidation>
    <dataValidation sqref="D197" showDropDown="0" showInputMessage="0" showErrorMessage="0" allowBlank="1" type="list">
      <formula1>='Tenants &amp; Leases'!$A$4:$A$38</formula1>
    </dataValidation>
    <dataValidation sqref="B198" showDropDown="0" showInputMessage="0" showErrorMessage="0" allowBlank="1" type="list">
      <formula1>='Properties &amp; Units'!$A$4:$A$38</formula1>
    </dataValidation>
    <dataValidation sqref="C198" showDropDown="0" showInputMessage="0" showErrorMessage="0" allowBlank="1" type="list">
      <formula1>='Properties &amp; Units'!$D$4:$D$38</formula1>
    </dataValidation>
    <dataValidation sqref="D198" showDropDown="0" showInputMessage="0" showErrorMessage="0" allowBlank="1" type="list">
      <formula1>='Tenants &amp; Leases'!$A$4:$A$38</formula1>
    </dataValidation>
    <dataValidation sqref="B199" showDropDown="0" showInputMessage="0" showErrorMessage="0" allowBlank="1" type="list">
      <formula1>='Properties &amp; Units'!$A$4:$A$38</formula1>
    </dataValidation>
    <dataValidation sqref="C199" showDropDown="0" showInputMessage="0" showErrorMessage="0" allowBlank="1" type="list">
      <formula1>='Properties &amp; Units'!$D$4:$D$38</formula1>
    </dataValidation>
    <dataValidation sqref="D199" showDropDown="0" showInputMessage="0" showErrorMessage="0" allowBlank="1" type="list">
      <formula1>='Tenants &amp; Leases'!$A$4:$A$38</formula1>
    </dataValidation>
    <dataValidation sqref="B200" showDropDown="0" showInputMessage="0" showErrorMessage="0" allowBlank="1" type="list">
      <formula1>='Properties &amp; Units'!$A$4:$A$38</formula1>
    </dataValidation>
    <dataValidation sqref="C200" showDropDown="0" showInputMessage="0" showErrorMessage="0" allowBlank="1" type="list">
      <formula1>='Properties &amp; Units'!$D$4:$D$38</formula1>
    </dataValidation>
    <dataValidation sqref="D200" showDropDown="0" showInputMessage="0" showErrorMessage="0" allowBlank="1" type="list">
      <formula1>='Tenants &amp; Leases'!$A$4:$A$38</formula1>
    </dataValidation>
    <dataValidation sqref="B201" showDropDown="0" showInputMessage="0" showErrorMessage="0" allowBlank="1" type="list">
      <formula1>='Properties &amp; Units'!$A$4:$A$38</formula1>
    </dataValidation>
    <dataValidation sqref="C201" showDropDown="0" showInputMessage="0" showErrorMessage="0" allowBlank="1" type="list">
      <formula1>='Properties &amp; Units'!$D$4:$D$38</formula1>
    </dataValidation>
    <dataValidation sqref="D201" showDropDown="0" showInputMessage="0" showErrorMessage="0" allowBlank="1" type="list">
      <formula1>='Tenants &amp; Leases'!$A$4:$A$38</formula1>
    </dataValidation>
    <dataValidation sqref="B202" showDropDown="0" showInputMessage="0" showErrorMessage="0" allowBlank="1" type="list">
      <formula1>='Properties &amp; Units'!$A$4:$A$38</formula1>
    </dataValidation>
    <dataValidation sqref="C202" showDropDown="0" showInputMessage="0" showErrorMessage="0" allowBlank="1" type="list">
      <formula1>='Properties &amp; Units'!$D$4:$D$38</formula1>
    </dataValidation>
    <dataValidation sqref="D202" showDropDown="0" showInputMessage="0" showErrorMessage="0" allowBlank="1" type="list">
      <formula1>='Tenants &amp; Leases'!$A$4:$A$38</formula1>
    </dataValidation>
    <dataValidation sqref="B203" showDropDown="0" showInputMessage="0" showErrorMessage="0" allowBlank="1" type="list">
      <formula1>='Properties &amp; Units'!$A$4:$A$38</formula1>
    </dataValidation>
    <dataValidation sqref="C203" showDropDown="0" showInputMessage="0" showErrorMessage="0" allowBlank="1" type="list">
      <formula1>='Properties &amp; Units'!$D$4:$D$38</formula1>
    </dataValidation>
    <dataValidation sqref="D203" showDropDown="0" showInputMessage="0" showErrorMessage="0" allowBlank="1" type="list">
      <formula1>='Tenants &amp; Leases'!$A$4:$A$38</formula1>
    </dataValidation>
    <dataValidation sqref="B204" showDropDown="0" showInputMessage="0" showErrorMessage="0" allowBlank="1" type="list">
      <formula1>='Properties &amp; Units'!$A$4:$A$38</formula1>
    </dataValidation>
    <dataValidation sqref="C204" showDropDown="0" showInputMessage="0" showErrorMessage="0" allowBlank="1" type="list">
      <formula1>='Properties &amp; Units'!$D$4:$D$38</formula1>
    </dataValidation>
    <dataValidation sqref="D204" showDropDown="0" showInputMessage="0" showErrorMessage="0" allowBlank="1" type="list">
      <formula1>='Tenants &amp; Leases'!$A$4:$A$38</formula1>
    </dataValidation>
    <dataValidation sqref="B205" showDropDown="0" showInputMessage="0" showErrorMessage="0" allowBlank="1" type="list">
      <formula1>='Properties &amp; Units'!$A$4:$A$38</formula1>
    </dataValidation>
    <dataValidation sqref="C205" showDropDown="0" showInputMessage="0" showErrorMessage="0" allowBlank="1" type="list">
      <formula1>='Properties &amp; Units'!$D$4:$D$38</formula1>
    </dataValidation>
    <dataValidation sqref="D205" showDropDown="0" showInputMessage="0" showErrorMessage="0" allowBlank="1" type="list">
      <formula1>='Tenants &amp; Leases'!$A$4:$A$38</formula1>
    </dataValidation>
    <dataValidation sqref="B206" showDropDown="0" showInputMessage="0" showErrorMessage="0" allowBlank="1" type="list">
      <formula1>='Properties &amp; Units'!$A$4:$A$38</formula1>
    </dataValidation>
    <dataValidation sqref="C206" showDropDown="0" showInputMessage="0" showErrorMessage="0" allowBlank="1" type="list">
      <formula1>='Properties &amp; Units'!$D$4:$D$38</formula1>
    </dataValidation>
    <dataValidation sqref="D206" showDropDown="0" showInputMessage="0" showErrorMessage="0" allowBlank="1" type="list">
      <formula1>='Tenants &amp; Leases'!$A$4:$A$38</formula1>
    </dataValidation>
    <dataValidation sqref="B207" showDropDown="0" showInputMessage="0" showErrorMessage="0" allowBlank="1" type="list">
      <formula1>='Properties &amp; Units'!$A$4:$A$38</formula1>
    </dataValidation>
    <dataValidation sqref="C207" showDropDown="0" showInputMessage="0" showErrorMessage="0" allowBlank="1" type="list">
      <formula1>='Properties &amp; Units'!$D$4:$D$38</formula1>
    </dataValidation>
    <dataValidation sqref="D207" showDropDown="0" showInputMessage="0" showErrorMessage="0" allowBlank="1" type="list">
      <formula1>='Tenants &amp; Leases'!$A$4:$A$38</formula1>
    </dataValidation>
    <dataValidation sqref="B208" showDropDown="0" showInputMessage="0" showErrorMessage="0" allowBlank="1" type="list">
      <formula1>='Properties &amp; Units'!$A$4:$A$38</formula1>
    </dataValidation>
    <dataValidation sqref="C208" showDropDown="0" showInputMessage="0" showErrorMessage="0" allowBlank="1" type="list">
      <formula1>='Properties &amp; Units'!$D$4:$D$38</formula1>
    </dataValidation>
    <dataValidation sqref="D208" showDropDown="0" showInputMessage="0" showErrorMessage="0" allowBlank="1" type="list">
      <formula1>='Tenants &amp; Leases'!$A$4:$A$38</formula1>
    </dataValidation>
    <dataValidation sqref="B209" showDropDown="0" showInputMessage="0" showErrorMessage="0" allowBlank="1" type="list">
      <formula1>='Properties &amp; Units'!$A$4:$A$38</formula1>
    </dataValidation>
    <dataValidation sqref="C209" showDropDown="0" showInputMessage="0" showErrorMessage="0" allowBlank="1" type="list">
      <formula1>='Properties &amp; Units'!$D$4:$D$38</formula1>
    </dataValidation>
    <dataValidation sqref="D209" showDropDown="0" showInputMessage="0" showErrorMessage="0" allowBlank="1" type="list">
      <formula1>='Tenants &amp; Leases'!$A$4:$A$38</formula1>
    </dataValidation>
    <dataValidation sqref="B210" showDropDown="0" showInputMessage="0" showErrorMessage="0" allowBlank="1" type="list">
      <formula1>='Properties &amp; Units'!$A$4:$A$38</formula1>
    </dataValidation>
    <dataValidation sqref="C210" showDropDown="0" showInputMessage="0" showErrorMessage="0" allowBlank="1" type="list">
      <formula1>='Properties &amp; Units'!$D$4:$D$38</formula1>
    </dataValidation>
    <dataValidation sqref="D210" showDropDown="0" showInputMessage="0" showErrorMessage="0" allowBlank="1" type="list">
      <formula1>='Tenants &amp; Leases'!$A$4:$A$38</formula1>
    </dataValidation>
    <dataValidation sqref="B211" showDropDown="0" showInputMessage="0" showErrorMessage="0" allowBlank="1" type="list">
      <formula1>='Properties &amp; Units'!$A$4:$A$38</formula1>
    </dataValidation>
    <dataValidation sqref="C211" showDropDown="0" showInputMessage="0" showErrorMessage="0" allowBlank="1" type="list">
      <formula1>='Properties &amp; Units'!$D$4:$D$38</formula1>
    </dataValidation>
    <dataValidation sqref="D211" showDropDown="0" showInputMessage="0" showErrorMessage="0" allowBlank="1" type="list">
      <formula1>='Tenants &amp; Leases'!$A$4:$A$38</formula1>
    </dataValidation>
    <dataValidation sqref="B212" showDropDown="0" showInputMessage="0" showErrorMessage="0" allowBlank="1" type="list">
      <formula1>='Properties &amp; Units'!$A$4:$A$38</formula1>
    </dataValidation>
    <dataValidation sqref="C212" showDropDown="0" showInputMessage="0" showErrorMessage="0" allowBlank="1" type="list">
      <formula1>='Properties &amp; Units'!$D$4:$D$38</formula1>
    </dataValidation>
    <dataValidation sqref="D212" showDropDown="0" showInputMessage="0" showErrorMessage="0" allowBlank="1" type="list">
      <formula1>='Tenants &amp; Leases'!$A$4:$A$38</formula1>
    </dataValidation>
    <dataValidation sqref="B213" showDropDown="0" showInputMessage="0" showErrorMessage="0" allowBlank="1" type="list">
      <formula1>='Properties &amp; Units'!$A$4:$A$38</formula1>
    </dataValidation>
    <dataValidation sqref="C213" showDropDown="0" showInputMessage="0" showErrorMessage="0" allowBlank="1" type="list">
      <formula1>='Properties &amp; Units'!$D$4:$D$38</formula1>
    </dataValidation>
    <dataValidation sqref="D213" showDropDown="0" showInputMessage="0" showErrorMessage="0" allowBlank="1" type="list">
      <formula1>='Tenants &amp; Leases'!$A$4:$A$38</formula1>
    </dataValidation>
    <dataValidation sqref="B214" showDropDown="0" showInputMessage="0" showErrorMessage="0" allowBlank="1" type="list">
      <formula1>='Properties &amp; Units'!$A$4:$A$38</formula1>
    </dataValidation>
    <dataValidation sqref="C214" showDropDown="0" showInputMessage="0" showErrorMessage="0" allowBlank="1" type="list">
      <formula1>='Properties &amp; Units'!$D$4:$D$38</formula1>
    </dataValidation>
    <dataValidation sqref="D214" showDropDown="0" showInputMessage="0" showErrorMessage="0" allowBlank="1" type="list">
      <formula1>='Tenants &amp; Leases'!$A$4:$A$38</formula1>
    </dataValidation>
    <dataValidation sqref="B215" showDropDown="0" showInputMessage="0" showErrorMessage="0" allowBlank="1" type="list">
      <formula1>='Properties &amp; Units'!$A$4:$A$38</formula1>
    </dataValidation>
    <dataValidation sqref="C215" showDropDown="0" showInputMessage="0" showErrorMessage="0" allowBlank="1" type="list">
      <formula1>='Properties &amp; Units'!$D$4:$D$38</formula1>
    </dataValidation>
    <dataValidation sqref="D215" showDropDown="0" showInputMessage="0" showErrorMessage="0" allowBlank="1" type="list">
      <formula1>='Tenants &amp; Leases'!$A$4:$A$38</formula1>
    </dataValidation>
    <dataValidation sqref="B216" showDropDown="0" showInputMessage="0" showErrorMessage="0" allowBlank="1" type="list">
      <formula1>='Properties &amp; Units'!$A$4:$A$38</formula1>
    </dataValidation>
    <dataValidation sqref="C216" showDropDown="0" showInputMessage="0" showErrorMessage="0" allowBlank="1" type="list">
      <formula1>='Properties &amp; Units'!$D$4:$D$38</formula1>
    </dataValidation>
    <dataValidation sqref="D216" showDropDown="0" showInputMessage="0" showErrorMessage="0" allowBlank="1" type="list">
      <formula1>='Tenants &amp; Leases'!$A$4:$A$38</formula1>
    </dataValidation>
    <dataValidation sqref="B217" showDropDown="0" showInputMessage="0" showErrorMessage="0" allowBlank="1" type="list">
      <formula1>='Properties &amp; Units'!$A$4:$A$38</formula1>
    </dataValidation>
    <dataValidation sqref="C217" showDropDown="0" showInputMessage="0" showErrorMessage="0" allowBlank="1" type="list">
      <formula1>='Properties &amp; Units'!$D$4:$D$38</formula1>
    </dataValidation>
    <dataValidation sqref="D217" showDropDown="0" showInputMessage="0" showErrorMessage="0" allowBlank="1" type="list">
      <formula1>='Tenants &amp; Leases'!$A$4:$A$38</formula1>
    </dataValidation>
    <dataValidation sqref="B218" showDropDown="0" showInputMessage="0" showErrorMessage="0" allowBlank="1" type="list">
      <formula1>='Properties &amp; Units'!$A$4:$A$38</formula1>
    </dataValidation>
    <dataValidation sqref="C218" showDropDown="0" showInputMessage="0" showErrorMessage="0" allowBlank="1" type="list">
      <formula1>='Properties &amp; Units'!$D$4:$D$38</formula1>
    </dataValidation>
    <dataValidation sqref="D218" showDropDown="0" showInputMessage="0" showErrorMessage="0" allowBlank="1" type="list">
      <formula1>='Tenants &amp; Leases'!$A$4:$A$38</formula1>
    </dataValidation>
    <dataValidation sqref="B219" showDropDown="0" showInputMessage="0" showErrorMessage="0" allowBlank="1" type="list">
      <formula1>='Properties &amp; Units'!$A$4:$A$38</formula1>
    </dataValidation>
    <dataValidation sqref="C219" showDropDown="0" showInputMessage="0" showErrorMessage="0" allowBlank="1" type="list">
      <formula1>='Properties &amp; Units'!$D$4:$D$38</formula1>
    </dataValidation>
    <dataValidation sqref="D219" showDropDown="0" showInputMessage="0" showErrorMessage="0" allowBlank="1" type="list">
      <formula1>='Tenants &amp; Leases'!$A$4:$A$38</formula1>
    </dataValidation>
    <dataValidation sqref="B220" showDropDown="0" showInputMessage="0" showErrorMessage="0" allowBlank="1" type="list">
      <formula1>='Properties &amp; Units'!$A$4:$A$38</formula1>
    </dataValidation>
    <dataValidation sqref="C220" showDropDown="0" showInputMessage="0" showErrorMessage="0" allowBlank="1" type="list">
      <formula1>='Properties &amp; Units'!$D$4:$D$38</formula1>
    </dataValidation>
    <dataValidation sqref="D220" showDropDown="0" showInputMessage="0" showErrorMessage="0" allowBlank="1" type="list">
      <formula1>='Tenants &amp; Leases'!$A$4:$A$38</formula1>
    </dataValidation>
    <dataValidation sqref="B221" showDropDown="0" showInputMessage="0" showErrorMessage="0" allowBlank="1" type="list">
      <formula1>='Properties &amp; Units'!$A$4:$A$38</formula1>
    </dataValidation>
    <dataValidation sqref="C221" showDropDown="0" showInputMessage="0" showErrorMessage="0" allowBlank="1" type="list">
      <formula1>='Properties &amp; Units'!$D$4:$D$38</formula1>
    </dataValidation>
    <dataValidation sqref="D221" showDropDown="0" showInputMessage="0" showErrorMessage="0" allowBlank="1" type="list">
      <formula1>='Tenants &amp; Leases'!$A$4:$A$38</formula1>
    </dataValidation>
    <dataValidation sqref="B222" showDropDown="0" showInputMessage="0" showErrorMessage="0" allowBlank="1" type="list">
      <formula1>='Properties &amp; Units'!$A$4:$A$38</formula1>
    </dataValidation>
    <dataValidation sqref="C222" showDropDown="0" showInputMessage="0" showErrorMessage="0" allowBlank="1" type="list">
      <formula1>='Properties &amp; Units'!$D$4:$D$38</formula1>
    </dataValidation>
    <dataValidation sqref="D222" showDropDown="0" showInputMessage="0" showErrorMessage="0" allowBlank="1" type="list">
      <formula1>='Tenants &amp; Leases'!$A$4:$A$38</formula1>
    </dataValidation>
    <dataValidation sqref="B223" showDropDown="0" showInputMessage="0" showErrorMessage="0" allowBlank="1" type="list">
      <formula1>='Properties &amp; Units'!$A$4:$A$38</formula1>
    </dataValidation>
    <dataValidation sqref="C223" showDropDown="0" showInputMessage="0" showErrorMessage="0" allowBlank="1" type="list">
      <formula1>='Properties &amp; Units'!$D$4:$D$38</formula1>
    </dataValidation>
    <dataValidation sqref="D223" showDropDown="0" showInputMessage="0" showErrorMessage="0" allowBlank="1" type="list">
      <formula1>='Tenants &amp; Leases'!$A$4:$A$38</formula1>
    </dataValidation>
    <dataValidation sqref="B224" showDropDown="0" showInputMessage="0" showErrorMessage="0" allowBlank="1" type="list">
      <formula1>='Properties &amp; Units'!$A$4:$A$38</formula1>
    </dataValidation>
    <dataValidation sqref="C224" showDropDown="0" showInputMessage="0" showErrorMessage="0" allowBlank="1" type="list">
      <formula1>='Properties &amp; Units'!$D$4:$D$38</formula1>
    </dataValidation>
    <dataValidation sqref="D224" showDropDown="0" showInputMessage="0" showErrorMessage="0" allowBlank="1" type="list">
      <formula1>='Tenants &amp; Leases'!$A$4:$A$38</formula1>
    </dataValidation>
    <dataValidation sqref="B225" showDropDown="0" showInputMessage="0" showErrorMessage="0" allowBlank="1" type="list">
      <formula1>='Properties &amp; Units'!$A$4:$A$38</formula1>
    </dataValidation>
    <dataValidation sqref="C225" showDropDown="0" showInputMessage="0" showErrorMessage="0" allowBlank="1" type="list">
      <formula1>='Properties &amp; Units'!$D$4:$D$38</formula1>
    </dataValidation>
    <dataValidation sqref="D225" showDropDown="0" showInputMessage="0" showErrorMessage="0" allowBlank="1" type="list">
      <formula1>='Tenants &amp; Leases'!$A$4:$A$38</formula1>
    </dataValidation>
    <dataValidation sqref="B226" showDropDown="0" showInputMessage="0" showErrorMessage="0" allowBlank="1" type="list">
      <formula1>='Properties &amp; Units'!$A$4:$A$38</formula1>
    </dataValidation>
    <dataValidation sqref="C226" showDropDown="0" showInputMessage="0" showErrorMessage="0" allowBlank="1" type="list">
      <formula1>='Properties &amp; Units'!$D$4:$D$38</formula1>
    </dataValidation>
    <dataValidation sqref="D226" showDropDown="0" showInputMessage="0" showErrorMessage="0" allowBlank="1" type="list">
      <formula1>='Tenants &amp; Leases'!$A$4:$A$38</formula1>
    </dataValidation>
    <dataValidation sqref="B227" showDropDown="0" showInputMessage="0" showErrorMessage="0" allowBlank="1" type="list">
      <formula1>='Properties &amp; Units'!$A$4:$A$38</formula1>
    </dataValidation>
    <dataValidation sqref="C227" showDropDown="0" showInputMessage="0" showErrorMessage="0" allowBlank="1" type="list">
      <formula1>='Properties &amp; Units'!$D$4:$D$38</formula1>
    </dataValidation>
    <dataValidation sqref="D227" showDropDown="0" showInputMessage="0" showErrorMessage="0" allowBlank="1" type="list">
      <formula1>='Tenants &amp; Leases'!$A$4:$A$38</formula1>
    </dataValidation>
    <dataValidation sqref="B228" showDropDown="0" showInputMessage="0" showErrorMessage="0" allowBlank="1" type="list">
      <formula1>='Properties &amp; Units'!$A$4:$A$38</formula1>
    </dataValidation>
    <dataValidation sqref="C228" showDropDown="0" showInputMessage="0" showErrorMessage="0" allowBlank="1" type="list">
      <formula1>='Properties &amp; Units'!$D$4:$D$38</formula1>
    </dataValidation>
    <dataValidation sqref="D228" showDropDown="0" showInputMessage="0" showErrorMessage="0" allowBlank="1" type="list">
      <formula1>='Tenants &amp; Leases'!$A$4:$A$38</formula1>
    </dataValidation>
    <dataValidation sqref="B229" showDropDown="0" showInputMessage="0" showErrorMessage="0" allowBlank="1" type="list">
      <formula1>='Properties &amp; Units'!$A$4:$A$38</formula1>
    </dataValidation>
    <dataValidation sqref="C229" showDropDown="0" showInputMessage="0" showErrorMessage="0" allowBlank="1" type="list">
      <formula1>='Properties &amp; Units'!$D$4:$D$38</formula1>
    </dataValidation>
    <dataValidation sqref="D229" showDropDown="0" showInputMessage="0" showErrorMessage="0" allowBlank="1" type="list">
      <formula1>='Tenants &amp; Leases'!$A$4:$A$38</formula1>
    </dataValidation>
    <dataValidation sqref="B230" showDropDown="0" showInputMessage="0" showErrorMessage="0" allowBlank="1" type="list">
      <formula1>='Properties &amp; Units'!$A$4:$A$38</formula1>
    </dataValidation>
    <dataValidation sqref="C230" showDropDown="0" showInputMessage="0" showErrorMessage="0" allowBlank="1" type="list">
      <formula1>='Properties &amp; Units'!$D$4:$D$38</formula1>
    </dataValidation>
    <dataValidation sqref="D230" showDropDown="0" showInputMessage="0" showErrorMessage="0" allowBlank="1" type="list">
      <formula1>='Tenants &amp; Leases'!$A$4:$A$38</formula1>
    </dataValidation>
    <dataValidation sqref="B231" showDropDown="0" showInputMessage="0" showErrorMessage="0" allowBlank="1" type="list">
      <formula1>='Properties &amp; Units'!$A$4:$A$38</formula1>
    </dataValidation>
    <dataValidation sqref="C231" showDropDown="0" showInputMessage="0" showErrorMessage="0" allowBlank="1" type="list">
      <formula1>='Properties &amp; Units'!$D$4:$D$38</formula1>
    </dataValidation>
    <dataValidation sqref="D231" showDropDown="0" showInputMessage="0" showErrorMessage="0" allowBlank="1" type="list">
      <formula1>='Tenants &amp; Leases'!$A$4:$A$38</formula1>
    </dataValidation>
    <dataValidation sqref="B232" showDropDown="0" showInputMessage="0" showErrorMessage="0" allowBlank="1" type="list">
      <formula1>='Properties &amp; Units'!$A$4:$A$38</formula1>
    </dataValidation>
    <dataValidation sqref="C232" showDropDown="0" showInputMessage="0" showErrorMessage="0" allowBlank="1" type="list">
      <formula1>='Properties &amp; Units'!$D$4:$D$38</formula1>
    </dataValidation>
    <dataValidation sqref="D232" showDropDown="0" showInputMessage="0" showErrorMessage="0" allowBlank="1" type="list">
      <formula1>='Tenants &amp; Leases'!$A$4:$A$38</formula1>
    </dataValidation>
    <dataValidation sqref="B233" showDropDown="0" showInputMessage="0" showErrorMessage="0" allowBlank="1" type="list">
      <formula1>='Properties &amp; Units'!$A$4:$A$38</formula1>
    </dataValidation>
    <dataValidation sqref="C233" showDropDown="0" showInputMessage="0" showErrorMessage="0" allowBlank="1" type="list">
      <formula1>='Properties &amp; Units'!$D$4:$D$38</formula1>
    </dataValidation>
    <dataValidation sqref="D233" showDropDown="0" showInputMessage="0" showErrorMessage="0" allowBlank="1" type="list">
      <formula1>='Tenants &amp; Leases'!$A$4:$A$38</formula1>
    </dataValidation>
    <dataValidation sqref="B234" showDropDown="0" showInputMessage="0" showErrorMessage="0" allowBlank="1" type="list">
      <formula1>='Properties &amp; Units'!$A$4:$A$38</formula1>
    </dataValidation>
    <dataValidation sqref="C234" showDropDown="0" showInputMessage="0" showErrorMessage="0" allowBlank="1" type="list">
      <formula1>='Properties &amp; Units'!$D$4:$D$38</formula1>
    </dataValidation>
    <dataValidation sqref="D234" showDropDown="0" showInputMessage="0" showErrorMessage="0" allowBlank="1" type="list">
      <formula1>='Tenants &amp; Leases'!$A$4:$A$38</formula1>
    </dataValidation>
    <dataValidation sqref="B235" showDropDown="0" showInputMessage="0" showErrorMessage="0" allowBlank="1" type="list">
      <formula1>='Properties &amp; Units'!$A$4:$A$38</formula1>
    </dataValidation>
    <dataValidation sqref="C235" showDropDown="0" showInputMessage="0" showErrorMessage="0" allowBlank="1" type="list">
      <formula1>='Properties &amp; Units'!$D$4:$D$38</formula1>
    </dataValidation>
    <dataValidation sqref="D235" showDropDown="0" showInputMessage="0" showErrorMessage="0" allowBlank="1" type="list">
      <formula1>='Tenants &amp; Leases'!$A$4:$A$38</formula1>
    </dataValidation>
    <dataValidation sqref="B236" showDropDown="0" showInputMessage="0" showErrorMessage="0" allowBlank="1" type="list">
      <formula1>='Properties &amp; Units'!$A$4:$A$38</formula1>
    </dataValidation>
    <dataValidation sqref="C236" showDropDown="0" showInputMessage="0" showErrorMessage="0" allowBlank="1" type="list">
      <formula1>='Properties &amp; Units'!$D$4:$D$38</formula1>
    </dataValidation>
    <dataValidation sqref="D236" showDropDown="0" showInputMessage="0" showErrorMessage="0" allowBlank="1" type="list">
      <formula1>='Tenants &amp; Leases'!$A$4:$A$38</formula1>
    </dataValidation>
    <dataValidation sqref="B237" showDropDown="0" showInputMessage="0" showErrorMessage="0" allowBlank="1" type="list">
      <formula1>='Properties &amp; Units'!$A$4:$A$38</formula1>
    </dataValidation>
    <dataValidation sqref="C237" showDropDown="0" showInputMessage="0" showErrorMessage="0" allowBlank="1" type="list">
      <formula1>='Properties &amp; Units'!$D$4:$D$38</formula1>
    </dataValidation>
    <dataValidation sqref="D237" showDropDown="0" showInputMessage="0" showErrorMessage="0" allowBlank="1" type="list">
      <formula1>='Tenants &amp; Leases'!$A$4:$A$38</formula1>
    </dataValidation>
    <dataValidation sqref="B238" showDropDown="0" showInputMessage="0" showErrorMessage="0" allowBlank="1" type="list">
      <formula1>='Properties &amp; Units'!$A$4:$A$38</formula1>
    </dataValidation>
    <dataValidation sqref="C238" showDropDown="0" showInputMessage="0" showErrorMessage="0" allowBlank="1" type="list">
      <formula1>='Properties &amp; Units'!$D$4:$D$38</formula1>
    </dataValidation>
    <dataValidation sqref="D238" showDropDown="0" showInputMessage="0" showErrorMessage="0" allowBlank="1" type="list">
      <formula1>='Tenants &amp; Leases'!$A$4:$A$38</formula1>
    </dataValidation>
    <dataValidation sqref="B239" showDropDown="0" showInputMessage="0" showErrorMessage="0" allowBlank="1" type="list">
      <formula1>='Properties &amp; Units'!$A$4:$A$38</formula1>
    </dataValidation>
    <dataValidation sqref="C239" showDropDown="0" showInputMessage="0" showErrorMessage="0" allowBlank="1" type="list">
      <formula1>='Properties &amp; Units'!$D$4:$D$38</formula1>
    </dataValidation>
    <dataValidation sqref="D239" showDropDown="0" showInputMessage="0" showErrorMessage="0" allowBlank="1" type="list">
      <formula1>='Tenants &amp; Leases'!$A$4:$A$38</formula1>
    </dataValidation>
    <dataValidation sqref="B240" showDropDown="0" showInputMessage="0" showErrorMessage="0" allowBlank="1" type="list">
      <formula1>='Properties &amp; Units'!$A$4:$A$38</formula1>
    </dataValidation>
    <dataValidation sqref="C240" showDropDown="0" showInputMessage="0" showErrorMessage="0" allowBlank="1" type="list">
      <formula1>='Properties &amp; Units'!$D$4:$D$38</formula1>
    </dataValidation>
    <dataValidation sqref="D240" showDropDown="0" showInputMessage="0" showErrorMessage="0" allowBlank="1" type="list">
      <formula1>='Tenants &amp; Leases'!$A$4:$A$38</formula1>
    </dataValidation>
    <dataValidation sqref="B241" showDropDown="0" showInputMessage="0" showErrorMessage="0" allowBlank="1" type="list">
      <formula1>='Properties &amp; Units'!$A$4:$A$38</formula1>
    </dataValidation>
    <dataValidation sqref="C241" showDropDown="0" showInputMessage="0" showErrorMessage="0" allowBlank="1" type="list">
      <formula1>='Properties &amp; Units'!$D$4:$D$38</formula1>
    </dataValidation>
    <dataValidation sqref="D241" showDropDown="0" showInputMessage="0" showErrorMessage="0" allowBlank="1" type="list">
      <formula1>='Tenants &amp; Leases'!$A$4:$A$38</formula1>
    </dataValidation>
    <dataValidation sqref="B242" showDropDown="0" showInputMessage="0" showErrorMessage="0" allowBlank="1" type="list">
      <formula1>='Properties &amp; Units'!$A$4:$A$38</formula1>
    </dataValidation>
    <dataValidation sqref="C242" showDropDown="0" showInputMessage="0" showErrorMessage="0" allowBlank="1" type="list">
      <formula1>='Properties &amp; Units'!$D$4:$D$38</formula1>
    </dataValidation>
    <dataValidation sqref="D242" showDropDown="0" showInputMessage="0" showErrorMessage="0" allowBlank="1" type="list">
      <formula1>='Tenants &amp; Leases'!$A$4:$A$38</formula1>
    </dataValidation>
    <dataValidation sqref="B243" showDropDown="0" showInputMessage="0" showErrorMessage="0" allowBlank="1" type="list">
      <formula1>='Properties &amp; Units'!$A$4:$A$38</formula1>
    </dataValidation>
    <dataValidation sqref="C243" showDropDown="0" showInputMessage="0" showErrorMessage="0" allowBlank="1" type="list">
      <formula1>='Properties &amp; Units'!$D$4:$D$38</formula1>
    </dataValidation>
    <dataValidation sqref="D243" showDropDown="0" showInputMessage="0" showErrorMessage="0" allowBlank="1" type="list">
      <formula1>='Tenants &amp; Leases'!$A$4:$A$38</formula1>
    </dataValidation>
    <dataValidation sqref="B244" showDropDown="0" showInputMessage="0" showErrorMessage="0" allowBlank="1" type="list">
      <formula1>='Properties &amp; Units'!$A$4:$A$38</formula1>
    </dataValidation>
    <dataValidation sqref="C244" showDropDown="0" showInputMessage="0" showErrorMessage="0" allowBlank="1" type="list">
      <formula1>='Properties &amp; Units'!$D$4:$D$38</formula1>
    </dataValidation>
    <dataValidation sqref="D244" showDropDown="0" showInputMessage="0" showErrorMessage="0" allowBlank="1" type="list">
      <formula1>='Tenants &amp; Leases'!$A$4:$A$38</formula1>
    </dataValidation>
    <dataValidation sqref="B245" showDropDown="0" showInputMessage="0" showErrorMessage="0" allowBlank="1" type="list">
      <formula1>='Properties &amp; Units'!$A$4:$A$38</formula1>
    </dataValidation>
    <dataValidation sqref="C245" showDropDown="0" showInputMessage="0" showErrorMessage="0" allowBlank="1" type="list">
      <formula1>='Properties &amp; Units'!$D$4:$D$38</formula1>
    </dataValidation>
    <dataValidation sqref="D245" showDropDown="0" showInputMessage="0" showErrorMessage="0" allowBlank="1" type="list">
      <formula1>='Tenants &amp; Leases'!$A$4:$A$38</formula1>
    </dataValidation>
    <dataValidation sqref="B246" showDropDown="0" showInputMessage="0" showErrorMessage="0" allowBlank="1" type="list">
      <formula1>='Properties &amp; Units'!$A$4:$A$38</formula1>
    </dataValidation>
    <dataValidation sqref="C246" showDropDown="0" showInputMessage="0" showErrorMessage="0" allowBlank="1" type="list">
      <formula1>='Properties &amp; Units'!$D$4:$D$38</formula1>
    </dataValidation>
    <dataValidation sqref="D246" showDropDown="0" showInputMessage="0" showErrorMessage="0" allowBlank="1" type="list">
      <formula1>='Tenants &amp; Leases'!$A$4:$A$38</formula1>
    </dataValidation>
    <dataValidation sqref="B247" showDropDown="0" showInputMessage="0" showErrorMessage="0" allowBlank="1" type="list">
      <formula1>='Properties &amp; Units'!$A$4:$A$38</formula1>
    </dataValidation>
    <dataValidation sqref="C247" showDropDown="0" showInputMessage="0" showErrorMessage="0" allowBlank="1" type="list">
      <formula1>='Properties &amp; Units'!$D$4:$D$38</formula1>
    </dataValidation>
    <dataValidation sqref="D247" showDropDown="0" showInputMessage="0" showErrorMessage="0" allowBlank="1" type="list">
      <formula1>='Tenants &amp; Leases'!$A$4:$A$38</formula1>
    </dataValidation>
    <dataValidation sqref="B248" showDropDown="0" showInputMessage="0" showErrorMessage="0" allowBlank="1" type="list">
      <formula1>='Properties &amp; Units'!$A$4:$A$38</formula1>
    </dataValidation>
    <dataValidation sqref="C248" showDropDown="0" showInputMessage="0" showErrorMessage="0" allowBlank="1" type="list">
      <formula1>='Properties &amp; Units'!$D$4:$D$38</formula1>
    </dataValidation>
    <dataValidation sqref="D248" showDropDown="0" showInputMessage="0" showErrorMessage="0" allowBlank="1" type="list">
      <formula1>='Tenants &amp; Leases'!$A$4:$A$38</formula1>
    </dataValidation>
    <dataValidation sqref="B249" showDropDown="0" showInputMessage="0" showErrorMessage="0" allowBlank="1" type="list">
      <formula1>='Properties &amp; Units'!$A$4:$A$38</formula1>
    </dataValidation>
    <dataValidation sqref="C249" showDropDown="0" showInputMessage="0" showErrorMessage="0" allowBlank="1" type="list">
      <formula1>='Properties &amp; Units'!$D$4:$D$38</formula1>
    </dataValidation>
    <dataValidation sqref="D249" showDropDown="0" showInputMessage="0" showErrorMessage="0" allowBlank="1" type="list">
      <formula1>='Tenants &amp; Leases'!$A$4:$A$38</formula1>
    </dataValidation>
    <dataValidation sqref="B250" showDropDown="0" showInputMessage="0" showErrorMessage="0" allowBlank="1" type="list">
      <formula1>='Properties &amp; Units'!$A$4:$A$38</formula1>
    </dataValidation>
    <dataValidation sqref="C250" showDropDown="0" showInputMessage="0" showErrorMessage="0" allowBlank="1" type="list">
      <formula1>='Properties &amp; Units'!$D$4:$D$38</formula1>
    </dataValidation>
    <dataValidation sqref="D250" showDropDown="0" showInputMessage="0" showErrorMessage="0" allowBlank="1" type="list">
      <formula1>='Tenants &amp; Leases'!$A$4:$A$38</formula1>
    </dataValidation>
    <dataValidation sqref="B251" showDropDown="0" showInputMessage="0" showErrorMessage="0" allowBlank="1" type="list">
      <formula1>='Properties &amp; Units'!$A$4:$A$38</formula1>
    </dataValidation>
    <dataValidation sqref="C251" showDropDown="0" showInputMessage="0" showErrorMessage="0" allowBlank="1" type="list">
      <formula1>='Properties &amp; Units'!$D$4:$D$38</formula1>
    </dataValidation>
    <dataValidation sqref="D251" showDropDown="0" showInputMessage="0" showErrorMessage="0" allowBlank="1" type="list">
      <formula1>='Tenants &amp; Leases'!$A$4:$A$38</formula1>
    </dataValidation>
    <dataValidation sqref="B252" showDropDown="0" showInputMessage="0" showErrorMessage="0" allowBlank="1" type="list">
      <formula1>='Properties &amp; Units'!$A$4:$A$38</formula1>
    </dataValidation>
    <dataValidation sqref="C252" showDropDown="0" showInputMessage="0" showErrorMessage="0" allowBlank="1" type="list">
      <formula1>='Properties &amp; Units'!$D$4:$D$38</formula1>
    </dataValidation>
    <dataValidation sqref="D252" showDropDown="0" showInputMessage="0" showErrorMessage="0" allowBlank="1" type="list">
      <formula1>='Tenants &amp; Leases'!$A$4:$A$38</formula1>
    </dataValidation>
    <dataValidation sqref="B253" showDropDown="0" showInputMessage="0" showErrorMessage="0" allowBlank="1" type="list">
      <formula1>='Properties &amp; Units'!$A$4:$A$38</formula1>
    </dataValidation>
    <dataValidation sqref="C253" showDropDown="0" showInputMessage="0" showErrorMessage="0" allowBlank="1" type="list">
      <formula1>='Properties &amp; Units'!$D$4:$D$38</formula1>
    </dataValidation>
    <dataValidation sqref="D253" showDropDown="0" showInputMessage="0" showErrorMessage="0" allowBlank="1" type="list">
      <formula1>='Tenants &amp; Leases'!$A$4:$A$38</formula1>
    </dataValidation>
    <dataValidation sqref="B254" showDropDown="0" showInputMessage="0" showErrorMessage="0" allowBlank="1" type="list">
      <formula1>='Properties &amp; Units'!$A$4:$A$38</formula1>
    </dataValidation>
    <dataValidation sqref="C254" showDropDown="0" showInputMessage="0" showErrorMessage="0" allowBlank="1" type="list">
      <formula1>='Properties &amp; Units'!$D$4:$D$38</formula1>
    </dataValidation>
    <dataValidation sqref="D254" showDropDown="0" showInputMessage="0" showErrorMessage="0" allowBlank="1" type="list">
      <formula1>='Tenants &amp; Leases'!$A$4:$A$38</formula1>
    </dataValidation>
    <dataValidation sqref="B255" showDropDown="0" showInputMessage="0" showErrorMessage="0" allowBlank="1" type="list">
      <formula1>='Properties &amp; Units'!$A$4:$A$38</formula1>
    </dataValidation>
    <dataValidation sqref="C255" showDropDown="0" showInputMessage="0" showErrorMessage="0" allowBlank="1" type="list">
      <formula1>='Properties &amp; Units'!$D$4:$D$38</formula1>
    </dataValidation>
    <dataValidation sqref="D255" showDropDown="0" showInputMessage="0" showErrorMessage="0" allowBlank="1" type="list">
      <formula1>='Tenants &amp; Leases'!$A$4:$A$38</formula1>
    </dataValidation>
    <dataValidation sqref="B256" showDropDown="0" showInputMessage="0" showErrorMessage="0" allowBlank="1" type="list">
      <formula1>='Properties &amp; Units'!$A$4:$A$38</formula1>
    </dataValidation>
    <dataValidation sqref="C256" showDropDown="0" showInputMessage="0" showErrorMessage="0" allowBlank="1" type="list">
      <formula1>='Properties &amp; Units'!$D$4:$D$38</formula1>
    </dataValidation>
    <dataValidation sqref="D256" showDropDown="0" showInputMessage="0" showErrorMessage="0" allowBlank="1" type="list">
      <formula1>='Tenants &amp; Leases'!$A$4:$A$38</formula1>
    </dataValidation>
    <dataValidation sqref="B257" showDropDown="0" showInputMessage="0" showErrorMessage="0" allowBlank="1" type="list">
      <formula1>='Properties &amp; Units'!$A$4:$A$38</formula1>
    </dataValidation>
    <dataValidation sqref="C257" showDropDown="0" showInputMessage="0" showErrorMessage="0" allowBlank="1" type="list">
      <formula1>='Properties &amp; Units'!$D$4:$D$38</formula1>
    </dataValidation>
    <dataValidation sqref="D257" showDropDown="0" showInputMessage="0" showErrorMessage="0" allowBlank="1" type="list">
      <formula1>='Tenants &amp; Leases'!$A$4:$A$38</formula1>
    </dataValidation>
    <dataValidation sqref="B258" showDropDown="0" showInputMessage="0" showErrorMessage="0" allowBlank="1" type="list">
      <formula1>='Properties &amp; Units'!$A$4:$A$38</formula1>
    </dataValidation>
    <dataValidation sqref="C258" showDropDown="0" showInputMessage="0" showErrorMessage="0" allowBlank="1" type="list">
      <formula1>='Properties &amp; Units'!$D$4:$D$38</formula1>
    </dataValidation>
    <dataValidation sqref="D258" showDropDown="0" showInputMessage="0" showErrorMessage="0" allowBlank="1" type="list">
      <formula1>='Tenants &amp; Leases'!$A$4:$A$38</formula1>
    </dataValidation>
    <dataValidation sqref="B259" showDropDown="0" showInputMessage="0" showErrorMessage="0" allowBlank="1" type="list">
      <formula1>='Properties &amp; Units'!$A$4:$A$38</formula1>
    </dataValidation>
    <dataValidation sqref="C259" showDropDown="0" showInputMessage="0" showErrorMessage="0" allowBlank="1" type="list">
      <formula1>='Properties &amp; Units'!$D$4:$D$38</formula1>
    </dataValidation>
    <dataValidation sqref="D259" showDropDown="0" showInputMessage="0" showErrorMessage="0" allowBlank="1" type="list">
      <formula1>='Tenants &amp; Leases'!$A$4:$A$38</formula1>
    </dataValidation>
    <dataValidation sqref="B260" showDropDown="0" showInputMessage="0" showErrorMessage="0" allowBlank="1" type="list">
      <formula1>='Properties &amp; Units'!$A$4:$A$38</formula1>
    </dataValidation>
    <dataValidation sqref="C260" showDropDown="0" showInputMessage="0" showErrorMessage="0" allowBlank="1" type="list">
      <formula1>='Properties &amp; Units'!$D$4:$D$38</formula1>
    </dataValidation>
    <dataValidation sqref="D260" showDropDown="0" showInputMessage="0" showErrorMessage="0" allowBlank="1" type="list">
      <formula1>='Tenants &amp; Leases'!$A$4:$A$38</formula1>
    </dataValidation>
    <dataValidation sqref="B261" showDropDown="0" showInputMessage="0" showErrorMessage="0" allowBlank="1" type="list">
      <formula1>='Properties &amp; Units'!$A$4:$A$38</formula1>
    </dataValidation>
    <dataValidation sqref="C261" showDropDown="0" showInputMessage="0" showErrorMessage="0" allowBlank="1" type="list">
      <formula1>='Properties &amp; Units'!$D$4:$D$38</formula1>
    </dataValidation>
    <dataValidation sqref="D261" showDropDown="0" showInputMessage="0" showErrorMessage="0" allowBlank="1" type="list">
      <formula1>='Tenants &amp; Leases'!$A$4:$A$38</formula1>
    </dataValidation>
    <dataValidation sqref="B262" showDropDown="0" showInputMessage="0" showErrorMessage="0" allowBlank="1" type="list">
      <formula1>='Properties &amp; Units'!$A$4:$A$38</formula1>
    </dataValidation>
    <dataValidation sqref="C262" showDropDown="0" showInputMessage="0" showErrorMessage="0" allowBlank="1" type="list">
      <formula1>='Properties &amp; Units'!$D$4:$D$38</formula1>
    </dataValidation>
    <dataValidation sqref="D262" showDropDown="0" showInputMessage="0" showErrorMessage="0" allowBlank="1" type="list">
      <formula1>='Tenants &amp; Leases'!$A$4:$A$38</formula1>
    </dataValidation>
    <dataValidation sqref="B263" showDropDown="0" showInputMessage="0" showErrorMessage="0" allowBlank="1" type="list">
      <formula1>='Properties &amp; Units'!$A$4:$A$38</formula1>
    </dataValidation>
    <dataValidation sqref="C263" showDropDown="0" showInputMessage="0" showErrorMessage="0" allowBlank="1" type="list">
      <formula1>='Properties &amp; Units'!$D$4:$D$38</formula1>
    </dataValidation>
    <dataValidation sqref="D263" showDropDown="0" showInputMessage="0" showErrorMessage="0" allowBlank="1" type="list">
      <formula1>='Tenants &amp; Leases'!$A$4:$A$38</formula1>
    </dataValidation>
    <dataValidation sqref="B264" showDropDown="0" showInputMessage="0" showErrorMessage="0" allowBlank="1" type="list">
      <formula1>='Properties &amp; Units'!$A$4:$A$38</formula1>
    </dataValidation>
    <dataValidation sqref="C264" showDropDown="0" showInputMessage="0" showErrorMessage="0" allowBlank="1" type="list">
      <formula1>='Properties &amp; Units'!$D$4:$D$38</formula1>
    </dataValidation>
    <dataValidation sqref="D264" showDropDown="0" showInputMessage="0" showErrorMessage="0" allowBlank="1" type="list">
      <formula1>='Tenants &amp; Leases'!$A$4:$A$38</formula1>
    </dataValidation>
    <dataValidation sqref="B265" showDropDown="0" showInputMessage="0" showErrorMessage="0" allowBlank="1" type="list">
      <formula1>='Properties &amp; Units'!$A$4:$A$38</formula1>
    </dataValidation>
    <dataValidation sqref="C265" showDropDown="0" showInputMessage="0" showErrorMessage="0" allowBlank="1" type="list">
      <formula1>='Properties &amp; Units'!$D$4:$D$38</formula1>
    </dataValidation>
    <dataValidation sqref="D265" showDropDown="0" showInputMessage="0" showErrorMessage="0" allowBlank="1" type="list">
      <formula1>='Tenants &amp; Leases'!$A$4:$A$38</formula1>
    </dataValidation>
    <dataValidation sqref="B266" showDropDown="0" showInputMessage="0" showErrorMessage="0" allowBlank="1" type="list">
      <formula1>='Properties &amp; Units'!$A$4:$A$38</formula1>
    </dataValidation>
    <dataValidation sqref="C266" showDropDown="0" showInputMessage="0" showErrorMessage="0" allowBlank="1" type="list">
      <formula1>='Properties &amp; Units'!$D$4:$D$38</formula1>
    </dataValidation>
    <dataValidation sqref="D266" showDropDown="0" showInputMessage="0" showErrorMessage="0" allowBlank="1" type="list">
      <formula1>='Tenants &amp; Leases'!$A$4:$A$38</formula1>
    </dataValidation>
    <dataValidation sqref="B267" showDropDown="0" showInputMessage="0" showErrorMessage="0" allowBlank="1" type="list">
      <formula1>='Properties &amp; Units'!$A$4:$A$38</formula1>
    </dataValidation>
    <dataValidation sqref="C267" showDropDown="0" showInputMessage="0" showErrorMessage="0" allowBlank="1" type="list">
      <formula1>='Properties &amp; Units'!$D$4:$D$38</formula1>
    </dataValidation>
    <dataValidation sqref="D267" showDropDown="0" showInputMessage="0" showErrorMessage="0" allowBlank="1" type="list">
      <formula1>='Tenants &amp; Leases'!$A$4:$A$38</formula1>
    </dataValidation>
    <dataValidation sqref="B268" showDropDown="0" showInputMessage="0" showErrorMessage="0" allowBlank="1" type="list">
      <formula1>='Properties &amp; Units'!$A$4:$A$38</formula1>
    </dataValidation>
    <dataValidation sqref="C268" showDropDown="0" showInputMessage="0" showErrorMessage="0" allowBlank="1" type="list">
      <formula1>='Properties &amp; Units'!$D$4:$D$38</formula1>
    </dataValidation>
    <dataValidation sqref="D268" showDropDown="0" showInputMessage="0" showErrorMessage="0" allowBlank="1" type="list">
      <formula1>='Tenants &amp; Leases'!$A$4:$A$38</formula1>
    </dataValidation>
    <dataValidation sqref="B269" showDropDown="0" showInputMessage="0" showErrorMessage="0" allowBlank="1" type="list">
      <formula1>='Properties &amp; Units'!$A$4:$A$38</formula1>
    </dataValidation>
    <dataValidation sqref="C269" showDropDown="0" showInputMessage="0" showErrorMessage="0" allowBlank="1" type="list">
      <formula1>='Properties &amp; Units'!$D$4:$D$38</formula1>
    </dataValidation>
    <dataValidation sqref="D269" showDropDown="0" showInputMessage="0" showErrorMessage="0" allowBlank="1" type="list">
      <formula1>='Tenants &amp; Leases'!$A$4:$A$38</formula1>
    </dataValidation>
    <dataValidation sqref="B270" showDropDown="0" showInputMessage="0" showErrorMessage="0" allowBlank="1" type="list">
      <formula1>='Properties &amp; Units'!$A$4:$A$38</formula1>
    </dataValidation>
    <dataValidation sqref="C270" showDropDown="0" showInputMessage="0" showErrorMessage="0" allowBlank="1" type="list">
      <formula1>='Properties &amp; Units'!$D$4:$D$38</formula1>
    </dataValidation>
    <dataValidation sqref="D270" showDropDown="0" showInputMessage="0" showErrorMessage="0" allowBlank="1" type="list">
      <formula1>='Tenants &amp; Leases'!$A$4:$A$38</formula1>
    </dataValidation>
    <dataValidation sqref="B271" showDropDown="0" showInputMessage="0" showErrorMessage="0" allowBlank="1" type="list">
      <formula1>='Properties &amp; Units'!$A$4:$A$38</formula1>
    </dataValidation>
    <dataValidation sqref="C271" showDropDown="0" showInputMessage="0" showErrorMessage="0" allowBlank="1" type="list">
      <formula1>='Properties &amp; Units'!$D$4:$D$38</formula1>
    </dataValidation>
    <dataValidation sqref="D271" showDropDown="0" showInputMessage="0" showErrorMessage="0" allowBlank="1" type="list">
      <formula1>='Tenants &amp; Leases'!$A$4:$A$38</formula1>
    </dataValidation>
    <dataValidation sqref="B272" showDropDown="0" showInputMessage="0" showErrorMessage="0" allowBlank="1" type="list">
      <formula1>='Properties &amp; Units'!$A$4:$A$38</formula1>
    </dataValidation>
    <dataValidation sqref="C272" showDropDown="0" showInputMessage="0" showErrorMessage="0" allowBlank="1" type="list">
      <formula1>='Properties &amp; Units'!$D$4:$D$38</formula1>
    </dataValidation>
    <dataValidation sqref="D272" showDropDown="0" showInputMessage="0" showErrorMessage="0" allowBlank="1" type="list">
      <formula1>='Tenants &amp; Leases'!$A$4:$A$38</formula1>
    </dataValidation>
    <dataValidation sqref="B273" showDropDown="0" showInputMessage="0" showErrorMessage="0" allowBlank="1" type="list">
      <formula1>='Properties &amp; Units'!$A$4:$A$38</formula1>
    </dataValidation>
    <dataValidation sqref="C273" showDropDown="0" showInputMessage="0" showErrorMessage="0" allowBlank="1" type="list">
      <formula1>='Properties &amp; Units'!$D$4:$D$38</formula1>
    </dataValidation>
    <dataValidation sqref="D273" showDropDown="0" showInputMessage="0" showErrorMessage="0" allowBlank="1" type="list">
      <formula1>='Tenants &amp; Leases'!$A$4:$A$38</formula1>
    </dataValidation>
    <dataValidation sqref="B274" showDropDown="0" showInputMessage="0" showErrorMessage="0" allowBlank="1" type="list">
      <formula1>='Properties &amp; Units'!$A$4:$A$38</formula1>
    </dataValidation>
    <dataValidation sqref="C274" showDropDown="0" showInputMessage="0" showErrorMessage="0" allowBlank="1" type="list">
      <formula1>='Properties &amp; Units'!$D$4:$D$38</formula1>
    </dataValidation>
    <dataValidation sqref="D274" showDropDown="0" showInputMessage="0" showErrorMessage="0" allowBlank="1" type="list">
      <formula1>='Tenants &amp; Leases'!$A$4:$A$38</formula1>
    </dataValidation>
    <dataValidation sqref="B275" showDropDown="0" showInputMessage="0" showErrorMessage="0" allowBlank="1" type="list">
      <formula1>='Properties &amp; Units'!$A$4:$A$38</formula1>
    </dataValidation>
    <dataValidation sqref="C275" showDropDown="0" showInputMessage="0" showErrorMessage="0" allowBlank="1" type="list">
      <formula1>='Properties &amp; Units'!$D$4:$D$38</formula1>
    </dataValidation>
    <dataValidation sqref="D275" showDropDown="0" showInputMessage="0" showErrorMessage="0" allowBlank="1" type="list">
      <formula1>='Tenants &amp; Leases'!$A$4:$A$38</formula1>
    </dataValidation>
    <dataValidation sqref="B276" showDropDown="0" showInputMessage="0" showErrorMessage="0" allowBlank="1" type="list">
      <formula1>='Properties &amp; Units'!$A$4:$A$38</formula1>
    </dataValidation>
    <dataValidation sqref="C276" showDropDown="0" showInputMessage="0" showErrorMessage="0" allowBlank="1" type="list">
      <formula1>='Properties &amp; Units'!$D$4:$D$38</formula1>
    </dataValidation>
    <dataValidation sqref="D276" showDropDown="0" showInputMessage="0" showErrorMessage="0" allowBlank="1" type="list">
      <formula1>='Tenants &amp; Leases'!$A$4:$A$38</formula1>
    </dataValidation>
    <dataValidation sqref="B277" showDropDown="0" showInputMessage="0" showErrorMessage="0" allowBlank="1" type="list">
      <formula1>='Properties &amp; Units'!$A$4:$A$38</formula1>
    </dataValidation>
    <dataValidation sqref="C277" showDropDown="0" showInputMessage="0" showErrorMessage="0" allowBlank="1" type="list">
      <formula1>='Properties &amp; Units'!$D$4:$D$38</formula1>
    </dataValidation>
    <dataValidation sqref="D277" showDropDown="0" showInputMessage="0" showErrorMessage="0" allowBlank="1" type="list">
      <formula1>='Tenants &amp; Leases'!$A$4:$A$38</formula1>
    </dataValidation>
    <dataValidation sqref="B278" showDropDown="0" showInputMessage="0" showErrorMessage="0" allowBlank="1" type="list">
      <formula1>='Properties &amp; Units'!$A$4:$A$38</formula1>
    </dataValidation>
    <dataValidation sqref="C278" showDropDown="0" showInputMessage="0" showErrorMessage="0" allowBlank="1" type="list">
      <formula1>='Properties &amp; Units'!$D$4:$D$38</formula1>
    </dataValidation>
    <dataValidation sqref="D278" showDropDown="0" showInputMessage="0" showErrorMessage="0" allowBlank="1" type="list">
      <formula1>='Tenants &amp; Leases'!$A$4:$A$38</formula1>
    </dataValidation>
    <dataValidation sqref="B279" showDropDown="0" showInputMessage="0" showErrorMessage="0" allowBlank="1" type="list">
      <formula1>='Properties &amp; Units'!$A$4:$A$38</formula1>
    </dataValidation>
    <dataValidation sqref="C279" showDropDown="0" showInputMessage="0" showErrorMessage="0" allowBlank="1" type="list">
      <formula1>='Properties &amp; Units'!$D$4:$D$38</formula1>
    </dataValidation>
    <dataValidation sqref="D279" showDropDown="0" showInputMessage="0" showErrorMessage="0" allowBlank="1" type="list">
      <formula1>='Tenants &amp; Leases'!$A$4:$A$38</formula1>
    </dataValidation>
    <dataValidation sqref="B280" showDropDown="0" showInputMessage="0" showErrorMessage="0" allowBlank="1" type="list">
      <formula1>='Properties &amp; Units'!$A$4:$A$38</formula1>
    </dataValidation>
    <dataValidation sqref="C280" showDropDown="0" showInputMessage="0" showErrorMessage="0" allowBlank="1" type="list">
      <formula1>='Properties &amp; Units'!$D$4:$D$38</formula1>
    </dataValidation>
    <dataValidation sqref="D280" showDropDown="0" showInputMessage="0" showErrorMessage="0" allowBlank="1" type="list">
      <formula1>='Tenants &amp; Leases'!$A$4:$A$38</formula1>
    </dataValidation>
    <dataValidation sqref="B281" showDropDown="0" showInputMessage="0" showErrorMessage="0" allowBlank="1" type="list">
      <formula1>='Properties &amp; Units'!$A$4:$A$38</formula1>
    </dataValidation>
    <dataValidation sqref="C281" showDropDown="0" showInputMessage="0" showErrorMessage="0" allowBlank="1" type="list">
      <formula1>='Properties &amp; Units'!$D$4:$D$38</formula1>
    </dataValidation>
    <dataValidation sqref="D281" showDropDown="0" showInputMessage="0" showErrorMessage="0" allowBlank="1" type="list">
      <formula1>='Tenants &amp; Leases'!$A$4:$A$38</formula1>
    </dataValidation>
    <dataValidation sqref="B282" showDropDown="0" showInputMessage="0" showErrorMessage="0" allowBlank="1" type="list">
      <formula1>='Properties &amp; Units'!$A$4:$A$38</formula1>
    </dataValidation>
    <dataValidation sqref="C282" showDropDown="0" showInputMessage="0" showErrorMessage="0" allowBlank="1" type="list">
      <formula1>='Properties &amp; Units'!$D$4:$D$38</formula1>
    </dataValidation>
    <dataValidation sqref="D282" showDropDown="0" showInputMessage="0" showErrorMessage="0" allowBlank="1" type="list">
      <formula1>='Tenants &amp; Leases'!$A$4:$A$38</formula1>
    </dataValidation>
    <dataValidation sqref="B283" showDropDown="0" showInputMessage="0" showErrorMessage="0" allowBlank="1" type="list">
      <formula1>='Properties &amp; Units'!$A$4:$A$38</formula1>
    </dataValidation>
    <dataValidation sqref="C283" showDropDown="0" showInputMessage="0" showErrorMessage="0" allowBlank="1" type="list">
      <formula1>='Properties &amp; Units'!$D$4:$D$38</formula1>
    </dataValidation>
    <dataValidation sqref="D283" showDropDown="0" showInputMessage="0" showErrorMessage="0" allowBlank="1" type="list">
      <formula1>='Tenants &amp; Leases'!$A$4:$A$38</formula1>
    </dataValidation>
    <dataValidation sqref="B284" showDropDown="0" showInputMessage="0" showErrorMessage="0" allowBlank="1" type="list">
      <formula1>='Properties &amp; Units'!$A$4:$A$38</formula1>
    </dataValidation>
    <dataValidation sqref="C284" showDropDown="0" showInputMessage="0" showErrorMessage="0" allowBlank="1" type="list">
      <formula1>='Properties &amp; Units'!$D$4:$D$38</formula1>
    </dataValidation>
    <dataValidation sqref="D284" showDropDown="0" showInputMessage="0" showErrorMessage="0" allowBlank="1" type="list">
      <formula1>='Tenants &amp; Leases'!$A$4:$A$38</formula1>
    </dataValidation>
    <dataValidation sqref="B285" showDropDown="0" showInputMessage="0" showErrorMessage="0" allowBlank="1" type="list">
      <formula1>='Properties &amp; Units'!$A$4:$A$38</formula1>
    </dataValidation>
    <dataValidation sqref="C285" showDropDown="0" showInputMessage="0" showErrorMessage="0" allowBlank="1" type="list">
      <formula1>='Properties &amp; Units'!$D$4:$D$38</formula1>
    </dataValidation>
    <dataValidation sqref="D285" showDropDown="0" showInputMessage="0" showErrorMessage="0" allowBlank="1" type="list">
      <formula1>='Tenants &amp; Leases'!$A$4:$A$38</formula1>
    </dataValidation>
    <dataValidation sqref="B286" showDropDown="0" showInputMessage="0" showErrorMessage="0" allowBlank="1" type="list">
      <formula1>='Properties &amp; Units'!$A$4:$A$38</formula1>
    </dataValidation>
    <dataValidation sqref="C286" showDropDown="0" showInputMessage="0" showErrorMessage="0" allowBlank="1" type="list">
      <formula1>='Properties &amp; Units'!$D$4:$D$38</formula1>
    </dataValidation>
    <dataValidation sqref="D286" showDropDown="0" showInputMessage="0" showErrorMessage="0" allowBlank="1" type="list">
      <formula1>='Tenants &amp; Leases'!$A$4:$A$38</formula1>
    </dataValidation>
    <dataValidation sqref="B287" showDropDown="0" showInputMessage="0" showErrorMessage="0" allowBlank="1" type="list">
      <formula1>='Properties &amp; Units'!$A$4:$A$38</formula1>
    </dataValidation>
    <dataValidation sqref="C287" showDropDown="0" showInputMessage="0" showErrorMessage="0" allowBlank="1" type="list">
      <formula1>='Properties &amp; Units'!$D$4:$D$38</formula1>
    </dataValidation>
    <dataValidation sqref="D287" showDropDown="0" showInputMessage="0" showErrorMessage="0" allowBlank="1" type="list">
      <formula1>='Tenants &amp; Leases'!$A$4:$A$38</formula1>
    </dataValidation>
    <dataValidation sqref="B288" showDropDown="0" showInputMessage="0" showErrorMessage="0" allowBlank="1" type="list">
      <formula1>='Properties &amp; Units'!$A$4:$A$38</formula1>
    </dataValidation>
    <dataValidation sqref="C288" showDropDown="0" showInputMessage="0" showErrorMessage="0" allowBlank="1" type="list">
      <formula1>='Properties &amp; Units'!$D$4:$D$38</formula1>
    </dataValidation>
    <dataValidation sqref="D288" showDropDown="0" showInputMessage="0" showErrorMessage="0" allowBlank="1" type="list">
      <formula1>='Tenants &amp; Leases'!$A$4:$A$38</formula1>
    </dataValidation>
    <dataValidation sqref="B289" showDropDown="0" showInputMessage="0" showErrorMessage="0" allowBlank="1" type="list">
      <formula1>='Properties &amp; Units'!$A$4:$A$38</formula1>
    </dataValidation>
    <dataValidation sqref="C289" showDropDown="0" showInputMessage="0" showErrorMessage="0" allowBlank="1" type="list">
      <formula1>='Properties &amp; Units'!$D$4:$D$38</formula1>
    </dataValidation>
    <dataValidation sqref="D289" showDropDown="0" showInputMessage="0" showErrorMessage="0" allowBlank="1" type="list">
      <formula1>='Tenants &amp; Leases'!$A$4:$A$38</formula1>
    </dataValidation>
    <dataValidation sqref="B290" showDropDown="0" showInputMessage="0" showErrorMessage="0" allowBlank="1" type="list">
      <formula1>='Properties &amp; Units'!$A$4:$A$38</formula1>
    </dataValidation>
    <dataValidation sqref="C290" showDropDown="0" showInputMessage="0" showErrorMessage="0" allowBlank="1" type="list">
      <formula1>='Properties &amp; Units'!$D$4:$D$38</formula1>
    </dataValidation>
    <dataValidation sqref="D290" showDropDown="0" showInputMessage="0" showErrorMessage="0" allowBlank="1" type="list">
      <formula1>='Tenants &amp; Leases'!$A$4:$A$38</formula1>
    </dataValidation>
    <dataValidation sqref="B291" showDropDown="0" showInputMessage="0" showErrorMessage="0" allowBlank="1" type="list">
      <formula1>='Properties &amp; Units'!$A$4:$A$38</formula1>
    </dataValidation>
    <dataValidation sqref="C291" showDropDown="0" showInputMessage="0" showErrorMessage="0" allowBlank="1" type="list">
      <formula1>='Properties &amp; Units'!$D$4:$D$38</formula1>
    </dataValidation>
    <dataValidation sqref="D291" showDropDown="0" showInputMessage="0" showErrorMessage="0" allowBlank="1" type="list">
      <formula1>='Tenants &amp; Leases'!$A$4:$A$38</formula1>
    </dataValidation>
    <dataValidation sqref="B292" showDropDown="0" showInputMessage="0" showErrorMessage="0" allowBlank="1" type="list">
      <formula1>='Properties &amp; Units'!$A$4:$A$38</formula1>
    </dataValidation>
    <dataValidation sqref="C292" showDropDown="0" showInputMessage="0" showErrorMessage="0" allowBlank="1" type="list">
      <formula1>='Properties &amp; Units'!$D$4:$D$38</formula1>
    </dataValidation>
    <dataValidation sqref="D292" showDropDown="0" showInputMessage="0" showErrorMessage="0" allowBlank="1" type="list">
      <formula1>='Tenants &amp; Leases'!$A$4:$A$38</formula1>
    </dataValidation>
    <dataValidation sqref="B293" showDropDown="0" showInputMessage="0" showErrorMessage="0" allowBlank="1" type="list">
      <formula1>='Properties &amp; Units'!$A$4:$A$38</formula1>
    </dataValidation>
    <dataValidation sqref="C293" showDropDown="0" showInputMessage="0" showErrorMessage="0" allowBlank="1" type="list">
      <formula1>='Properties &amp; Units'!$D$4:$D$38</formula1>
    </dataValidation>
    <dataValidation sqref="D293" showDropDown="0" showInputMessage="0" showErrorMessage="0" allowBlank="1" type="list">
      <formula1>='Tenants &amp; Leases'!$A$4:$A$38</formula1>
    </dataValidation>
    <dataValidation sqref="B294" showDropDown="0" showInputMessage="0" showErrorMessage="0" allowBlank="1" type="list">
      <formula1>='Properties &amp; Units'!$A$4:$A$38</formula1>
    </dataValidation>
    <dataValidation sqref="C294" showDropDown="0" showInputMessage="0" showErrorMessage="0" allowBlank="1" type="list">
      <formula1>='Properties &amp; Units'!$D$4:$D$38</formula1>
    </dataValidation>
    <dataValidation sqref="D294" showDropDown="0" showInputMessage="0" showErrorMessage="0" allowBlank="1" type="list">
      <formula1>='Tenants &amp; Leases'!$A$4:$A$38</formula1>
    </dataValidation>
    <dataValidation sqref="B295" showDropDown="0" showInputMessage="0" showErrorMessage="0" allowBlank="1" type="list">
      <formula1>='Properties &amp; Units'!$A$4:$A$38</formula1>
    </dataValidation>
    <dataValidation sqref="C295" showDropDown="0" showInputMessage="0" showErrorMessage="0" allowBlank="1" type="list">
      <formula1>='Properties &amp; Units'!$D$4:$D$38</formula1>
    </dataValidation>
    <dataValidation sqref="D295" showDropDown="0" showInputMessage="0" showErrorMessage="0" allowBlank="1" type="list">
      <formula1>='Tenants &amp; Leases'!$A$4:$A$38</formula1>
    </dataValidation>
    <dataValidation sqref="B296" showDropDown="0" showInputMessage="0" showErrorMessage="0" allowBlank="1" type="list">
      <formula1>='Properties &amp; Units'!$A$4:$A$38</formula1>
    </dataValidation>
    <dataValidation sqref="C296" showDropDown="0" showInputMessage="0" showErrorMessage="0" allowBlank="1" type="list">
      <formula1>='Properties &amp; Units'!$D$4:$D$38</formula1>
    </dataValidation>
    <dataValidation sqref="D296" showDropDown="0" showInputMessage="0" showErrorMessage="0" allowBlank="1" type="list">
      <formula1>='Tenants &amp; Leases'!$A$4:$A$38</formula1>
    </dataValidation>
    <dataValidation sqref="B297" showDropDown="0" showInputMessage="0" showErrorMessage="0" allowBlank="1" type="list">
      <formula1>='Properties &amp; Units'!$A$4:$A$38</formula1>
    </dataValidation>
    <dataValidation sqref="C297" showDropDown="0" showInputMessage="0" showErrorMessage="0" allowBlank="1" type="list">
      <formula1>='Properties &amp; Units'!$D$4:$D$38</formula1>
    </dataValidation>
    <dataValidation sqref="D297" showDropDown="0" showInputMessage="0" showErrorMessage="0" allowBlank="1" type="list">
      <formula1>='Tenants &amp; Leases'!$A$4:$A$38</formula1>
    </dataValidation>
    <dataValidation sqref="B298" showDropDown="0" showInputMessage="0" showErrorMessage="0" allowBlank="1" type="list">
      <formula1>='Properties &amp; Units'!$A$4:$A$38</formula1>
    </dataValidation>
    <dataValidation sqref="C298" showDropDown="0" showInputMessage="0" showErrorMessage="0" allowBlank="1" type="list">
      <formula1>='Properties &amp; Units'!$D$4:$D$38</formula1>
    </dataValidation>
    <dataValidation sqref="D298" showDropDown="0" showInputMessage="0" showErrorMessage="0" allowBlank="1" type="list">
      <formula1>='Tenants &amp; Leases'!$A$4:$A$38</formula1>
    </dataValidation>
    <dataValidation sqref="B299" showDropDown="0" showInputMessage="0" showErrorMessage="0" allowBlank="1" type="list">
      <formula1>='Properties &amp; Units'!$A$4:$A$38</formula1>
    </dataValidation>
    <dataValidation sqref="C299" showDropDown="0" showInputMessage="0" showErrorMessage="0" allowBlank="1" type="list">
      <formula1>='Properties &amp; Units'!$D$4:$D$38</formula1>
    </dataValidation>
    <dataValidation sqref="D299" showDropDown="0" showInputMessage="0" showErrorMessage="0" allowBlank="1" type="list">
      <formula1>='Tenants &amp; Leases'!$A$4:$A$38</formula1>
    </dataValidation>
    <dataValidation sqref="B300" showDropDown="0" showInputMessage="0" showErrorMessage="0" allowBlank="1" type="list">
      <formula1>='Properties &amp; Units'!$A$4:$A$38</formula1>
    </dataValidation>
    <dataValidation sqref="C300" showDropDown="0" showInputMessage="0" showErrorMessage="0" allowBlank="1" type="list">
      <formula1>='Properties &amp; Units'!$D$4:$D$38</formula1>
    </dataValidation>
    <dataValidation sqref="D300" showDropDown="0" showInputMessage="0" showErrorMessage="0" allowBlank="1" type="list">
      <formula1>='Tenants &amp; Leases'!$A$4:$A$38</formula1>
    </dataValidation>
    <dataValidation sqref="B301" showDropDown="0" showInputMessage="0" showErrorMessage="0" allowBlank="1" type="list">
      <formula1>='Properties &amp; Units'!$A$4:$A$38</formula1>
    </dataValidation>
    <dataValidation sqref="C301" showDropDown="0" showInputMessage="0" showErrorMessage="0" allowBlank="1" type="list">
      <formula1>='Properties &amp; Units'!$D$4:$D$38</formula1>
    </dataValidation>
    <dataValidation sqref="D301" showDropDown="0" showInputMessage="0" showErrorMessage="0" allowBlank="1" type="list">
      <formula1>='Tenants &amp; Leases'!$A$4:$A$38</formula1>
    </dataValidation>
    <dataValidation sqref="B302" showDropDown="0" showInputMessage="0" showErrorMessage="0" allowBlank="1" type="list">
      <formula1>='Properties &amp; Units'!$A$4:$A$38</formula1>
    </dataValidation>
    <dataValidation sqref="C302" showDropDown="0" showInputMessage="0" showErrorMessage="0" allowBlank="1" type="list">
      <formula1>='Properties &amp; Units'!$D$4:$D$38</formula1>
    </dataValidation>
    <dataValidation sqref="D302" showDropDown="0" showInputMessage="0" showErrorMessage="0" allowBlank="1" type="list">
      <formula1>='Tenants &amp; Leases'!$A$4:$A$38</formula1>
    </dataValidation>
    <dataValidation sqref="B303" showDropDown="0" showInputMessage="0" showErrorMessage="0" allowBlank="1" type="list">
      <formula1>='Properties &amp; Units'!$A$4:$A$38</formula1>
    </dataValidation>
    <dataValidation sqref="C303" showDropDown="0" showInputMessage="0" showErrorMessage="0" allowBlank="1" type="list">
      <formula1>='Properties &amp; Units'!$D$4:$D$38</formula1>
    </dataValidation>
    <dataValidation sqref="D303" showDropDown="0" showInputMessage="0" showErrorMessage="0" allowBlank="1" type="list">
      <formula1>='Tenants &amp; Leases'!$A$4:$A$38</formula1>
    </dataValidation>
    <dataValidation sqref="B304" showDropDown="0" showInputMessage="0" showErrorMessage="0" allowBlank="1" type="list">
      <formula1>='Properties &amp; Units'!$A$4:$A$38</formula1>
    </dataValidation>
    <dataValidation sqref="C304" showDropDown="0" showInputMessage="0" showErrorMessage="0" allowBlank="1" type="list">
      <formula1>='Properties &amp; Units'!$D$4:$D$38</formula1>
    </dataValidation>
    <dataValidation sqref="D304" showDropDown="0" showInputMessage="0" showErrorMessage="0" allowBlank="1" type="list">
      <formula1>='Tenants &amp; Leases'!$A$4:$A$38</formula1>
    </dataValidation>
    <dataValidation sqref="B305" showDropDown="0" showInputMessage="0" showErrorMessage="0" allowBlank="1" type="list">
      <formula1>='Properties &amp; Units'!$A$4:$A$38</formula1>
    </dataValidation>
    <dataValidation sqref="C305" showDropDown="0" showInputMessage="0" showErrorMessage="0" allowBlank="1" type="list">
      <formula1>='Properties &amp; Units'!$D$4:$D$38</formula1>
    </dataValidation>
    <dataValidation sqref="D305" showDropDown="0" showInputMessage="0" showErrorMessage="0" allowBlank="1" type="list">
      <formula1>='Tenants &amp; Leases'!$A$4:$A$38</formula1>
    </dataValidation>
    <dataValidation sqref="B306" showDropDown="0" showInputMessage="0" showErrorMessage="0" allowBlank="1" type="list">
      <formula1>='Properties &amp; Units'!$A$4:$A$38</formula1>
    </dataValidation>
    <dataValidation sqref="C306" showDropDown="0" showInputMessage="0" showErrorMessage="0" allowBlank="1" type="list">
      <formula1>='Properties &amp; Units'!$D$4:$D$38</formula1>
    </dataValidation>
    <dataValidation sqref="D306" showDropDown="0" showInputMessage="0" showErrorMessage="0" allowBlank="1" type="list">
      <formula1>='Tenants &amp; Leases'!$A$4:$A$38</formula1>
    </dataValidation>
    <dataValidation sqref="B307" showDropDown="0" showInputMessage="0" showErrorMessage="0" allowBlank="1" type="list">
      <formula1>='Properties &amp; Units'!$A$4:$A$38</formula1>
    </dataValidation>
    <dataValidation sqref="C307" showDropDown="0" showInputMessage="0" showErrorMessage="0" allowBlank="1" type="list">
      <formula1>='Properties &amp; Units'!$D$4:$D$38</formula1>
    </dataValidation>
    <dataValidation sqref="D307" showDropDown="0" showInputMessage="0" showErrorMessage="0" allowBlank="1" type="list">
      <formula1>='Tenants &amp; Leases'!$A$4:$A$38</formula1>
    </dataValidation>
    <dataValidation sqref="B308" showDropDown="0" showInputMessage="0" showErrorMessage="0" allowBlank="1" type="list">
      <formula1>='Properties &amp; Units'!$A$4:$A$38</formula1>
    </dataValidation>
    <dataValidation sqref="C308" showDropDown="0" showInputMessage="0" showErrorMessage="0" allowBlank="1" type="list">
      <formula1>='Properties &amp; Units'!$D$4:$D$38</formula1>
    </dataValidation>
    <dataValidation sqref="D308" showDropDown="0" showInputMessage="0" showErrorMessage="0" allowBlank="1" type="list">
      <formula1>='Tenants &amp; Leases'!$A$4:$A$38</formula1>
    </dataValidation>
    <dataValidation sqref="B309" showDropDown="0" showInputMessage="0" showErrorMessage="0" allowBlank="1" type="list">
      <formula1>='Properties &amp; Units'!$A$4:$A$38</formula1>
    </dataValidation>
    <dataValidation sqref="C309" showDropDown="0" showInputMessage="0" showErrorMessage="0" allowBlank="1" type="list">
      <formula1>='Properties &amp; Units'!$D$4:$D$38</formula1>
    </dataValidation>
    <dataValidation sqref="D309" showDropDown="0" showInputMessage="0" showErrorMessage="0" allowBlank="1" type="list">
      <formula1>='Tenants &amp; Leases'!$A$4:$A$38</formula1>
    </dataValidation>
    <dataValidation sqref="B310" showDropDown="0" showInputMessage="0" showErrorMessage="0" allowBlank="1" type="list">
      <formula1>='Properties &amp; Units'!$A$4:$A$38</formula1>
    </dataValidation>
    <dataValidation sqref="C310" showDropDown="0" showInputMessage="0" showErrorMessage="0" allowBlank="1" type="list">
      <formula1>='Properties &amp; Units'!$D$4:$D$38</formula1>
    </dataValidation>
    <dataValidation sqref="D310" showDropDown="0" showInputMessage="0" showErrorMessage="0" allowBlank="1" type="list">
      <formula1>='Tenants &amp; Leases'!$A$4:$A$38</formula1>
    </dataValidation>
    <dataValidation sqref="B311" showDropDown="0" showInputMessage="0" showErrorMessage="0" allowBlank="1" type="list">
      <formula1>='Properties &amp; Units'!$A$4:$A$38</formula1>
    </dataValidation>
    <dataValidation sqref="C311" showDropDown="0" showInputMessage="0" showErrorMessage="0" allowBlank="1" type="list">
      <formula1>='Properties &amp; Units'!$D$4:$D$38</formula1>
    </dataValidation>
    <dataValidation sqref="D311" showDropDown="0" showInputMessage="0" showErrorMessage="0" allowBlank="1" type="list">
      <formula1>='Tenants &amp; Leases'!$A$4:$A$38</formula1>
    </dataValidation>
    <dataValidation sqref="B312" showDropDown="0" showInputMessage="0" showErrorMessage="0" allowBlank="1" type="list">
      <formula1>='Properties &amp; Units'!$A$4:$A$38</formula1>
    </dataValidation>
    <dataValidation sqref="C312" showDropDown="0" showInputMessage="0" showErrorMessage="0" allowBlank="1" type="list">
      <formula1>='Properties &amp; Units'!$D$4:$D$38</formula1>
    </dataValidation>
    <dataValidation sqref="D312" showDropDown="0" showInputMessage="0" showErrorMessage="0" allowBlank="1" type="list">
      <formula1>='Tenants &amp; Leases'!$A$4:$A$38</formula1>
    </dataValidation>
    <dataValidation sqref="B313" showDropDown="0" showInputMessage="0" showErrorMessage="0" allowBlank="1" type="list">
      <formula1>='Properties &amp; Units'!$A$4:$A$38</formula1>
    </dataValidation>
    <dataValidation sqref="C313" showDropDown="0" showInputMessage="0" showErrorMessage="0" allowBlank="1" type="list">
      <formula1>='Properties &amp; Units'!$D$4:$D$38</formula1>
    </dataValidation>
    <dataValidation sqref="D313" showDropDown="0" showInputMessage="0" showErrorMessage="0" allowBlank="1" type="list">
      <formula1>='Tenants &amp; Leases'!$A$4:$A$38</formula1>
    </dataValidation>
    <dataValidation sqref="B314" showDropDown="0" showInputMessage="0" showErrorMessage="0" allowBlank="1" type="list">
      <formula1>='Properties &amp; Units'!$A$4:$A$38</formula1>
    </dataValidation>
    <dataValidation sqref="C314" showDropDown="0" showInputMessage="0" showErrorMessage="0" allowBlank="1" type="list">
      <formula1>='Properties &amp; Units'!$D$4:$D$38</formula1>
    </dataValidation>
    <dataValidation sqref="D314" showDropDown="0" showInputMessage="0" showErrorMessage="0" allowBlank="1" type="list">
      <formula1>='Tenants &amp; Leases'!$A$4:$A$38</formula1>
    </dataValidation>
    <dataValidation sqref="B315" showDropDown="0" showInputMessage="0" showErrorMessage="0" allowBlank="1" type="list">
      <formula1>='Properties &amp; Units'!$A$4:$A$38</formula1>
    </dataValidation>
    <dataValidation sqref="C315" showDropDown="0" showInputMessage="0" showErrorMessage="0" allowBlank="1" type="list">
      <formula1>='Properties &amp; Units'!$D$4:$D$38</formula1>
    </dataValidation>
    <dataValidation sqref="D315" showDropDown="0" showInputMessage="0" showErrorMessage="0" allowBlank="1" type="list">
      <formula1>='Tenants &amp; Leases'!$A$4:$A$38</formula1>
    </dataValidation>
    <dataValidation sqref="B316" showDropDown="0" showInputMessage="0" showErrorMessage="0" allowBlank="1" type="list">
      <formula1>='Properties &amp; Units'!$A$4:$A$38</formula1>
    </dataValidation>
    <dataValidation sqref="C316" showDropDown="0" showInputMessage="0" showErrorMessage="0" allowBlank="1" type="list">
      <formula1>='Properties &amp; Units'!$D$4:$D$38</formula1>
    </dataValidation>
    <dataValidation sqref="D316" showDropDown="0" showInputMessage="0" showErrorMessage="0" allowBlank="1" type="list">
      <formula1>='Tenants &amp; Leases'!$A$4:$A$38</formula1>
    </dataValidation>
    <dataValidation sqref="B317" showDropDown="0" showInputMessage="0" showErrorMessage="0" allowBlank="1" type="list">
      <formula1>='Properties &amp; Units'!$A$4:$A$38</formula1>
    </dataValidation>
    <dataValidation sqref="C317" showDropDown="0" showInputMessage="0" showErrorMessage="0" allowBlank="1" type="list">
      <formula1>='Properties &amp; Units'!$D$4:$D$38</formula1>
    </dataValidation>
    <dataValidation sqref="D317" showDropDown="0" showInputMessage="0" showErrorMessage="0" allowBlank="1" type="list">
      <formula1>='Tenants &amp; Leases'!$A$4:$A$38</formula1>
    </dataValidation>
    <dataValidation sqref="B318" showDropDown="0" showInputMessage="0" showErrorMessage="0" allowBlank="1" type="list">
      <formula1>='Properties &amp; Units'!$A$4:$A$38</formula1>
    </dataValidation>
    <dataValidation sqref="C318" showDropDown="0" showInputMessage="0" showErrorMessage="0" allowBlank="1" type="list">
      <formula1>='Properties &amp; Units'!$D$4:$D$38</formula1>
    </dataValidation>
    <dataValidation sqref="D318" showDropDown="0" showInputMessage="0" showErrorMessage="0" allowBlank="1" type="list">
      <formula1>='Tenants &amp; Leases'!$A$4:$A$38</formula1>
    </dataValidation>
    <dataValidation sqref="B319" showDropDown="0" showInputMessage="0" showErrorMessage="0" allowBlank="1" type="list">
      <formula1>='Properties &amp; Units'!$A$4:$A$38</formula1>
    </dataValidation>
    <dataValidation sqref="C319" showDropDown="0" showInputMessage="0" showErrorMessage="0" allowBlank="1" type="list">
      <formula1>='Properties &amp; Units'!$D$4:$D$38</formula1>
    </dataValidation>
    <dataValidation sqref="D319" showDropDown="0" showInputMessage="0" showErrorMessage="0" allowBlank="1" type="list">
      <formula1>='Tenants &amp; Leases'!$A$4:$A$38</formula1>
    </dataValidation>
    <dataValidation sqref="B320" showDropDown="0" showInputMessage="0" showErrorMessage="0" allowBlank="1" type="list">
      <formula1>='Properties &amp; Units'!$A$4:$A$38</formula1>
    </dataValidation>
    <dataValidation sqref="C320" showDropDown="0" showInputMessage="0" showErrorMessage="0" allowBlank="1" type="list">
      <formula1>='Properties &amp; Units'!$D$4:$D$38</formula1>
    </dataValidation>
    <dataValidation sqref="D320" showDropDown="0" showInputMessage="0" showErrorMessage="0" allowBlank="1" type="list">
      <formula1>='Tenants &amp; Leases'!$A$4:$A$38</formula1>
    </dataValidation>
    <dataValidation sqref="B321" showDropDown="0" showInputMessage="0" showErrorMessage="0" allowBlank="1" type="list">
      <formula1>='Properties &amp; Units'!$A$4:$A$38</formula1>
    </dataValidation>
    <dataValidation sqref="C321" showDropDown="0" showInputMessage="0" showErrorMessage="0" allowBlank="1" type="list">
      <formula1>='Properties &amp; Units'!$D$4:$D$38</formula1>
    </dataValidation>
    <dataValidation sqref="D321" showDropDown="0" showInputMessage="0" showErrorMessage="0" allowBlank="1" type="list">
      <formula1>='Tenants &amp; Leases'!$A$4:$A$38</formula1>
    </dataValidation>
    <dataValidation sqref="B322" showDropDown="0" showInputMessage="0" showErrorMessage="0" allowBlank="1" type="list">
      <formula1>='Properties &amp; Units'!$A$4:$A$38</formula1>
    </dataValidation>
    <dataValidation sqref="C322" showDropDown="0" showInputMessage="0" showErrorMessage="0" allowBlank="1" type="list">
      <formula1>='Properties &amp; Units'!$D$4:$D$38</formula1>
    </dataValidation>
    <dataValidation sqref="D322" showDropDown="0" showInputMessage="0" showErrorMessage="0" allowBlank="1" type="list">
      <formula1>='Tenants &amp; Leases'!$A$4:$A$38</formula1>
    </dataValidation>
    <dataValidation sqref="B323" showDropDown="0" showInputMessage="0" showErrorMessage="0" allowBlank="1" type="list">
      <formula1>='Properties &amp; Units'!$A$4:$A$38</formula1>
    </dataValidation>
    <dataValidation sqref="C323" showDropDown="0" showInputMessage="0" showErrorMessage="0" allowBlank="1" type="list">
      <formula1>='Properties &amp; Units'!$D$4:$D$38</formula1>
    </dataValidation>
    <dataValidation sqref="D323" showDropDown="0" showInputMessage="0" showErrorMessage="0" allowBlank="1" type="list">
      <formula1>='Tenants &amp; Leases'!$A$4:$A$38</formula1>
    </dataValidation>
    <dataValidation sqref="B324" showDropDown="0" showInputMessage="0" showErrorMessage="0" allowBlank="1" type="list">
      <formula1>='Properties &amp; Units'!$A$4:$A$38</formula1>
    </dataValidation>
    <dataValidation sqref="C324" showDropDown="0" showInputMessage="0" showErrorMessage="0" allowBlank="1" type="list">
      <formula1>='Properties &amp; Units'!$D$4:$D$38</formula1>
    </dataValidation>
    <dataValidation sqref="D324" showDropDown="0" showInputMessage="0" showErrorMessage="0" allowBlank="1" type="list">
      <formula1>='Tenants &amp; Leases'!$A$4:$A$38</formula1>
    </dataValidation>
    <dataValidation sqref="B325" showDropDown="0" showInputMessage="0" showErrorMessage="0" allowBlank="1" type="list">
      <formula1>='Properties &amp; Units'!$A$4:$A$38</formula1>
    </dataValidation>
    <dataValidation sqref="C325" showDropDown="0" showInputMessage="0" showErrorMessage="0" allowBlank="1" type="list">
      <formula1>='Properties &amp; Units'!$D$4:$D$38</formula1>
    </dataValidation>
    <dataValidation sqref="D325" showDropDown="0" showInputMessage="0" showErrorMessage="0" allowBlank="1" type="list">
      <formula1>='Tenants &amp; Leases'!$A$4:$A$38</formula1>
    </dataValidation>
    <dataValidation sqref="B326" showDropDown="0" showInputMessage="0" showErrorMessage="0" allowBlank="1" type="list">
      <formula1>='Properties &amp; Units'!$A$4:$A$38</formula1>
    </dataValidation>
    <dataValidation sqref="C326" showDropDown="0" showInputMessage="0" showErrorMessage="0" allowBlank="1" type="list">
      <formula1>='Properties &amp; Units'!$D$4:$D$38</formula1>
    </dataValidation>
    <dataValidation sqref="D326" showDropDown="0" showInputMessage="0" showErrorMessage="0" allowBlank="1" type="list">
      <formula1>='Tenants &amp; Leases'!$A$4:$A$38</formula1>
    </dataValidation>
    <dataValidation sqref="B327" showDropDown="0" showInputMessage="0" showErrorMessage="0" allowBlank="1" type="list">
      <formula1>='Properties &amp; Units'!$A$4:$A$38</formula1>
    </dataValidation>
    <dataValidation sqref="C327" showDropDown="0" showInputMessage="0" showErrorMessage="0" allowBlank="1" type="list">
      <formula1>='Properties &amp; Units'!$D$4:$D$38</formula1>
    </dataValidation>
    <dataValidation sqref="D327" showDropDown="0" showInputMessage="0" showErrorMessage="0" allowBlank="1" type="list">
      <formula1>='Tenants &amp; Leases'!$A$4:$A$38</formula1>
    </dataValidation>
    <dataValidation sqref="B328" showDropDown="0" showInputMessage="0" showErrorMessage="0" allowBlank="1" type="list">
      <formula1>='Properties &amp; Units'!$A$4:$A$38</formula1>
    </dataValidation>
    <dataValidation sqref="C328" showDropDown="0" showInputMessage="0" showErrorMessage="0" allowBlank="1" type="list">
      <formula1>='Properties &amp; Units'!$D$4:$D$38</formula1>
    </dataValidation>
    <dataValidation sqref="D328" showDropDown="0" showInputMessage="0" showErrorMessage="0" allowBlank="1" type="list">
      <formula1>='Tenants &amp; Leases'!$A$4:$A$38</formula1>
    </dataValidation>
    <dataValidation sqref="B329" showDropDown="0" showInputMessage="0" showErrorMessage="0" allowBlank="1" type="list">
      <formula1>='Properties &amp; Units'!$A$4:$A$38</formula1>
    </dataValidation>
    <dataValidation sqref="C329" showDropDown="0" showInputMessage="0" showErrorMessage="0" allowBlank="1" type="list">
      <formula1>='Properties &amp; Units'!$D$4:$D$38</formula1>
    </dataValidation>
    <dataValidation sqref="D329" showDropDown="0" showInputMessage="0" showErrorMessage="0" allowBlank="1" type="list">
      <formula1>='Tenants &amp; Leases'!$A$4:$A$38</formula1>
    </dataValidation>
    <dataValidation sqref="B330" showDropDown="0" showInputMessage="0" showErrorMessage="0" allowBlank="1" type="list">
      <formula1>='Properties &amp; Units'!$A$4:$A$38</formula1>
    </dataValidation>
    <dataValidation sqref="C330" showDropDown="0" showInputMessage="0" showErrorMessage="0" allowBlank="1" type="list">
      <formula1>='Properties &amp; Units'!$D$4:$D$38</formula1>
    </dataValidation>
    <dataValidation sqref="D330" showDropDown="0" showInputMessage="0" showErrorMessage="0" allowBlank="1" type="list">
      <formula1>='Tenants &amp; Leases'!$A$4:$A$38</formula1>
    </dataValidation>
    <dataValidation sqref="B331" showDropDown="0" showInputMessage="0" showErrorMessage="0" allowBlank="1" type="list">
      <formula1>='Properties &amp; Units'!$A$4:$A$38</formula1>
    </dataValidation>
    <dataValidation sqref="C331" showDropDown="0" showInputMessage="0" showErrorMessage="0" allowBlank="1" type="list">
      <formula1>='Properties &amp; Units'!$D$4:$D$38</formula1>
    </dataValidation>
    <dataValidation sqref="D331" showDropDown="0" showInputMessage="0" showErrorMessage="0" allowBlank="1" type="list">
      <formula1>='Tenants &amp; Leases'!$A$4:$A$38</formula1>
    </dataValidation>
    <dataValidation sqref="B332" showDropDown="0" showInputMessage="0" showErrorMessage="0" allowBlank="1" type="list">
      <formula1>='Properties &amp; Units'!$A$4:$A$38</formula1>
    </dataValidation>
    <dataValidation sqref="C332" showDropDown="0" showInputMessage="0" showErrorMessage="0" allowBlank="1" type="list">
      <formula1>='Properties &amp; Units'!$D$4:$D$38</formula1>
    </dataValidation>
    <dataValidation sqref="D332" showDropDown="0" showInputMessage="0" showErrorMessage="0" allowBlank="1" type="list">
      <formula1>='Tenants &amp; Leases'!$A$4:$A$38</formula1>
    </dataValidation>
    <dataValidation sqref="B333" showDropDown="0" showInputMessage="0" showErrorMessage="0" allowBlank="1" type="list">
      <formula1>='Properties &amp; Units'!$A$4:$A$38</formula1>
    </dataValidation>
    <dataValidation sqref="C333" showDropDown="0" showInputMessage="0" showErrorMessage="0" allowBlank="1" type="list">
      <formula1>='Properties &amp; Units'!$D$4:$D$38</formula1>
    </dataValidation>
    <dataValidation sqref="D333" showDropDown="0" showInputMessage="0" showErrorMessage="0" allowBlank="1" type="list">
      <formula1>='Tenants &amp; Leases'!$A$4:$A$38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30" customWidth="1" min="6" max="6"/>
    <col width="12" customWidth="1" min="7" max="7"/>
    <col width="18" customWidth="1" min="8" max="8"/>
    <col width="14" customWidth="1" min="9" max="9"/>
    <col width="16" customWidth="1" min="10" max="10"/>
    <col width="18" customWidth="1" min="11" max="11"/>
    <col width="20" customWidth="1" min="12" max="12"/>
  </cols>
  <sheetData>
    <row r="1">
      <c r="A1" s="7" t="inlineStr">
        <is>
          <t>INCOME &amp; EXPENSES</t>
        </is>
      </c>
    </row>
    <row r="3">
      <c r="A3" s="1" t="inlineStr">
        <is>
          <t>Date</t>
        </is>
      </c>
      <c r="B3" s="1" t="inlineStr">
        <is>
          <t>Property</t>
        </is>
      </c>
      <c r="C3" s="1" t="inlineStr">
        <is>
          <t>Unit</t>
        </is>
      </c>
      <c r="D3" s="1" t="inlineStr">
        <is>
          <t>Type</t>
        </is>
      </c>
      <c r="E3" s="1" t="inlineStr">
        <is>
          <t>Category</t>
        </is>
      </c>
      <c r="F3" s="1" t="inlineStr">
        <is>
          <t>Description</t>
        </is>
      </c>
      <c r="G3" s="1" t="inlineStr">
        <is>
          <t>Amount</t>
        </is>
      </c>
      <c r="H3" s="1" t="inlineStr">
        <is>
          <t>Vendor / Source</t>
        </is>
      </c>
      <c r="I3" s="1" t="inlineStr">
        <is>
          <t>Payment Method</t>
        </is>
      </c>
      <c r="J3" s="1" t="inlineStr">
        <is>
          <t>Receipt / Document Link</t>
        </is>
      </c>
      <c r="K3" s="1" t="inlineStr">
        <is>
          <t>Tax/Year-End Category</t>
        </is>
      </c>
      <c r="L3" s="1" t="inlineStr">
        <is>
          <t>Notes</t>
        </is>
      </c>
    </row>
    <row r="4">
      <c r="A4" s="10" t="n">
        <v>46117</v>
      </c>
      <c r="B4" s="8" t="inlineStr">
        <is>
          <t>P1</t>
        </is>
      </c>
      <c r="C4" s="8" t="inlineStr">
        <is>
          <t>P1-U1</t>
        </is>
      </c>
      <c r="D4" s="8" t="inlineStr">
        <is>
          <t>Income</t>
        </is>
      </c>
      <c r="E4" s="8" t="inlineStr">
        <is>
          <t>Rent</t>
        </is>
      </c>
      <c r="F4" s="8" t="inlineStr">
        <is>
          <t>April rent</t>
        </is>
      </c>
      <c r="G4" s="11" t="n">
        <v>1500</v>
      </c>
      <c r="H4" s="8" t="inlineStr"/>
      <c r="I4" s="8" t="inlineStr">
        <is>
          <t>Bank Transfer</t>
        </is>
      </c>
      <c r="J4" s="8" t="inlineStr"/>
      <c r="K4" s="8" t="inlineStr">
        <is>
          <t>Rental Income</t>
        </is>
      </c>
      <c r="L4" s="8" t="n"/>
    </row>
    <row r="5">
      <c r="A5" s="10" t="n">
        <v>46122</v>
      </c>
      <c r="B5" s="8" t="inlineStr">
        <is>
          <t>P1</t>
        </is>
      </c>
      <c r="C5" s="8" t="inlineStr">
        <is>
          <t>P1-U1</t>
        </is>
      </c>
      <c r="D5" s="8" t="inlineStr">
        <is>
          <t>Expense</t>
        </is>
      </c>
      <c r="E5" s="8" t="inlineStr">
        <is>
          <t>Repairs</t>
        </is>
      </c>
      <c r="F5" s="8" t="inlineStr">
        <is>
          <t>Leaky faucet repair</t>
        </is>
      </c>
      <c r="G5" s="11" t="n">
        <v>145</v>
      </c>
      <c r="H5" s="8" t="inlineStr">
        <is>
          <t>Springfield Plumbing</t>
        </is>
      </c>
      <c r="I5" s="8" t="inlineStr">
        <is>
          <t>Card</t>
        </is>
      </c>
      <c r="J5" s="8" t="inlineStr"/>
      <c r="K5" s="8" t="inlineStr">
        <is>
          <t>Repairs</t>
        </is>
      </c>
      <c r="L5" s="8" t="n"/>
    </row>
    <row r="6">
      <c r="A6" s="10" t="n">
        <v>46127</v>
      </c>
      <c r="B6" s="8" t="inlineStr">
        <is>
          <t>P2</t>
        </is>
      </c>
      <c r="C6" s="8" t="inlineStr">
        <is>
          <t>P2-U1</t>
        </is>
      </c>
      <c r="D6" s="8" t="inlineStr">
        <is>
          <t>Expense</t>
        </is>
      </c>
      <c r="E6" s="8" t="inlineStr">
        <is>
          <t>Insurance</t>
        </is>
      </c>
      <c r="F6" s="8" t="inlineStr">
        <is>
          <t>Annual property insurance (prorated)</t>
        </is>
      </c>
      <c r="G6" s="11" t="n">
        <v>210</v>
      </c>
      <c r="H6" s="8" t="inlineStr">
        <is>
          <t>SafeHome Insurance</t>
        </is>
      </c>
      <c r="I6" s="8" t="inlineStr">
        <is>
          <t>Bank Transfer</t>
        </is>
      </c>
      <c r="J6" s="8" t="inlineStr"/>
      <c r="K6" s="8" t="inlineStr">
        <is>
          <t>Insurance</t>
        </is>
      </c>
      <c r="L6" s="8" t="n"/>
    </row>
    <row r="7">
      <c r="A7" s="10" t="n">
        <v>46132</v>
      </c>
      <c r="B7" s="8" t="inlineStr">
        <is>
          <t>P1</t>
        </is>
      </c>
      <c r="C7" s="8" t="inlineStr"/>
      <c r="D7" s="8" t="inlineStr">
        <is>
          <t>Expense</t>
        </is>
      </c>
      <c r="E7" s="8" t="inlineStr">
        <is>
          <t>Property Tax</t>
        </is>
      </c>
      <c r="F7" s="8" t="inlineStr">
        <is>
          <t>Q2 property tax, Maple Ave</t>
        </is>
      </c>
      <c r="G7" s="11" t="n">
        <v>620</v>
      </c>
      <c r="H7" s="8" t="inlineStr">
        <is>
          <t>County Treasurer</t>
        </is>
      </c>
      <c r="I7" s="8" t="inlineStr">
        <is>
          <t>Bank Transfer</t>
        </is>
      </c>
      <c r="J7" s="8" t="inlineStr"/>
      <c r="K7" s="8" t="inlineStr">
        <is>
          <t>Property Tax</t>
        </is>
      </c>
      <c r="L7" s="8" t="n"/>
    </row>
    <row r="8">
      <c r="A8" s="10" t="n">
        <v>46145</v>
      </c>
      <c r="B8" s="8" t="inlineStr">
        <is>
          <t>P3</t>
        </is>
      </c>
      <c r="C8" s="8" t="inlineStr">
        <is>
          <t>P3-U1</t>
        </is>
      </c>
      <c r="D8" s="8" t="inlineStr">
        <is>
          <t>Income</t>
        </is>
      </c>
      <c r="E8" s="8" t="inlineStr">
        <is>
          <t>Late Fee</t>
        </is>
      </c>
      <c r="F8" s="8" t="inlineStr">
        <is>
          <t>Late fee (paid on time, not applied)</t>
        </is>
      </c>
      <c r="G8" s="11" t="n">
        <v>0</v>
      </c>
      <c r="H8" s="8" t="inlineStr"/>
      <c r="I8" s="8" t="inlineStr"/>
      <c r="J8" s="8" t="inlineStr"/>
      <c r="K8" s="8" t="inlineStr">
        <is>
          <t>Other Income</t>
        </is>
      </c>
      <c r="L8" s="8" t="n"/>
    </row>
    <row r="9">
      <c r="A9" s="10" t="n">
        <v>46150</v>
      </c>
      <c r="B9" s="8" t="inlineStr">
        <is>
          <t>P2</t>
        </is>
      </c>
      <c r="C9" s="8" t="inlineStr">
        <is>
          <t>P2-U1</t>
        </is>
      </c>
      <c r="D9" s="8" t="inlineStr">
        <is>
          <t>Expense</t>
        </is>
      </c>
      <c r="E9" s="8" t="inlineStr">
        <is>
          <t>Utilities</t>
        </is>
      </c>
      <c r="F9" s="8" t="inlineStr">
        <is>
          <t>Common-area electric</t>
        </is>
      </c>
      <c r="G9" s="11" t="n">
        <v>88</v>
      </c>
      <c r="H9" s="8" t="inlineStr">
        <is>
          <t>City Power Co</t>
        </is>
      </c>
      <c r="I9" s="8" t="inlineStr">
        <is>
          <t>Card</t>
        </is>
      </c>
      <c r="J9" s="8" t="inlineStr"/>
      <c r="K9" s="8" t="inlineStr">
        <is>
          <t>Utilities</t>
        </is>
      </c>
      <c r="L9" s="8" t="n"/>
    </row>
    <row r="10">
      <c r="A10" s="10" t="n">
        <v>46160</v>
      </c>
      <c r="B10" s="8" t="inlineStr">
        <is>
          <t>P1</t>
        </is>
      </c>
      <c r="C10" s="8" t="inlineStr">
        <is>
          <t>P1-U2</t>
        </is>
      </c>
      <c r="D10" s="8" t="inlineStr">
        <is>
          <t>Expense</t>
        </is>
      </c>
      <c r="E10" s="8" t="inlineStr">
        <is>
          <t>Cleaning</t>
        </is>
      </c>
      <c r="F10" s="8" t="inlineStr">
        <is>
          <t>Turnover cleaning after T2 moved out</t>
        </is>
      </c>
      <c r="G10" s="11" t="n">
        <v>180</v>
      </c>
      <c r="H10" s="8" t="inlineStr">
        <is>
          <t>SparkleClean Co</t>
        </is>
      </c>
      <c r="I10" s="8" t="inlineStr">
        <is>
          <t>Card</t>
        </is>
      </c>
      <c r="J10" s="8" t="inlineStr"/>
      <c r="K10" s="8" t="inlineStr">
        <is>
          <t>Cleaning</t>
        </is>
      </c>
      <c r="L10" s="8" t="n"/>
    </row>
    <row r="11">
      <c r="A11" s="10" t="n">
        <v>46175</v>
      </c>
      <c r="B11" s="8" t="inlineStr">
        <is>
          <t>P3</t>
        </is>
      </c>
      <c r="C11" s="8" t="inlineStr">
        <is>
          <t>P3-U1</t>
        </is>
      </c>
      <c r="D11" s="8" t="inlineStr">
        <is>
          <t>Expense</t>
        </is>
      </c>
      <c r="E11" s="8" t="inlineStr">
        <is>
          <t>HOA</t>
        </is>
      </c>
      <c r="F11" s="8" t="inlineStr">
        <is>
          <t>Monthly HOA dues</t>
        </is>
      </c>
      <c r="G11" s="11" t="n">
        <v>45</v>
      </c>
      <c r="H11" s="8" t="inlineStr">
        <is>
          <t>Elm Court HOA</t>
        </is>
      </c>
      <c r="I11" s="8" t="inlineStr">
        <is>
          <t>Bank Transfer</t>
        </is>
      </c>
      <c r="J11" s="8" t="inlineStr"/>
      <c r="K11" s="8" t="inlineStr">
        <is>
          <t>HOA</t>
        </is>
      </c>
      <c r="L11" s="8" t="n"/>
    </row>
    <row r="12">
      <c r="A12" s="10" t="n">
        <v>46185</v>
      </c>
      <c r="B12" s="8" t="inlineStr">
        <is>
          <t>P2</t>
        </is>
      </c>
      <c r="C12" s="8" t="inlineStr">
        <is>
          <t>P2-U2</t>
        </is>
      </c>
      <c r="D12" s="8" t="inlineStr">
        <is>
          <t>Expense</t>
        </is>
      </c>
      <c r="E12" s="8" t="inlineStr">
        <is>
          <t>Advertising</t>
        </is>
      </c>
      <c r="F12" s="8" t="inlineStr">
        <is>
          <t>Listing ad for vacant unit</t>
        </is>
      </c>
      <c r="G12" s="11" t="n">
        <v>35</v>
      </c>
      <c r="H12" s="8" t="inlineStr">
        <is>
          <t>RentBoard.com</t>
        </is>
      </c>
      <c r="I12" s="8" t="inlineStr">
        <is>
          <t>Card</t>
        </is>
      </c>
      <c r="J12" s="8" t="inlineStr"/>
      <c r="K12" s="8" t="inlineStr">
        <is>
          <t>Advertising</t>
        </is>
      </c>
      <c r="L12" s="8" t="n"/>
    </row>
    <row r="13">
      <c r="A13" s="10" t="n">
        <v>46204</v>
      </c>
      <c r="B13" s="8" t="inlineStr">
        <is>
          <t>P1</t>
        </is>
      </c>
      <c r="C13" s="8" t="inlineStr">
        <is>
          <t>P1-U2</t>
        </is>
      </c>
      <c r="D13" s="8" t="inlineStr">
        <is>
          <t>Income</t>
        </is>
      </c>
      <c r="E13" s="8" t="inlineStr">
        <is>
          <t>Rent</t>
        </is>
      </c>
      <c r="F13" s="8" t="inlineStr">
        <is>
          <t>First month rent, new tenant Aisha Bello</t>
        </is>
      </c>
      <c r="G13" s="11" t="n">
        <v>1250</v>
      </c>
      <c r="H13" s="8" t="inlineStr"/>
      <c r="I13" s="8" t="inlineStr">
        <is>
          <t>Bank Transfer</t>
        </is>
      </c>
      <c r="J13" s="8" t="inlineStr"/>
      <c r="K13" s="8" t="inlineStr">
        <is>
          <t>Rental Income</t>
        </is>
      </c>
      <c r="L13" s="8" t="n"/>
    </row>
    <row r="14">
      <c r="A14" s="10" t="n">
        <v>46212</v>
      </c>
      <c r="B14" s="8" t="inlineStr">
        <is>
          <t>P1</t>
        </is>
      </c>
      <c r="C14" s="8" t="inlineStr"/>
      <c r="D14" s="8" t="inlineStr">
        <is>
          <t>Expense</t>
        </is>
      </c>
      <c r="E14" s="8" t="inlineStr">
        <is>
          <t>Management Fees</t>
        </is>
      </c>
      <c r="F14" s="8" t="inlineStr">
        <is>
          <t>Property management, Maple Ave</t>
        </is>
      </c>
      <c r="G14" s="11" t="n">
        <v>150</v>
      </c>
      <c r="H14" s="8" t="inlineStr">
        <is>
          <t>Springfield PM Co</t>
        </is>
      </c>
      <c r="I14" s="8" t="inlineStr">
        <is>
          <t>Bank Transfer</t>
        </is>
      </c>
      <c r="J14" s="8" t="inlineStr"/>
      <c r="K14" s="8" t="inlineStr">
        <is>
          <t>Management Fees</t>
        </is>
      </c>
      <c r="L14" s="8" t="n"/>
    </row>
    <row r="15">
      <c r="A15" s="10" t="n">
        <v>46248</v>
      </c>
      <c r="B15" s="8" t="inlineStr">
        <is>
          <t>P3</t>
        </is>
      </c>
      <c r="C15" s="8" t="inlineStr">
        <is>
          <t>P3-U1</t>
        </is>
      </c>
      <c r="D15" s="8" t="inlineStr">
        <is>
          <t>Expense</t>
        </is>
      </c>
      <c r="E15" s="8" t="inlineStr">
        <is>
          <t>Legal/Professional</t>
        </is>
      </c>
      <c r="F15" s="8" t="inlineStr">
        <is>
          <t>Lease renewal document review</t>
        </is>
      </c>
      <c r="G15" s="11" t="n">
        <v>120</v>
      </c>
      <c r="H15" s="8" t="inlineStr">
        <is>
          <t>Hart &amp; Kim LLP</t>
        </is>
      </c>
      <c r="I15" s="8" t="inlineStr">
        <is>
          <t>Card</t>
        </is>
      </c>
      <c r="J15" s="8" t="inlineStr"/>
      <c r="K15" s="8" t="inlineStr">
        <is>
          <t>Legal/Professional</t>
        </is>
      </c>
      <c r="L15" s="8" t="n"/>
    </row>
    <row r="16">
      <c r="A16" s="10" t="n">
        <v>46266</v>
      </c>
      <c r="B16" s="8" t="inlineStr">
        <is>
          <t>P2</t>
        </is>
      </c>
      <c r="C16" s="8" t="inlineStr">
        <is>
          <t>P2-U2</t>
        </is>
      </c>
      <c r="D16" s="8" t="inlineStr">
        <is>
          <t>Income</t>
        </is>
      </c>
      <c r="E16" s="8" t="inlineStr">
        <is>
          <t>Rent</t>
        </is>
      </c>
      <c r="F16" s="8" t="inlineStr">
        <is>
          <t>First month rent, new tenant Marcus Webb</t>
        </is>
      </c>
      <c r="G16" s="11" t="n">
        <v>1100</v>
      </c>
      <c r="H16" s="8" t="inlineStr"/>
      <c r="I16" s="8" t="inlineStr">
        <is>
          <t>Bank Transfer</t>
        </is>
      </c>
      <c r="J16" s="8" t="inlineStr"/>
      <c r="K16" s="8" t="inlineStr">
        <is>
          <t>Rental Income</t>
        </is>
      </c>
      <c r="L16" s="8" t="n"/>
    </row>
    <row r="17">
      <c r="A17" s="10" t="n"/>
      <c r="B17" s="8" t="n"/>
      <c r="C17" s="8" t="n"/>
      <c r="D17" s="8" t="n"/>
      <c r="E17" s="8" t="n"/>
      <c r="F17" s="8" t="n"/>
      <c r="G17" s="11" t="n"/>
      <c r="H17" s="8" t="n"/>
      <c r="I17" s="8" t="n"/>
      <c r="J17" s="8" t="n"/>
      <c r="K17" s="8" t="n"/>
      <c r="L17" s="8" t="n"/>
    </row>
    <row r="18">
      <c r="A18" s="10" t="n"/>
      <c r="B18" s="8" t="n"/>
      <c r="C18" s="8" t="n"/>
      <c r="D18" s="8" t="n"/>
      <c r="E18" s="8" t="n"/>
      <c r="F18" s="8" t="n"/>
      <c r="G18" s="11" t="n"/>
      <c r="H18" s="8" t="n"/>
      <c r="I18" s="8" t="n"/>
      <c r="J18" s="8" t="n"/>
      <c r="K18" s="8" t="n"/>
      <c r="L18" s="8" t="n"/>
    </row>
    <row r="19">
      <c r="A19" s="10" t="n"/>
      <c r="B19" s="8" t="n"/>
      <c r="C19" s="8" t="n"/>
      <c r="D19" s="8" t="n"/>
      <c r="E19" s="8" t="n"/>
      <c r="F19" s="8" t="n"/>
      <c r="G19" s="11" t="n"/>
      <c r="H19" s="8" t="n"/>
      <c r="I19" s="8" t="n"/>
      <c r="J19" s="8" t="n"/>
      <c r="K19" s="8" t="n"/>
      <c r="L19" s="8" t="n"/>
    </row>
    <row r="20">
      <c r="A20" s="10" t="n"/>
      <c r="B20" s="8" t="n"/>
      <c r="C20" s="8" t="n"/>
      <c r="D20" s="8" t="n"/>
      <c r="E20" s="8" t="n"/>
      <c r="F20" s="8" t="n"/>
      <c r="G20" s="11" t="n"/>
      <c r="H20" s="8" t="n"/>
      <c r="I20" s="8" t="n"/>
      <c r="J20" s="8" t="n"/>
      <c r="K20" s="8" t="n"/>
      <c r="L20" s="8" t="n"/>
    </row>
    <row r="21">
      <c r="A21" s="10" t="n"/>
      <c r="B21" s="8" t="n"/>
      <c r="C21" s="8" t="n"/>
      <c r="D21" s="8" t="n"/>
      <c r="E21" s="8" t="n"/>
      <c r="F21" s="8" t="n"/>
      <c r="G21" s="11" t="n"/>
      <c r="H21" s="8" t="n"/>
      <c r="I21" s="8" t="n"/>
      <c r="J21" s="8" t="n"/>
      <c r="K21" s="8" t="n"/>
      <c r="L21" s="8" t="n"/>
    </row>
    <row r="22">
      <c r="A22" s="10" t="n"/>
      <c r="B22" s="8" t="n"/>
      <c r="C22" s="8" t="n"/>
      <c r="D22" s="8" t="n"/>
      <c r="E22" s="8" t="n"/>
      <c r="F22" s="8" t="n"/>
      <c r="G22" s="11" t="n"/>
      <c r="H22" s="8" t="n"/>
      <c r="I22" s="8" t="n"/>
      <c r="J22" s="8" t="n"/>
      <c r="K22" s="8" t="n"/>
      <c r="L22" s="8" t="n"/>
    </row>
    <row r="23">
      <c r="A23" s="10" t="n"/>
      <c r="B23" s="8" t="n"/>
      <c r="C23" s="8" t="n"/>
      <c r="D23" s="8" t="n"/>
      <c r="E23" s="8" t="n"/>
      <c r="F23" s="8" t="n"/>
      <c r="G23" s="11" t="n"/>
      <c r="H23" s="8" t="n"/>
      <c r="I23" s="8" t="n"/>
      <c r="J23" s="8" t="n"/>
      <c r="K23" s="8" t="n"/>
      <c r="L23" s="8" t="n"/>
    </row>
    <row r="24">
      <c r="A24" s="10" t="n"/>
      <c r="B24" s="8" t="n"/>
      <c r="C24" s="8" t="n"/>
      <c r="D24" s="8" t="n"/>
      <c r="E24" s="8" t="n"/>
      <c r="F24" s="8" t="n"/>
      <c r="G24" s="11" t="n"/>
      <c r="H24" s="8" t="n"/>
      <c r="I24" s="8" t="n"/>
      <c r="J24" s="8" t="n"/>
      <c r="K24" s="8" t="n"/>
      <c r="L24" s="8" t="n"/>
    </row>
    <row r="25">
      <c r="A25" s="10" t="n"/>
      <c r="B25" s="8" t="n"/>
      <c r="C25" s="8" t="n"/>
      <c r="D25" s="8" t="n"/>
      <c r="E25" s="8" t="n"/>
      <c r="F25" s="8" t="n"/>
      <c r="G25" s="11" t="n"/>
      <c r="H25" s="8" t="n"/>
      <c r="I25" s="8" t="n"/>
      <c r="J25" s="8" t="n"/>
      <c r="K25" s="8" t="n"/>
      <c r="L25" s="8" t="n"/>
    </row>
    <row r="26">
      <c r="A26" s="10" t="n"/>
      <c r="B26" s="8" t="n"/>
      <c r="C26" s="8" t="n"/>
      <c r="D26" s="8" t="n"/>
      <c r="E26" s="8" t="n"/>
      <c r="F26" s="8" t="n"/>
      <c r="G26" s="11" t="n"/>
      <c r="H26" s="8" t="n"/>
      <c r="I26" s="8" t="n"/>
      <c r="J26" s="8" t="n"/>
      <c r="K26" s="8" t="n"/>
      <c r="L26" s="8" t="n"/>
    </row>
    <row r="27">
      <c r="A27" s="10" t="n"/>
      <c r="B27" s="8" t="n"/>
      <c r="C27" s="8" t="n"/>
      <c r="D27" s="8" t="n"/>
      <c r="E27" s="8" t="n"/>
      <c r="F27" s="8" t="n"/>
      <c r="G27" s="11" t="n"/>
      <c r="H27" s="8" t="n"/>
      <c r="I27" s="8" t="n"/>
      <c r="J27" s="8" t="n"/>
      <c r="K27" s="8" t="n"/>
      <c r="L27" s="8" t="n"/>
    </row>
    <row r="28">
      <c r="A28" s="10" t="n"/>
      <c r="B28" s="8" t="n"/>
      <c r="C28" s="8" t="n"/>
      <c r="D28" s="8" t="n"/>
      <c r="E28" s="8" t="n"/>
      <c r="F28" s="8" t="n"/>
      <c r="G28" s="11" t="n"/>
      <c r="H28" s="8" t="n"/>
      <c r="I28" s="8" t="n"/>
      <c r="J28" s="8" t="n"/>
      <c r="K28" s="8" t="n"/>
      <c r="L28" s="8" t="n"/>
    </row>
    <row r="29">
      <c r="A29" s="10" t="n"/>
      <c r="B29" s="8" t="n"/>
      <c r="C29" s="8" t="n"/>
      <c r="D29" s="8" t="n"/>
      <c r="E29" s="8" t="n"/>
      <c r="F29" s="8" t="n"/>
      <c r="G29" s="11" t="n"/>
      <c r="H29" s="8" t="n"/>
      <c r="I29" s="8" t="n"/>
      <c r="J29" s="8" t="n"/>
      <c r="K29" s="8" t="n"/>
      <c r="L29" s="8" t="n"/>
    </row>
    <row r="30">
      <c r="A30" s="10" t="n"/>
      <c r="B30" s="8" t="n"/>
      <c r="C30" s="8" t="n"/>
      <c r="D30" s="8" t="n"/>
      <c r="E30" s="8" t="n"/>
      <c r="F30" s="8" t="n"/>
      <c r="G30" s="11" t="n"/>
      <c r="H30" s="8" t="n"/>
      <c r="I30" s="8" t="n"/>
      <c r="J30" s="8" t="n"/>
      <c r="K30" s="8" t="n"/>
      <c r="L30" s="8" t="n"/>
    </row>
    <row r="31">
      <c r="A31" s="10" t="n"/>
      <c r="B31" s="8" t="n"/>
      <c r="C31" s="8" t="n"/>
      <c r="D31" s="8" t="n"/>
      <c r="E31" s="8" t="n"/>
      <c r="F31" s="8" t="n"/>
      <c r="G31" s="11" t="n"/>
      <c r="H31" s="8" t="n"/>
      <c r="I31" s="8" t="n"/>
      <c r="J31" s="8" t="n"/>
      <c r="K31" s="8" t="n"/>
      <c r="L31" s="8" t="n"/>
    </row>
    <row r="33">
      <c r="A33" s="5" t="inlineStr">
        <is>
          <t>TOTAL INCOME</t>
        </is>
      </c>
      <c r="G33" s="14">
        <f>SUMIF(D4:D31,"Income",G4:G31)</f>
        <v/>
      </c>
    </row>
    <row r="34">
      <c r="A34" s="5" t="inlineStr">
        <is>
          <t>TOTAL EXPENSES</t>
        </is>
      </c>
      <c r="G34" s="14">
        <f>SUMIF(D4:D31,"Expense",G4:G31)</f>
        <v/>
      </c>
    </row>
    <row r="35">
      <c r="A35" s="5" t="inlineStr">
        <is>
          <t>NET</t>
        </is>
      </c>
      <c r="G35" s="14">
        <f>G33-G34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56">
    <dataValidation sqref="D4" showDropDown="0" showInputMessage="0" showErrorMessage="0" allowBlank="1" type="list">
      <formula1>"Income,Expense"</formula1>
    </dataValidation>
    <dataValidation sqref="E4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5" showDropDown="0" showInputMessage="0" showErrorMessage="0" allowBlank="1" type="list">
      <formula1>"Income,Expense"</formula1>
    </dataValidation>
    <dataValidation sqref="E5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6" showDropDown="0" showInputMessage="0" showErrorMessage="0" allowBlank="1" type="list">
      <formula1>"Income,Expense"</formula1>
    </dataValidation>
    <dataValidation sqref="E6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7" showDropDown="0" showInputMessage="0" showErrorMessage="0" allowBlank="1" type="list">
      <formula1>"Income,Expense"</formula1>
    </dataValidation>
    <dataValidation sqref="E7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8" showDropDown="0" showInputMessage="0" showErrorMessage="0" allowBlank="1" type="list">
      <formula1>"Income,Expense"</formula1>
    </dataValidation>
    <dataValidation sqref="E8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9" showDropDown="0" showInputMessage="0" showErrorMessage="0" allowBlank="1" type="list">
      <formula1>"Income,Expense"</formula1>
    </dataValidation>
    <dataValidation sqref="E9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0" showDropDown="0" showInputMessage="0" showErrorMessage="0" allowBlank="1" type="list">
      <formula1>"Income,Expense"</formula1>
    </dataValidation>
    <dataValidation sqref="E10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1" showDropDown="0" showInputMessage="0" showErrorMessage="0" allowBlank="1" type="list">
      <formula1>"Income,Expense"</formula1>
    </dataValidation>
    <dataValidation sqref="E11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2" showDropDown="0" showInputMessage="0" showErrorMessage="0" allowBlank="1" type="list">
      <formula1>"Income,Expense"</formula1>
    </dataValidation>
    <dataValidation sqref="E12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3" showDropDown="0" showInputMessage="0" showErrorMessage="0" allowBlank="1" type="list">
      <formula1>"Income,Expense"</formula1>
    </dataValidation>
    <dataValidation sqref="E13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4" showDropDown="0" showInputMessage="0" showErrorMessage="0" allowBlank="1" type="list">
      <formula1>"Income,Expense"</formula1>
    </dataValidation>
    <dataValidation sqref="E14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5" showDropDown="0" showInputMessage="0" showErrorMessage="0" allowBlank="1" type="list">
      <formula1>"Income,Expense"</formula1>
    </dataValidation>
    <dataValidation sqref="E15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6" showDropDown="0" showInputMessage="0" showErrorMessage="0" allowBlank="1" type="list">
      <formula1>"Income,Expense"</formula1>
    </dataValidation>
    <dataValidation sqref="E16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7" showDropDown="0" showInputMessage="0" showErrorMessage="0" allowBlank="1" type="list">
      <formula1>"Income,Expense"</formula1>
    </dataValidation>
    <dataValidation sqref="E17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8" showDropDown="0" showInputMessage="0" showErrorMessage="0" allowBlank="1" type="list">
      <formula1>"Income,Expense"</formula1>
    </dataValidation>
    <dataValidation sqref="E18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9" showDropDown="0" showInputMessage="0" showErrorMessage="0" allowBlank="1" type="list">
      <formula1>"Income,Expense"</formula1>
    </dataValidation>
    <dataValidation sqref="E19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0" showDropDown="0" showInputMessage="0" showErrorMessage="0" allowBlank="1" type="list">
      <formula1>"Income,Expense"</formula1>
    </dataValidation>
    <dataValidation sqref="E20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1" showDropDown="0" showInputMessage="0" showErrorMessage="0" allowBlank="1" type="list">
      <formula1>"Income,Expense"</formula1>
    </dataValidation>
    <dataValidation sqref="E21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2" showDropDown="0" showInputMessage="0" showErrorMessage="0" allowBlank="1" type="list">
      <formula1>"Income,Expense"</formula1>
    </dataValidation>
    <dataValidation sqref="E22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3" showDropDown="0" showInputMessage="0" showErrorMessage="0" allowBlank="1" type="list">
      <formula1>"Income,Expense"</formula1>
    </dataValidation>
    <dataValidation sqref="E23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4" showDropDown="0" showInputMessage="0" showErrorMessage="0" allowBlank="1" type="list">
      <formula1>"Income,Expense"</formula1>
    </dataValidation>
    <dataValidation sqref="E24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5" showDropDown="0" showInputMessage="0" showErrorMessage="0" allowBlank="1" type="list">
      <formula1>"Income,Expense"</formula1>
    </dataValidation>
    <dataValidation sqref="E25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6" showDropDown="0" showInputMessage="0" showErrorMessage="0" allowBlank="1" type="list">
      <formula1>"Income,Expense"</formula1>
    </dataValidation>
    <dataValidation sqref="E26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7" showDropDown="0" showInputMessage="0" showErrorMessage="0" allowBlank="1" type="list">
      <formula1>"Income,Expense"</formula1>
    </dataValidation>
    <dataValidation sqref="E27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8" showDropDown="0" showInputMessage="0" showErrorMessage="0" allowBlank="1" type="list">
      <formula1>"Income,Expense"</formula1>
    </dataValidation>
    <dataValidation sqref="E28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9" showDropDown="0" showInputMessage="0" showErrorMessage="0" allowBlank="1" type="list">
      <formula1>"Income,Expense"</formula1>
    </dataValidation>
    <dataValidation sqref="E29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30" showDropDown="0" showInputMessage="0" showErrorMessage="0" allowBlank="1" type="list">
      <formula1>"Income,Expense"</formula1>
    </dataValidation>
    <dataValidation sqref="E30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31" showDropDown="0" showInputMessage="0" showErrorMessage="0" allowBlank="1" type="list">
      <formula1>"Income,Expense"</formula1>
    </dataValidation>
    <dataValidation sqref="E31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30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14" customWidth="1" min="11" max="11"/>
    <col width="14" customWidth="1" min="12" max="12"/>
    <col width="24" customWidth="1" min="13" max="13"/>
  </cols>
  <sheetData>
    <row r="1">
      <c r="A1" s="7" t="inlineStr">
        <is>
          <t>MAINTENANCE &amp; REPAIRS</t>
        </is>
      </c>
    </row>
    <row r="3">
      <c r="A3" s="1" t="inlineStr">
        <is>
          <t>Request ID</t>
        </is>
      </c>
      <c r="B3" s="1" t="inlineStr">
        <is>
          <t>Date Reported</t>
        </is>
      </c>
      <c r="C3" s="1" t="inlineStr">
        <is>
          <t>Property</t>
        </is>
      </c>
      <c r="D3" s="1" t="inlineStr">
        <is>
          <t>Unit</t>
        </is>
      </c>
      <c r="E3" s="1" t="inlineStr">
        <is>
          <t>Issue</t>
        </is>
      </c>
      <c r="F3" s="1" t="inlineStr">
        <is>
          <t>Priority</t>
        </is>
      </c>
      <c r="G3" s="1" t="inlineStr">
        <is>
          <t>Status</t>
        </is>
      </c>
      <c r="H3" s="1" t="inlineStr">
        <is>
          <t>Vendor</t>
        </is>
      </c>
      <c r="I3" s="1" t="inlineStr">
        <is>
          <t>Estimated Cost</t>
        </is>
      </c>
      <c r="J3" s="1" t="inlineStr">
        <is>
          <t>Actual Cost</t>
        </is>
      </c>
      <c r="K3" s="1" t="inlineStr">
        <is>
          <t>Scheduled Date</t>
        </is>
      </c>
      <c r="L3" s="1" t="inlineStr">
        <is>
          <t>Completed Date</t>
        </is>
      </c>
      <c r="M3" s="1" t="inlineStr">
        <is>
          <t>Notes</t>
        </is>
      </c>
    </row>
    <row r="4">
      <c r="A4" s="8" t="inlineStr">
        <is>
          <t>M1</t>
        </is>
      </c>
      <c r="B4" s="10" t="n">
        <v>46120</v>
      </c>
      <c r="C4" s="8" t="inlineStr">
        <is>
          <t>P1</t>
        </is>
      </c>
      <c r="D4" s="8" t="inlineStr">
        <is>
          <t>P1-U1</t>
        </is>
      </c>
      <c r="E4" s="8" t="inlineStr">
        <is>
          <t>Kitchen faucet leaking</t>
        </is>
      </c>
      <c r="F4" s="8" t="inlineStr">
        <is>
          <t>Medium</t>
        </is>
      </c>
      <c r="G4" s="8" t="inlineStr">
        <is>
          <t>Completed</t>
        </is>
      </c>
      <c r="H4" s="8" t="inlineStr">
        <is>
          <t>Springfield Plumbing</t>
        </is>
      </c>
      <c r="I4" s="11" t="n">
        <v>150</v>
      </c>
      <c r="J4" s="11" t="n">
        <v>145</v>
      </c>
      <c r="K4" s="10" t="n">
        <v>46122</v>
      </c>
      <c r="L4" s="10" t="n">
        <v>46122</v>
      </c>
      <c r="M4" s="8" t="n"/>
    </row>
    <row r="5">
      <c r="A5" s="8" t="inlineStr">
        <is>
          <t>M2</t>
        </is>
      </c>
      <c r="B5" s="10" t="n">
        <v>46162</v>
      </c>
      <c r="C5" s="8" t="inlineStr">
        <is>
          <t>P1</t>
        </is>
      </c>
      <c r="D5" s="8" t="inlineStr">
        <is>
          <t>P1-U2</t>
        </is>
      </c>
      <c r="E5" s="8" t="inlineStr">
        <is>
          <t>Turnover cleaning + paint touch-up</t>
        </is>
      </c>
      <c r="F5" s="8" t="inlineStr">
        <is>
          <t>Low</t>
        </is>
      </c>
      <c r="G5" s="8" t="inlineStr">
        <is>
          <t>Completed</t>
        </is>
      </c>
      <c r="H5" s="8" t="inlineStr">
        <is>
          <t>SparkleClean Co</t>
        </is>
      </c>
      <c r="I5" s="11" t="n">
        <v>200</v>
      </c>
      <c r="J5" s="11" t="n">
        <v>180</v>
      </c>
      <c r="K5" s="10" t="n">
        <v>46164</v>
      </c>
      <c r="L5" s="10" t="n">
        <v>46164</v>
      </c>
      <c r="M5" s="8" t="n"/>
    </row>
    <row r="6">
      <c r="A6" s="8" t="inlineStr">
        <is>
          <t>M3</t>
        </is>
      </c>
      <c r="B6" s="10" t="n">
        <v>46178</v>
      </c>
      <c r="C6" s="8" t="inlineStr">
        <is>
          <t>P2</t>
        </is>
      </c>
      <c r="D6" s="8" t="inlineStr">
        <is>
          <t>P2-U1</t>
        </is>
      </c>
      <c r="E6" s="8" t="inlineStr">
        <is>
          <t>AC unit making noise</t>
        </is>
      </c>
      <c r="F6" s="8" t="inlineStr">
        <is>
          <t>High</t>
        </is>
      </c>
      <c r="G6" s="8" t="inlineStr">
        <is>
          <t>Scheduled</t>
        </is>
      </c>
      <c r="H6" s="8" t="inlineStr">
        <is>
          <t>CoolAir HVAC</t>
        </is>
      </c>
      <c r="I6" s="11" t="n">
        <v>300</v>
      </c>
      <c r="J6" s="11" t="inlineStr"/>
      <c r="K6" s="10" t="n">
        <v>46290</v>
      </c>
      <c r="L6" s="8" t="n"/>
      <c r="M6" s="8" t="n"/>
    </row>
    <row r="7">
      <c r="A7" s="8" t="inlineStr">
        <is>
          <t>M4</t>
        </is>
      </c>
      <c r="B7" s="10" t="n">
        <v>46235</v>
      </c>
      <c r="C7" s="8" t="inlineStr">
        <is>
          <t>P3</t>
        </is>
      </c>
      <c r="D7" s="8" t="inlineStr">
        <is>
          <t>P3-U1</t>
        </is>
      </c>
      <c r="E7" s="8" t="inlineStr">
        <is>
          <t>Gutter cleaning before fall</t>
        </is>
      </c>
      <c r="F7" s="8" t="inlineStr">
        <is>
          <t>Low</t>
        </is>
      </c>
      <c r="G7" s="8" t="inlineStr">
        <is>
          <t>Open</t>
        </is>
      </c>
      <c r="H7" s="8" t="inlineStr"/>
      <c r="I7" s="11" t="n">
        <v>120</v>
      </c>
      <c r="J7" s="11" t="inlineStr"/>
      <c r="K7" s="8" t="n"/>
      <c r="L7" s="8" t="n"/>
      <c r="M7" s="8" t="n"/>
    </row>
    <row r="8">
      <c r="A8" s="8" t="inlineStr">
        <is>
          <t>M5</t>
        </is>
      </c>
      <c r="B8" s="10" t="n">
        <v>46270</v>
      </c>
      <c r="C8" s="8" t="inlineStr">
        <is>
          <t>P2</t>
        </is>
      </c>
      <c r="D8" s="8" t="inlineStr">
        <is>
          <t>P2-U2</t>
        </is>
      </c>
      <c r="E8" s="8" t="inlineStr">
        <is>
          <t>Replace broken window latch (move-in prep)</t>
        </is>
      </c>
      <c r="F8" s="8" t="inlineStr">
        <is>
          <t>Medium</t>
        </is>
      </c>
      <c r="G8" s="8" t="inlineStr">
        <is>
          <t>Waiting</t>
        </is>
      </c>
      <c r="H8" s="8" t="inlineStr">
        <is>
          <t>GlassFix Co</t>
        </is>
      </c>
      <c r="I8" s="11" t="n">
        <v>90</v>
      </c>
      <c r="J8" s="11" t="inlineStr"/>
      <c r="K8" s="8" t="n"/>
      <c r="L8" s="8" t="n"/>
      <c r="M8" s="8" t="n"/>
    </row>
    <row r="10">
      <c r="A10" t="inlineStr">
        <is>
          <t>Open Maintenance Count</t>
        </is>
      </c>
      <c r="B10">
        <f>COUNTIF(G4:G18,"Open")+COUNTIF(G4:G18,"Scheduled")+COUNTIF(G4:G18,"Waiting")</f>
        <v/>
      </c>
    </row>
    <row r="11">
      <c r="A11" t="inlineStr">
        <is>
          <t>Urgent/High Priority Open Count</t>
        </is>
      </c>
      <c r="B11">
        <f>SUMPRODUCT((F4:F18="High")*(G4:G18&lt;&gt;"Completed")*(G4:G18&lt;&gt;"Cancelled"))+SUMPRODUCT((F4:F18="Urgent")*(G4:G18&lt;&gt;"Completed")*(G4:G18&lt;&gt;"Cancelled"))</f>
        <v/>
      </c>
    </row>
    <row r="12">
      <c r="A12" t="inlineStr">
        <is>
          <t>This Month's Completed Spend</t>
        </is>
      </c>
      <c r="B12" s="14">
        <f>SUMPRODUCT((TEXT(L4:L18,"yyyy-mm")=TEXT(TODAY(),"yyyy-mm"))*IF(ISNUMBER(J4:J18),J4:J18,0))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G4:G18">
    <cfRule type="expression" priority="1" dxfId="1">
      <formula>AND(OR($F4="High",$F4="Urgent"),$G4&lt;&gt;"Completed",$G4&lt;&gt;"Cancelled")</formula>
    </cfRule>
  </conditionalFormatting>
  <dataValidations count="10">
    <dataValidation sqref="G4" showDropDown="0" showInputMessage="0" showErrorMessage="0" allowBlank="1" type="list">
      <formula1>"Open,Scheduled,Waiting,Completed,Cancelled"</formula1>
    </dataValidation>
    <dataValidation sqref="F4" showDropDown="0" showInputMessage="0" showErrorMessage="0" allowBlank="1" type="list">
      <formula1>"Low,Medium,High,Urgent"</formula1>
    </dataValidation>
    <dataValidation sqref="G5" showDropDown="0" showInputMessage="0" showErrorMessage="0" allowBlank="1" type="list">
      <formula1>"Open,Scheduled,Waiting,Completed,Cancelled"</formula1>
    </dataValidation>
    <dataValidation sqref="F5" showDropDown="0" showInputMessage="0" showErrorMessage="0" allowBlank="1" type="list">
      <formula1>"Low,Medium,High,Urgent"</formula1>
    </dataValidation>
    <dataValidation sqref="G6" showDropDown="0" showInputMessage="0" showErrorMessage="0" allowBlank="1" type="list">
      <formula1>"Open,Scheduled,Waiting,Completed,Cancelled"</formula1>
    </dataValidation>
    <dataValidation sqref="F6" showDropDown="0" showInputMessage="0" showErrorMessage="0" allowBlank="1" type="list">
      <formula1>"Low,Medium,High,Urgent"</formula1>
    </dataValidation>
    <dataValidation sqref="G7" showDropDown="0" showInputMessage="0" showErrorMessage="0" allowBlank="1" type="list">
      <formula1>"Open,Scheduled,Waiting,Completed,Cancelled"</formula1>
    </dataValidation>
    <dataValidation sqref="F7" showDropDown="0" showInputMessage="0" showErrorMessage="0" allowBlank="1" type="list">
      <formula1>"Low,Medium,High,Urgent"</formula1>
    </dataValidation>
    <dataValidation sqref="G8" showDropDown="0" showInputMessage="0" showErrorMessage="0" allowBlank="1" type="list">
      <formula1>"Open,Scheduled,Waiting,Completed,Cancelled"</formula1>
    </dataValidation>
    <dataValidation sqref="F8" showDropDown="0" showInputMessage="0" showErrorMessage="0" allowBlank="1" type="list">
      <formula1>"Low,Medium,High,Urgent"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>
      <c r="A1" s="7" t="inlineStr">
        <is>
          <t>SECTION A — SECURITY DEPOSITS</t>
        </is>
      </c>
    </row>
    <row r="3">
      <c r="A3" s="1" t="inlineStr">
        <is>
          <t>Property</t>
        </is>
      </c>
      <c r="B3" s="1" t="inlineStr">
        <is>
          <t>Unit</t>
        </is>
      </c>
      <c r="C3" s="1" t="inlineStr">
        <is>
          <t>Tenant</t>
        </is>
      </c>
      <c r="D3" s="1" t="inlineStr">
        <is>
          <t>Deposit Required</t>
        </is>
      </c>
      <c r="E3" s="1" t="inlineStr">
        <is>
          <t>Deposit Received</t>
        </is>
      </c>
      <c r="F3" s="1" t="inlineStr">
        <is>
          <t>Date Received</t>
        </is>
      </c>
      <c r="G3" s="1" t="inlineStr">
        <is>
          <t>Deductions</t>
        </is>
      </c>
      <c r="H3" s="1" t="inlineStr">
        <is>
          <t>Amount Returned</t>
        </is>
      </c>
      <c r="I3" s="1" t="inlineStr">
        <is>
          <t>Date Returned</t>
        </is>
      </c>
    </row>
    <row r="4">
      <c r="A4" s="8" t="inlineStr">
        <is>
          <t>P1</t>
        </is>
      </c>
      <c r="B4" s="8" t="inlineStr">
        <is>
          <t>P1-U1</t>
        </is>
      </c>
      <c r="C4" s="8" t="inlineStr">
        <is>
          <t>John Smith</t>
        </is>
      </c>
      <c r="D4" s="11" t="n">
        <v>1500</v>
      </c>
      <c r="E4" s="11" t="n">
        <v>1500</v>
      </c>
      <c r="F4" s="10" t="n">
        <v>45658</v>
      </c>
      <c r="G4" s="11" t="n">
        <v>0</v>
      </c>
      <c r="H4" s="11" t="inlineStr"/>
      <c r="I4" s="8" t="n"/>
    </row>
    <row r="5">
      <c r="A5" s="8" t="inlineStr">
        <is>
          <t>P1</t>
        </is>
      </c>
      <c r="B5" s="8" t="inlineStr">
        <is>
          <t>P1-U2</t>
        </is>
      </c>
      <c r="C5" s="8" t="inlineStr">
        <is>
          <t>Maria Lopez</t>
        </is>
      </c>
      <c r="D5" s="11" t="n">
        <v>1200</v>
      </c>
      <c r="E5" s="11" t="n">
        <v>1200</v>
      </c>
      <c r="F5" s="10" t="n">
        <v>45689</v>
      </c>
      <c r="G5" s="11" t="n">
        <v>100</v>
      </c>
      <c r="H5" s="11" t="n">
        <v>1100</v>
      </c>
      <c r="I5" s="10" t="n">
        <v>46208</v>
      </c>
    </row>
    <row r="6">
      <c r="A6" s="8" t="inlineStr">
        <is>
          <t>P1</t>
        </is>
      </c>
      <c r="B6" s="8" t="inlineStr">
        <is>
          <t>P1-U2</t>
        </is>
      </c>
      <c r="C6" s="8" t="inlineStr">
        <is>
          <t>Aisha Bello</t>
        </is>
      </c>
      <c r="D6" s="11" t="n">
        <v>1250</v>
      </c>
      <c r="E6" s="11" t="n">
        <v>1250</v>
      </c>
      <c r="F6" s="10" t="n">
        <v>46204</v>
      </c>
      <c r="G6" s="11" t="n">
        <v>0</v>
      </c>
      <c r="H6" s="11" t="inlineStr"/>
      <c r="I6" s="8" t="n"/>
    </row>
    <row r="7">
      <c r="A7" s="8" t="inlineStr">
        <is>
          <t>P2</t>
        </is>
      </c>
      <c r="B7" s="8" t="inlineStr">
        <is>
          <t>P2-U1</t>
        </is>
      </c>
      <c r="C7" s="8" t="inlineStr">
        <is>
          <t>David Chen</t>
        </is>
      </c>
      <c r="D7" s="11" t="n">
        <v>1200</v>
      </c>
      <c r="E7" s="11" t="n">
        <v>1200</v>
      </c>
      <c r="F7" s="10" t="n">
        <v>45383</v>
      </c>
      <c r="G7" s="11" t="n">
        <v>0</v>
      </c>
      <c r="H7" s="11" t="inlineStr"/>
      <c r="I7" s="8" t="n"/>
    </row>
    <row r="8">
      <c r="A8" s="8" t="inlineStr">
        <is>
          <t>P2</t>
        </is>
      </c>
      <c r="B8" s="8" t="inlineStr">
        <is>
          <t>P2-U2</t>
        </is>
      </c>
      <c r="C8" s="8" t="inlineStr">
        <is>
          <t>Marcus Webb</t>
        </is>
      </c>
      <c r="D8" s="11" t="n">
        <v>1100</v>
      </c>
      <c r="E8" s="11" t="n">
        <v>1100</v>
      </c>
      <c r="F8" s="10" t="n">
        <v>46266</v>
      </c>
      <c r="G8" s="11" t="n">
        <v>0</v>
      </c>
      <c r="H8" s="11" t="inlineStr"/>
      <c r="I8" s="8" t="n"/>
    </row>
    <row r="9">
      <c r="A9" s="8" t="inlineStr">
        <is>
          <t>P3</t>
        </is>
      </c>
      <c r="B9" s="8" t="inlineStr">
        <is>
          <t>P3-U1</t>
        </is>
      </c>
      <c r="C9" s="8" t="inlineStr">
        <is>
          <t>Priya Patel</t>
        </is>
      </c>
      <c r="D9" s="11" t="n">
        <v>1900</v>
      </c>
      <c r="E9" s="11" t="n">
        <v>1900</v>
      </c>
      <c r="F9" s="10" t="n">
        <v>45901</v>
      </c>
      <c r="G9" s="11" t="n">
        <v>0</v>
      </c>
      <c r="H9" s="11" t="inlineStr"/>
      <c r="I9" s="8" t="n"/>
    </row>
    <row r="11">
      <c r="A11" s="5" t="inlineStr">
        <is>
          <t>Total Deposits Held (Received minus Returned)</t>
        </is>
      </c>
      <c r="E11" s="14">
        <f>SUM(E4:E9)-SUM(H4:H9)</f>
        <v/>
      </c>
    </row>
    <row r="14">
      <c r="A14" s="15" t="inlineStr">
        <is>
          <t>SECTION B — CAPITAL IMPROVEMENTS</t>
        </is>
      </c>
    </row>
    <row r="16">
      <c r="A16" s="1" t="inlineStr">
        <is>
          <t>Date</t>
        </is>
      </c>
      <c r="B16" s="1" t="inlineStr">
        <is>
          <t>Property</t>
        </is>
      </c>
      <c r="C16" s="1" t="inlineStr">
        <is>
          <t>Unit</t>
        </is>
      </c>
      <c r="D16" s="1" t="inlineStr">
        <is>
          <t>Improvement</t>
        </is>
      </c>
      <c r="E16" s="1" t="inlineStr">
        <is>
          <t>Vendor</t>
        </is>
      </c>
      <c r="F16" s="1" t="inlineStr">
        <is>
          <t>Cost</t>
        </is>
      </c>
      <c r="G16" s="1" t="inlineStr">
        <is>
          <t>Category</t>
        </is>
      </c>
    </row>
    <row r="17">
      <c r="A17" s="10" t="n">
        <v>46143</v>
      </c>
      <c r="B17" s="8" t="inlineStr">
        <is>
          <t>P2</t>
        </is>
      </c>
      <c r="C17" s="8" t="inlineStr">
        <is>
          <t>P2-U1</t>
        </is>
      </c>
      <c r="D17" s="8" t="inlineStr">
        <is>
          <t>New water heater</t>
        </is>
      </c>
      <c r="E17" s="8" t="inlineStr">
        <is>
          <t>Springfield Plumbing</t>
        </is>
      </c>
      <c r="F17" s="11" t="n">
        <v>950</v>
      </c>
      <c r="G17" s="8" t="inlineStr">
        <is>
          <t>Appliance</t>
        </is>
      </c>
    </row>
    <row r="18">
      <c r="A18" s="10" t="n">
        <v>46223</v>
      </c>
      <c r="B18" s="8" t="inlineStr">
        <is>
          <t>P1</t>
        </is>
      </c>
      <c r="C18" s="8" t="inlineStr">
        <is>
          <t>P1-U2</t>
        </is>
      </c>
      <c r="D18" s="8" t="inlineStr">
        <is>
          <t>Refinished hardwood floors (turnover)</t>
        </is>
      </c>
      <c r="E18" s="8" t="inlineStr">
        <is>
          <t>FloorCraft Co</t>
        </is>
      </c>
      <c r="F18" s="11" t="n">
        <v>1400</v>
      </c>
      <c r="G18" s="8" t="inlineStr">
        <is>
          <t>Flooring</t>
        </is>
      </c>
    </row>
    <row r="20">
      <c r="A20" s="5" t="inlineStr">
        <is>
          <t>Total Capital Improvements</t>
        </is>
      </c>
      <c r="F20" s="14">
        <f>SUM(F17:F18)</f>
        <v/>
      </c>
    </row>
    <row r="22">
      <c r="A22" s="12" t="inlineStr">
        <is>
          <t>This is an organizational ledger only — it does not calculate depreciation or state any tax treatment.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22:G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7" t="inlineStr">
        <is>
          <t>PORTFOLIO DASHBOARD</t>
        </is>
      </c>
    </row>
    <row r="3">
      <c r="A3" t="inlineStr">
        <is>
          <t>Properties</t>
        </is>
      </c>
      <c r="B3" s="16">
        <f>SUMPRODUCT(('Properties &amp; Units'!$A$4:$A$38&lt;&gt;"")/COUNTIF('Properties &amp; Units'!$A$4:$A$38,'Properties &amp; Units'!$A$4:$A$38&amp;""))</f>
        <v/>
      </c>
    </row>
    <row r="4">
      <c r="A4" t="inlineStr">
        <is>
          <t>Occupied Units</t>
        </is>
      </c>
      <c r="B4" s="16">
        <f>COUNTIF('Properties &amp; Units'!$J$4:$J$38,"Occupied")</f>
        <v/>
      </c>
    </row>
    <row r="5">
      <c r="A5" t="inlineStr">
        <is>
          <t>Monthly Rent Due (this sheet total)</t>
        </is>
      </c>
      <c r="B5" s="14">
        <f>'Rent Tracker'!$B$337</f>
        <v/>
      </c>
    </row>
    <row r="6">
      <c r="A6" t="inlineStr">
        <is>
          <t>Rent Collected (this sheet total)</t>
        </is>
      </c>
      <c r="B6" s="14">
        <f>'Rent Tracker'!$B$338</f>
        <v/>
      </c>
    </row>
    <row r="7">
      <c r="A7" t="inlineStr">
        <is>
          <t>Outstanding Rent (this sheet total)</t>
        </is>
      </c>
      <c r="B7" s="14">
        <f>'Rent Tracker'!$B$339</f>
        <v/>
      </c>
    </row>
    <row r="8">
      <c r="A8" t="inlineStr">
        <is>
          <t>Income YTD</t>
        </is>
      </c>
      <c r="B8" s="14">
        <f>'Income &amp; Expenses'!$G$33</f>
        <v/>
      </c>
    </row>
    <row r="9">
      <c r="A9" t="inlineStr">
        <is>
          <t>Expenses YTD</t>
        </is>
      </c>
      <c r="B9" s="14">
        <f>'Income &amp; Expenses'!$G$34</f>
        <v/>
      </c>
    </row>
    <row r="10">
      <c r="A10" t="inlineStr">
        <is>
          <t>Net Cash Flow YTD</t>
        </is>
      </c>
      <c r="B10" s="14">
        <f>'Income &amp; Expenses'!$G$35</f>
        <v/>
      </c>
    </row>
    <row r="11">
      <c r="A11" t="inlineStr">
        <is>
          <t>Open Maintenance</t>
        </is>
      </c>
      <c r="B11" s="16">
        <f>'Maintenance &amp; Repairs'!$B$10</f>
        <v/>
      </c>
    </row>
    <row r="12">
      <c r="A12" t="inlineStr">
        <is>
          <t>Deposits Held</t>
        </is>
      </c>
      <c r="B12" s="14">
        <f>'Deposits &amp; Capital Improvements'!$E$11</f>
        <v/>
      </c>
    </row>
    <row r="14">
      <c r="A14" s="3" t="inlineStr">
        <is>
          <t>ACTION ITEMS</t>
        </is>
      </c>
    </row>
    <row r="15">
      <c r="A15" t="inlineStr">
        <is>
          <t>Overdue / Partial Rent (count)</t>
        </is>
      </c>
      <c r="B15" s="16">
        <f>'Rent Tracker'!$B$340</f>
        <v/>
      </c>
    </row>
    <row r="16">
      <c r="A16" t="inlineStr">
        <is>
          <t>Leases Expiring / Expired (flag count)</t>
        </is>
      </c>
      <c r="B16">
        <f>SUMPRODUCT(('Tenants &amp; Leases'!$M$4:$M$38&lt;&gt;"")*1)</f>
        <v/>
      </c>
    </row>
    <row r="17">
      <c r="A17" t="inlineStr">
        <is>
          <t>Open Maintenance (count)</t>
        </is>
      </c>
      <c r="B17" s="16">
        <f>'Maintenance &amp; Repairs'!$B$10</f>
        <v/>
      </c>
    </row>
    <row r="18">
      <c r="A18" t="inlineStr">
        <is>
          <t>Vacant Units (count)</t>
        </is>
      </c>
      <c r="B18" s="16">
        <f>COUNTIF('Properties &amp; Units'!$J$4:$J$38,"Vacant")</f>
        <v/>
      </c>
    </row>
    <row r="90">
      <c r="A90" s="17" t="inlineStr">
        <is>
          <t>CHART DATA (auto-calculated from the sheets above — do not edit)</t>
        </is>
      </c>
    </row>
    <row r="92">
      <c r="A92" s="1" t="inlineStr">
        <is>
          <t>Month</t>
        </is>
      </c>
      <c r="B92" s="1" t="inlineStr">
        <is>
          <t>Income</t>
        </is>
      </c>
      <c r="C92" s="1" t="inlineStr">
        <is>
          <t>Expenses</t>
        </is>
      </c>
    </row>
    <row r="93">
      <c r="A93" s="18" t="n">
        <v>46113</v>
      </c>
      <c r="B93" s="14">
        <f>SUMPRODUCT((YEAR('Income &amp; Expenses'!$A$4:$A$31)=2026)*(MONTH('Income &amp; Expenses'!$A$4:$A$31)=4)*('Income &amp; Expenses'!$D$4:$D$31="Income")*'Income &amp; Expenses'!$G$4:$G$31)</f>
        <v/>
      </c>
      <c r="C93" s="14">
        <f>SUMPRODUCT((YEAR('Income &amp; Expenses'!$A$4:$A$31)=2026)*(MONTH('Income &amp; Expenses'!$A$4:$A$31)=4)*('Income &amp; Expenses'!$D$4:$D$31="Expense")*'Income &amp; Expenses'!$G$4:$G$31)</f>
        <v/>
      </c>
    </row>
    <row r="94">
      <c r="A94" s="18" t="n">
        <v>46143</v>
      </c>
      <c r="B94" s="14">
        <f>SUMPRODUCT((YEAR('Income &amp; Expenses'!$A$4:$A$31)=2026)*(MONTH('Income &amp; Expenses'!$A$4:$A$31)=5)*('Income &amp; Expenses'!$D$4:$D$31="Income")*'Income &amp; Expenses'!$G$4:$G$31)</f>
        <v/>
      </c>
      <c r="C94" s="14">
        <f>SUMPRODUCT((YEAR('Income &amp; Expenses'!$A$4:$A$31)=2026)*(MONTH('Income &amp; Expenses'!$A$4:$A$31)=5)*('Income &amp; Expenses'!$D$4:$D$31="Expense")*'Income &amp; Expenses'!$G$4:$G$31)</f>
        <v/>
      </c>
    </row>
    <row r="95">
      <c r="A95" s="18" t="n">
        <v>46174</v>
      </c>
      <c r="B95" s="14">
        <f>SUMPRODUCT((YEAR('Income &amp; Expenses'!$A$4:$A$31)=2026)*(MONTH('Income &amp; Expenses'!$A$4:$A$31)=6)*('Income &amp; Expenses'!$D$4:$D$31="Income")*'Income &amp; Expenses'!$G$4:$G$31)</f>
        <v/>
      </c>
      <c r="C95" s="14">
        <f>SUMPRODUCT((YEAR('Income &amp; Expenses'!$A$4:$A$31)=2026)*(MONTH('Income &amp; Expenses'!$A$4:$A$31)=6)*('Income &amp; Expenses'!$D$4:$D$31="Expense")*'Income &amp; Expenses'!$G$4:$G$31)</f>
        <v/>
      </c>
    </row>
    <row r="96">
      <c r="A96" s="18" t="n">
        <v>46204</v>
      </c>
      <c r="B96" s="14">
        <f>SUMPRODUCT((YEAR('Income &amp; Expenses'!$A$4:$A$31)=2026)*(MONTH('Income &amp; Expenses'!$A$4:$A$31)=7)*('Income &amp; Expenses'!$D$4:$D$31="Income")*'Income &amp; Expenses'!$G$4:$G$31)</f>
        <v/>
      </c>
      <c r="C96" s="14">
        <f>SUMPRODUCT((YEAR('Income &amp; Expenses'!$A$4:$A$31)=2026)*(MONTH('Income &amp; Expenses'!$A$4:$A$31)=7)*('Income &amp; Expenses'!$D$4:$D$31="Expense")*'Income &amp; Expenses'!$G$4:$G$31)</f>
        <v/>
      </c>
    </row>
    <row r="97">
      <c r="A97" s="18" t="n">
        <v>46235</v>
      </c>
      <c r="B97" s="14">
        <f>SUMPRODUCT((YEAR('Income &amp; Expenses'!$A$4:$A$31)=2026)*(MONTH('Income &amp; Expenses'!$A$4:$A$31)=8)*('Income &amp; Expenses'!$D$4:$D$31="Income")*'Income &amp; Expenses'!$G$4:$G$31)</f>
        <v/>
      </c>
      <c r="C97" s="14">
        <f>SUMPRODUCT((YEAR('Income &amp; Expenses'!$A$4:$A$31)=2026)*(MONTH('Income &amp; Expenses'!$A$4:$A$31)=8)*('Income &amp; Expenses'!$D$4:$D$31="Expense")*'Income &amp; Expenses'!$G$4:$G$31)</f>
        <v/>
      </c>
    </row>
    <row r="98">
      <c r="A98" s="18" t="n">
        <v>46266</v>
      </c>
      <c r="B98" s="14">
        <f>SUMPRODUCT((YEAR('Income &amp; Expenses'!$A$4:$A$31)=2026)*(MONTH('Income &amp; Expenses'!$A$4:$A$31)=9)*('Income &amp; Expenses'!$D$4:$D$31="Income")*'Income &amp; Expenses'!$G$4:$G$31)</f>
        <v/>
      </c>
      <c r="C98" s="14">
        <f>SUMPRODUCT((YEAR('Income &amp; Expenses'!$A$4:$A$31)=2026)*(MONTH('Income &amp; Expenses'!$A$4:$A$31)=9)*('Income &amp; Expenses'!$D$4:$D$31="Expense")*'Income &amp; Expenses'!$G$4:$G$31)</f>
        <v/>
      </c>
    </row>
    <row r="101">
      <c r="A101" s="1" t="inlineStr">
        <is>
          <t>Month</t>
        </is>
      </c>
      <c r="B101" s="1" t="inlineStr">
        <is>
          <t>Rent Due</t>
        </is>
      </c>
      <c r="C101" s="1" t="inlineStr">
        <is>
          <t>Rent Collected</t>
        </is>
      </c>
    </row>
    <row r="102">
      <c r="A102" s="18" t="n">
        <v>46113</v>
      </c>
      <c r="B102" s="14">
        <f>SUMPRODUCT((YEAR('Rent Tracker'!$A$4:$A$333)=2026)*(MONTH('Rent Tracker'!$A$4:$A$333)=4)*'Rent Tracker'!$G$4:$G$333)</f>
        <v/>
      </c>
      <c r="C102" s="14">
        <f>SUMPRODUCT((YEAR('Rent Tracker'!$A$4:$A$333)=2026)*(MONTH('Rent Tracker'!$A$4:$A$333)=4)*'Rent Tracker'!$N$4:$N$333)</f>
        <v/>
      </c>
    </row>
    <row r="103">
      <c r="A103" s="18" t="n">
        <v>46143</v>
      </c>
      <c r="B103" s="14">
        <f>SUMPRODUCT((YEAR('Rent Tracker'!$A$4:$A$333)=2026)*(MONTH('Rent Tracker'!$A$4:$A$333)=5)*'Rent Tracker'!$G$4:$G$333)</f>
        <v/>
      </c>
      <c r="C103" s="14">
        <f>SUMPRODUCT((YEAR('Rent Tracker'!$A$4:$A$333)=2026)*(MONTH('Rent Tracker'!$A$4:$A$333)=5)*'Rent Tracker'!$N$4:$N$333)</f>
        <v/>
      </c>
    </row>
    <row r="104">
      <c r="A104" s="18" t="n">
        <v>46174</v>
      </c>
      <c r="B104" s="14">
        <f>SUMPRODUCT((YEAR('Rent Tracker'!$A$4:$A$333)=2026)*(MONTH('Rent Tracker'!$A$4:$A$333)=6)*'Rent Tracker'!$G$4:$G$333)</f>
        <v/>
      </c>
      <c r="C104" s="14">
        <f>SUMPRODUCT((YEAR('Rent Tracker'!$A$4:$A$333)=2026)*(MONTH('Rent Tracker'!$A$4:$A$333)=6)*'Rent Tracker'!$N$4:$N$333)</f>
        <v/>
      </c>
    </row>
    <row r="105">
      <c r="A105" s="18" t="n">
        <v>46204</v>
      </c>
      <c r="B105" s="14">
        <f>SUMPRODUCT((YEAR('Rent Tracker'!$A$4:$A$333)=2026)*(MONTH('Rent Tracker'!$A$4:$A$333)=7)*'Rent Tracker'!$G$4:$G$333)</f>
        <v/>
      </c>
      <c r="C105" s="14">
        <f>SUMPRODUCT((YEAR('Rent Tracker'!$A$4:$A$333)=2026)*(MONTH('Rent Tracker'!$A$4:$A$333)=7)*'Rent Tracker'!$N$4:$N$333)</f>
        <v/>
      </c>
    </row>
    <row r="106">
      <c r="A106" s="18" t="n">
        <v>46235</v>
      </c>
      <c r="B106" s="14">
        <f>SUMPRODUCT((YEAR('Rent Tracker'!$A$4:$A$333)=2026)*(MONTH('Rent Tracker'!$A$4:$A$333)=8)*'Rent Tracker'!$G$4:$G$333)</f>
        <v/>
      </c>
      <c r="C106" s="14">
        <f>SUMPRODUCT((YEAR('Rent Tracker'!$A$4:$A$333)=2026)*(MONTH('Rent Tracker'!$A$4:$A$333)=8)*'Rent Tracker'!$N$4:$N$333)</f>
        <v/>
      </c>
    </row>
    <row r="107">
      <c r="A107" s="18" t="n">
        <v>46266</v>
      </c>
      <c r="B107" s="14">
        <f>SUMPRODUCT((YEAR('Rent Tracker'!$A$4:$A$333)=2026)*(MONTH('Rent Tracker'!$A$4:$A$333)=9)*'Rent Tracker'!$G$4:$G$333)</f>
        <v/>
      </c>
      <c r="C107" s="14">
        <f>SUMPRODUCT((YEAR('Rent Tracker'!$A$4:$A$333)=2026)*(MONTH('Rent Tracker'!$A$4:$A$333)=9)*'Rent Tracker'!$N$4:$N$333)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10">
    <cfRule type="cellIs" priority="1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</cols>
  <sheetData>
    <row r="1">
      <c r="A1" s="7" t="inlineStr">
        <is>
          <t>YEAR-END SUMMARY</t>
        </is>
      </c>
    </row>
    <row r="2">
      <c r="A2" s="12" t="inlineStr">
        <is>
          <t>Designed to help organize records for year-end review.</t>
        </is>
      </c>
    </row>
    <row r="4">
      <c r="A4" t="inlineStr">
        <is>
          <t>Total Rental Income</t>
        </is>
      </c>
      <c r="B4" s="14">
        <f>SUMIF('Income &amp; Expenses'!$D$4:$D$31,"Income",'Income &amp; Expenses'!$G$4:$G$31)</f>
        <v/>
      </c>
    </row>
    <row r="5">
      <c r="A5" t="inlineStr">
        <is>
          <t>Other Income</t>
        </is>
      </c>
      <c r="B5" s="14">
        <f>0</f>
        <v/>
      </c>
    </row>
    <row r="6">
      <c r="A6" t="inlineStr">
        <is>
          <t>Total Expenses</t>
        </is>
      </c>
      <c r="B6" s="14">
        <f>'Income &amp; Expenses'!$G$34</f>
        <v/>
      </c>
    </row>
    <row r="7">
      <c r="A7" t="inlineStr">
        <is>
          <t>Net Operating Cash Flow</t>
        </is>
      </c>
      <c r="B7" s="14">
        <f>'Income &amp; Expenses'!$G$35</f>
        <v/>
      </c>
    </row>
    <row r="8">
      <c r="A8" t="inlineStr">
        <is>
          <t>Capital Improvements (see log)</t>
        </is>
      </c>
      <c r="B8" s="14">
        <f>'Deposits &amp; Capital Improvements'!$F$20</f>
        <v/>
      </c>
    </row>
    <row r="9">
      <c r="A9" t="inlineStr">
        <is>
          <t>Security Deposits Currently Held</t>
        </is>
      </c>
      <c r="B9" s="14">
        <f>'Deposits &amp; Capital Improvements'!$E$11</f>
        <v/>
      </c>
    </row>
    <row r="10">
      <c r="A10" t="inlineStr">
        <is>
          <t>Total Maintenance/Repair Spend (all logged)</t>
        </is>
      </c>
      <c r="B10" s="14">
        <f>SUM('Maintenance &amp; Repairs'!$J$4:$J$18)</f>
        <v/>
      </c>
    </row>
    <row r="13">
      <c r="A13" s="19" t="inlineStr">
        <is>
          <t>Expenses by Category</t>
        </is>
      </c>
    </row>
    <row r="14">
      <c r="A14" t="inlineStr">
        <is>
          <t>Repairs</t>
        </is>
      </c>
      <c r="B14" s="14">
        <f>SUMIFS('Income &amp; Expenses'!$G$4:$G$31,'Income &amp; Expenses'!$D$4:$D$31,"Expense",'Income &amp; Expenses'!$E$4:$E$31,"Repairs")</f>
        <v/>
      </c>
    </row>
    <row r="15">
      <c r="A15" t="inlineStr">
        <is>
          <t>Maintenance</t>
        </is>
      </c>
      <c r="B15" s="14">
        <f>SUMIFS('Income &amp; Expenses'!$G$4:$G$31,'Income &amp; Expenses'!$D$4:$D$31,"Expense",'Income &amp; Expenses'!$E$4:$E$31,"Maintenance")</f>
        <v/>
      </c>
    </row>
    <row r="16">
      <c r="A16" t="inlineStr">
        <is>
          <t>Utilities</t>
        </is>
      </c>
      <c r="B16" s="14">
        <f>SUMIFS('Income &amp; Expenses'!$G$4:$G$31,'Income &amp; Expenses'!$D$4:$D$31,"Expense",'Income &amp; Expenses'!$E$4:$E$31,"Utilities")</f>
        <v/>
      </c>
    </row>
    <row r="17">
      <c r="A17" t="inlineStr">
        <is>
          <t>Insurance</t>
        </is>
      </c>
      <c r="B17" s="14">
        <f>SUMIFS('Income &amp; Expenses'!$G$4:$G$31,'Income &amp; Expenses'!$D$4:$D$31,"Expense",'Income &amp; Expenses'!$E$4:$E$31,"Insurance")</f>
        <v/>
      </c>
    </row>
    <row r="18">
      <c r="A18" t="inlineStr">
        <is>
          <t>Property Tax</t>
        </is>
      </c>
      <c r="B18" s="14">
        <f>SUMIFS('Income &amp; Expenses'!$G$4:$G$31,'Income &amp; Expenses'!$D$4:$D$31,"Expense",'Income &amp; Expenses'!$E$4:$E$31,"Property Tax")</f>
        <v/>
      </c>
    </row>
    <row r="19">
      <c r="A19" t="inlineStr">
        <is>
          <t>HOA</t>
        </is>
      </c>
      <c r="B19" s="14">
        <f>SUMIFS('Income &amp; Expenses'!$G$4:$G$31,'Income &amp; Expenses'!$D$4:$D$31,"Expense",'Income &amp; Expenses'!$E$4:$E$31,"HOA")</f>
        <v/>
      </c>
    </row>
    <row r="20">
      <c r="A20" t="inlineStr">
        <is>
          <t>Management Fees</t>
        </is>
      </c>
      <c r="B20" s="14">
        <f>SUMIFS('Income &amp; Expenses'!$G$4:$G$31,'Income &amp; Expenses'!$D$4:$D$31,"Expense",'Income &amp; Expenses'!$E$4:$E$31,"Management Fees")</f>
        <v/>
      </c>
    </row>
    <row r="21">
      <c r="A21" t="inlineStr">
        <is>
          <t>Cleaning</t>
        </is>
      </c>
      <c r="B21" s="14">
        <f>SUMIFS('Income &amp; Expenses'!$G$4:$G$31,'Income &amp; Expenses'!$D$4:$D$31,"Expense",'Income &amp; Expenses'!$E$4:$E$31,"Cleaning")</f>
        <v/>
      </c>
    </row>
    <row r="22">
      <c r="A22" t="inlineStr">
        <is>
          <t>Supplies</t>
        </is>
      </c>
      <c r="B22" s="14">
        <f>SUMIFS('Income &amp; Expenses'!$G$4:$G$31,'Income &amp; Expenses'!$D$4:$D$31,"Expense",'Income &amp; Expenses'!$E$4:$E$31,"Supplies")</f>
        <v/>
      </c>
    </row>
    <row r="23">
      <c r="A23" t="inlineStr">
        <is>
          <t>Advertising</t>
        </is>
      </c>
      <c r="B23" s="14">
        <f>SUMIFS('Income &amp; Expenses'!$G$4:$G$31,'Income &amp; Expenses'!$D$4:$D$31,"Expense",'Income &amp; Expenses'!$E$4:$E$31,"Advertising")</f>
        <v/>
      </c>
    </row>
    <row r="24">
      <c r="A24" t="inlineStr">
        <is>
          <t>Legal/Professional</t>
        </is>
      </c>
      <c r="B24" s="14">
        <f>SUMIFS('Income &amp; Expenses'!$G$4:$G$31,'Income &amp; Expenses'!$D$4:$D$31,"Expense",'Income &amp; Expenses'!$E$4:$E$31,"Legal/Professional")</f>
        <v/>
      </c>
    </row>
    <row r="25">
      <c r="A25" t="inlineStr">
        <is>
          <t>Mortgage Interest</t>
        </is>
      </c>
      <c r="B25" s="14">
        <f>SUMIFS('Income &amp; Expenses'!$G$4:$G$31,'Income &amp; Expenses'!$D$4:$D$31,"Expense",'Income &amp; Expenses'!$E$4:$E$31,"Mortgage Interest")</f>
        <v/>
      </c>
    </row>
    <row r="26">
      <c r="A26" t="inlineStr">
        <is>
          <t>Travel/Mileage Log Reference</t>
        </is>
      </c>
      <c r="B26" s="14">
        <f>SUMIFS('Income &amp; Expenses'!$G$4:$G$31,'Income &amp; Expenses'!$D$4:$D$31,"Expense",'Income &amp; Expenses'!$E$4:$E$31,"Travel/Mileage Log Reference")</f>
        <v/>
      </c>
    </row>
    <row r="27">
      <c r="A27" t="inlineStr">
        <is>
          <t>Other</t>
        </is>
      </c>
      <c r="B27" s="14">
        <f>SUMIFS('Income &amp; Expenses'!$G$4:$G$31,'Income &amp; Expenses'!$D$4:$D$31,"Expense",'Income &amp; Expenses'!$E$4:$E$31,"Other")</f>
        <v/>
      </c>
    </row>
    <row r="30">
      <c r="A30" s="19" t="inlineStr">
        <is>
          <t>Property Comparison (Income / Expense / Net)</t>
        </is>
      </c>
    </row>
    <row r="31">
      <c r="A31" s="1" t="inlineStr">
        <is>
          <t>Property</t>
        </is>
      </c>
      <c r="B31" s="1" t="inlineStr">
        <is>
          <t>Income</t>
        </is>
      </c>
      <c r="C31" s="1" t="inlineStr">
        <is>
          <t>Expenses</t>
        </is>
      </c>
      <c r="D31" s="1" t="inlineStr">
        <is>
          <t>Net</t>
        </is>
      </c>
    </row>
    <row r="32">
      <c r="A32" t="inlineStr">
        <is>
          <t>P1 — Maple Ave Duplex</t>
        </is>
      </c>
      <c r="B32" s="14">
        <f>SUMIFS('Income &amp; Expenses'!$G$4:$G$31,'Income &amp; Expenses'!$B$4:$B$31,"P1",'Income &amp; Expenses'!$D$4:$D$31,"Income")</f>
        <v/>
      </c>
      <c r="C32" s="14">
        <f>SUMIFS('Income &amp; Expenses'!$G$4:$G$31,'Income &amp; Expenses'!$B$4:$B$31,"P1",'Income &amp; Expenses'!$D$4:$D$31,"Expense")</f>
        <v/>
      </c>
      <c r="D32" s="14">
        <f>B32-C32</f>
        <v/>
      </c>
    </row>
    <row r="33">
      <c r="A33" t="inlineStr">
        <is>
          <t>P2 — Oak Street Fourplex</t>
        </is>
      </c>
      <c r="B33" s="14">
        <f>SUMIFS('Income &amp; Expenses'!$G$4:$G$31,'Income &amp; Expenses'!$B$4:$B$31,"P2",'Income &amp; Expenses'!$D$4:$D$31,"Income")</f>
        <v/>
      </c>
      <c r="C33" s="14">
        <f>SUMIFS('Income &amp; Expenses'!$G$4:$G$31,'Income &amp; Expenses'!$B$4:$B$31,"P2",'Income &amp; Expenses'!$D$4:$D$31,"Expense")</f>
        <v/>
      </c>
      <c r="D33" s="14">
        <f>B33-C33</f>
        <v/>
      </c>
    </row>
    <row r="34">
      <c r="A34" t="inlineStr">
        <is>
          <t>P3 — Elm Court House</t>
        </is>
      </c>
      <c r="B34" s="14">
        <f>SUMIFS('Income &amp; Expenses'!$G$4:$G$31,'Income &amp; Expenses'!$B$4:$B$31,"P3",'Income &amp; Expenses'!$D$4:$D$31,"Income")</f>
        <v/>
      </c>
      <c r="C34" s="14">
        <f>SUMIFS('Income &amp; Expenses'!$G$4:$G$31,'Income &amp; Expenses'!$B$4:$B$31,"P3",'Income &amp; Expenses'!$D$4:$D$31,"Expense")</f>
        <v/>
      </c>
      <c r="D34" s="14">
        <f>B34-C34</f>
        <v/>
      </c>
    </row>
    <row r="37">
      <c r="A37" s="6" t="inlineStr">
        <is>
          <t>This is an organizational summary only, not a Schedule E filing, IRS submission, or CPA-reviewed document. Share it with your tax preparer as a starting point for their own work.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7:D37"/>
  </mergeCells>
  <conditionalFormatting sqref="B7">
    <cfRule type="cellIs" priority="1" operator="lessThan" dxfId="1">
      <formula>0</formula>
    </cfRule>
  </conditionalFormatting>
  <conditionalFormatting sqref="D32:D34"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2026-09-20T18:57:37Z</dcterms:created>
  <dcterms:modified xmlns:dcterms="http://purl.org/dc/terms/" xmlns:xsi="http://www.w3.org/2001/XMLSchema-instance" xsi:type="dcterms:W3CDTF">2026-09-20T18:57:38Z</dcterms:modified>
</cp:coreProperties>
</file>