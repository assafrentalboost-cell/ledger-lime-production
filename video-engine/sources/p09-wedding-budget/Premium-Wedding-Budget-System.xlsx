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 Budget" sheetId="3" state="visible" r:id="rId3"/>
    <sheet xmlns:r="http://schemas.openxmlformats.org/officeDocument/2006/relationships" name="Vendor &amp; Payments" sheetId="4" state="visible" r:id="rId4"/>
    <sheet xmlns:r="http://schemas.openxmlformats.org/officeDocument/2006/relationships" name="Cash-Flow Timeline" sheetId="5" state="visible" r:id="rId5"/>
    <sheet xmlns:r="http://schemas.openxmlformats.org/officeDocument/2006/relationships" name="Contributions" sheetId="6" state="visible" r:id="rId6"/>
    <sheet xmlns:r="http://schemas.openxmlformats.org/officeDocument/2006/relationships" name="Scenario Engine" sheetId="7" state="visible" r:id="rId7"/>
    <sheet xmlns:r="http://schemas.openxmlformats.org/officeDocument/2006/relationships" name="Contingency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Cha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[$-409]mmm d, yyyy;@"/>
    <numFmt numFmtId="166" formatCode="&quot;$&quot;#,##0.00"/>
    <numFmt numFmtId="167" formatCode="yyyy-mm-dd h:mm:ss"/>
    <numFmt numFmtId="168" formatCode="[$-409]mmm yyyy;@"/>
  </numFmts>
  <fonts count="9">
    <font>
      <name val="Calibri"/>
      <family val="2"/>
      <color theme="1"/>
      <sz val="11"/>
      <scheme val="minor"/>
    </font>
    <font>
      <b val="1"/>
      <color rgb="001B3A57"/>
      <sz val="14"/>
    </font>
    <font>
      <b val="1"/>
      <color rgb="001B3A57"/>
    </font>
    <font>
      <color rgb="001155CC"/>
      <u val="single"/>
    </font>
    <font>
      <b val="1"/>
    </font>
    <font>
      <b val="1"/>
      <color rgb="00FFFFFF"/>
      <sz val="12"/>
    </font>
    <font>
      <b val="1"/>
      <color rgb="00000000"/>
      <sz val="12"/>
    </font>
    <font>
      <b val="1"/>
      <color rgb="00C0392B"/>
    </font>
    <font>
      <b val="1"/>
      <color rgb="001B3A57"/>
      <sz val="12"/>
    </font>
  </fonts>
  <fills count="5">
    <fill>
      <patternFill/>
    </fill>
    <fill>
      <patternFill patternType="gray125"/>
    </fill>
    <fill>
      <patternFill patternType="solid">
        <fgColor rgb="00FFF3CD"/>
        <bgColor rgb="00FFF3CD"/>
      </patternFill>
    </fill>
    <fill>
      <patternFill patternType="solid">
        <fgColor rgb="001B3A57"/>
        <bgColor rgb="001B3A57"/>
      </patternFill>
    </fill>
    <fill>
      <patternFill patternType="solid">
        <fgColor rgb="00DCEEFB"/>
        <bgColor rgb="00DCEE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165" fontId="0" fillId="2" borderId="0" pivotButton="0" quotePrefix="0" xfId="0"/>
    <xf numFmtId="166" fontId="0" fillId="2" borderId="0" pivotButton="0" quotePrefix="0" xfId="0"/>
    <xf numFmtId="0" fontId="0" fillId="2" borderId="0" pivotButton="0" quotePrefix="0" xfId="0"/>
    <xf numFmtId="9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6" fillId="4" borderId="0" pivotButton="0" quotePrefix="0" xfId="0"/>
    <xf numFmtId="166" fontId="6" fillId="4" borderId="0" pivotButton="0" quotePrefix="0" xfId="0"/>
    <xf numFmtId="0" fontId="7" fillId="0" borderId="0" applyAlignment="1" pivotButton="0" quotePrefix="0" xfId="0">
      <alignment wrapText="1"/>
    </xf>
    <xf numFmtId="168" fontId="0" fillId="0" borderId="0" pivotButton="0" quotePrefix="0" xfId="0"/>
    <xf numFmtId="0" fontId="8" fillId="0" borderId="0" pivotButton="0" quotePrefix="0" xfId="0"/>
    <xf numFmtId="166" fontId="4" fillId="0" borderId="0" pivotButton="0" quotePrefix="0" xfId="0"/>
    <xf numFmtId="9" fontId="0" fillId="0" borderId="0" pivotButton="0" quotePrefix="0" xfId="0"/>
    <xf numFmtId="0" fontId="7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Planned vs.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'Master Budget'!B3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'Master Budget'!$A$4:$A$18</f>
            </numRef>
          </cat>
          <val>
            <numRef>
              <f>'Master Budget'!$B$4:$B$18</f>
            </numRef>
          </val>
        </ser>
        <ser>
          <idx val="1"/>
          <order val="1"/>
          <tx>
            <strRef>
              <f>'Master Budget'!D3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'Master Budget'!$A$4:$A$18</f>
            </numRef>
          </cat>
          <val>
            <numRef>
              <f>'Master Budget'!$D$4:$D$18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Cash-Flow Timeline</a:t>
            </a:r>
          </a:p>
        </rich>
      </tx>
    </title>
    <plotArea>
      <lineChart>
        <grouping val="standard"/>
        <ser>
          <idx val="0"/>
          <order val="0"/>
          <tx>
            <strRef>
              <f>'Cash-Flow Timeline'!B5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'Cash-Flow Timeline'!$A$6:$A$23</f>
            </numRef>
          </cat>
          <val>
            <numRef>
              <f>'Cash-Flow Timeline'!$B$6:$B$23</f>
            </numRef>
          </val>
        </ser>
        <ser>
          <idx val="1"/>
          <order val="1"/>
          <tx>
            <strRef>
              <f>'Cash-Flow Timeline'!C5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'Cash-Flow Timeline'!$A$6:$A$23</f>
            </numRef>
          </cat>
          <val>
            <numRef>
              <f>'Cash-Flow Timeline'!$C$6:$C$23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ttings'!A1" TargetMode="External" Id="rId1"/><Relationship Type="http://schemas.openxmlformats.org/officeDocument/2006/relationships/hyperlink" Target="#'Master Budget'!A1" TargetMode="External" Id="rId2"/><Relationship Type="http://schemas.openxmlformats.org/officeDocument/2006/relationships/hyperlink" Target="#'Vendor &amp; Payments'!A1" TargetMode="External" Id="rId3"/><Relationship Type="http://schemas.openxmlformats.org/officeDocument/2006/relationships/hyperlink" Target="#'Cash-Flow Timeline'!A1" TargetMode="External" Id="rId4"/><Relationship Type="http://schemas.openxmlformats.org/officeDocument/2006/relationships/hyperlink" Target="#'Contributions'!A1" TargetMode="External" Id="rId5"/><Relationship Type="http://schemas.openxmlformats.org/officeDocument/2006/relationships/hyperlink" Target="#'Scenario Engine'!A1" TargetMode="External" Id="rId6"/><Relationship Type="http://schemas.openxmlformats.org/officeDocument/2006/relationships/hyperlink" Target="#'Contingency'!A1" TargetMode="External" Id="rId7"/><Relationship Type="http://schemas.openxmlformats.org/officeDocument/2006/relationships/hyperlink" Target="#'Dashboard'!A1" TargetMode="External" Id="rId8"/><Relationship Type="http://schemas.openxmlformats.org/officeDocument/2006/relationships/hyperlink" Target="#'Chart'!A1" TargetMode="External" Id="rId9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WELCOME — YOUR PREMIUM WEDDING BUDGET &amp; PAYMENT SYSTEM</t>
        </is>
      </c>
    </row>
    <row r="2">
      <c r="A2" s="2" t="inlineStr">
        <is>
          <t>This is a full wedding FINANCE system, not a wedding planner — no guest list, seating chart, or day-of timeline here. It tracks every dollar: what you've budgeted, what you owe each vendor and when, who's contributed what, and what happens to your numbers if your guest count changes. Pre-loaded with a realistic sample wedding so you can see it working before you enter your own numbers — replace the sample rows on Master Budget, Vendor &amp; Payments, and Contributions with your own.</t>
        </is>
      </c>
    </row>
    <row r="4">
      <c r="A4" t="inlineStr">
        <is>
          <t>Step 0 — Go to File &gt; Make a Copy to save this to your own Google Drive. Always work from your own copy, never the original.</t>
        </is>
      </c>
    </row>
    <row r="6">
      <c r="A6" s="3" t="inlineStr">
        <is>
          <t>QUICK NAVIGATION — click a tab name to jump there</t>
        </is>
      </c>
    </row>
    <row r="7">
      <c r="A7" s="4" t="inlineStr">
        <is>
          <t>→ Settings</t>
        </is>
      </c>
    </row>
    <row r="8">
      <c r="A8" s="4" t="inlineStr">
        <is>
          <t>→ Master Budget</t>
        </is>
      </c>
    </row>
    <row r="9">
      <c r="A9" s="4" t="inlineStr">
        <is>
          <t>→ Vendor &amp; Payments</t>
        </is>
      </c>
    </row>
    <row r="10">
      <c r="A10" s="4" t="inlineStr">
        <is>
          <t>→ Cash-Flow Timeline</t>
        </is>
      </c>
    </row>
    <row r="11">
      <c r="A11" s="4" t="inlineStr">
        <is>
          <t>→ Contributions</t>
        </is>
      </c>
    </row>
    <row r="12">
      <c r="A12" s="4" t="inlineStr">
        <is>
          <t>→ Scenario Engine</t>
        </is>
      </c>
    </row>
    <row r="13">
      <c r="A13" s="4" t="inlineStr">
        <is>
          <t>→ Contingency</t>
        </is>
      </c>
    </row>
    <row r="14">
      <c r="A14" s="4" t="inlineStr">
        <is>
          <t>→ Dashboard</t>
        </is>
      </c>
    </row>
    <row r="15">
      <c r="A15" s="4" t="inlineStr">
        <is>
          <t>→ Chart</t>
        </is>
      </c>
    </row>
    <row r="17">
      <c r="A17" s="3" t="inlineStr">
        <is>
          <t>GET SET UP IN UNDER 5 MINUTES</t>
        </is>
      </c>
    </row>
    <row r="18">
      <c r="A18" s="2" t="inlineStr">
        <is>
          <t>STEP 1: Go to Settings — enter your wedding date, target budget, estimated guest count, and contingency reserve %.</t>
        </is>
      </c>
    </row>
    <row r="19">
      <c r="A19" s="2" t="inlineStr">
        <is>
          <t>STEP 2: Go to Master Budget — set a Planned Budget per category. Mark categories that scale with guest count (catering, favors, rentals) as Guest-Dependent = Y.</t>
        </is>
      </c>
    </row>
    <row r="20">
      <c r="A20" s="2" t="inlineStr">
        <is>
          <t>STEP 3: Go to Vendor &amp; Payments — add each vendor once: category, contract amount, deposit, what you've paid so far, and the next due date.</t>
        </is>
      </c>
    </row>
    <row r="21">
      <c r="A21" s="2" t="inlineStr">
        <is>
          <t>That's it. Cash-Flow Timeline, Contributions reconciliation, the Scenario Engine, Contingency, and Dashboard all update automatically from what you entered in Steps 1-3 — you never re-type the same number twice.</t>
        </is>
      </c>
    </row>
    <row r="24">
      <c r="A24" s="3" t="inlineStr">
        <is>
          <t>WHAT THE COLORS MEAN</t>
        </is>
      </c>
    </row>
    <row r="25">
      <c r="A25" s="5" t="inlineStr">
        <is>
          <t>YELLOW</t>
        </is>
      </c>
      <c r="B25" t="inlineStr">
        <is>
          <t>YOU TYPE HERE.</t>
        </is>
      </c>
    </row>
    <row r="26">
      <c r="A26" s="5" t="inlineStr">
        <is>
          <t>WHITE</t>
        </is>
      </c>
      <c r="B26" t="inlineStr">
        <is>
          <t>AUTOMATIC — calculated for you. Don't type over these; they pull from your Vendor &amp; Payments entries.</t>
        </is>
      </c>
    </row>
    <row r="28">
      <c r="A28" s="2" t="inlineStr">
        <is>
          <t>This is a planning tool, not a legal or contractual record — always keep your signed vendor contracts separately. Amounts are single-currency (your own); this tool does not perform currency conversion.</t>
        </is>
      </c>
    </row>
  </sheetData>
  <hyperlinks>
    <hyperlink xmlns:r="http://schemas.openxmlformats.org/officeDocument/2006/relationships" ref="A7" r:id="rId1"/>
    <hyperlink xmlns:r="http://schemas.openxmlformats.org/officeDocument/2006/relationships" ref="A8" r:id="rId2"/>
    <hyperlink xmlns:r="http://schemas.openxmlformats.org/officeDocument/2006/relationships" ref="A9" r:id="rId3"/>
    <hyperlink xmlns:r="http://schemas.openxmlformats.org/officeDocument/2006/relationships" ref="A10" r:id="rId4"/>
    <hyperlink xmlns:r="http://schemas.openxmlformats.org/officeDocument/2006/relationships" ref="A11" r:id="rId5"/>
    <hyperlink xmlns:r="http://schemas.openxmlformats.org/officeDocument/2006/relationships" ref="A12" r:id="rId6"/>
    <hyperlink xmlns:r="http://schemas.openxmlformats.org/officeDocument/2006/relationships" ref="A13" r:id="rId7"/>
    <hyperlink xmlns:r="http://schemas.openxmlformats.org/officeDocument/2006/relationships" ref="A14" r:id="rId8"/>
    <hyperlink xmlns:r="http://schemas.openxmlformats.org/officeDocument/2006/relationships" ref="A15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SETTINGS</t>
        </is>
      </c>
      <c r="B1" s="6" t="n"/>
    </row>
    <row r="3">
      <c r="A3" t="inlineStr">
        <is>
          <t>Wedding Date</t>
        </is>
      </c>
      <c r="B3" s="7" t="n">
        <v>46550</v>
      </c>
    </row>
    <row r="4">
      <c r="A4" t="inlineStr">
        <is>
          <t>Total Target Budget</t>
        </is>
      </c>
      <c r="B4" s="8" t="n">
        <v>30000</v>
      </c>
    </row>
    <row r="5">
      <c r="A5" t="inlineStr">
        <is>
          <t>Estimated Guest Count</t>
        </is>
      </c>
      <c r="B5" s="9" t="n">
        <v>100</v>
      </c>
    </row>
    <row r="6">
      <c r="A6" t="inlineStr">
        <is>
          <t>Contingency Reserve (%)</t>
        </is>
      </c>
      <c r="B6" s="10" t="n">
        <v>0.1</v>
      </c>
    </row>
    <row r="7">
      <c r="A7" t="inlineStr">
        <is>
          <t>Today's Date (auto — do not edit)</t>
        </is>
      </c>
      <c r="B7" s="11">
        <f>TODAY()</f>
        <v/>
      </c>
    </row>
    <row r="9">
      <c r="A9" s="5" t="inlineStr">
        <is>
          <t>Note:</t>
        </is>
      </c>
      <c r="B9" s="2" t="inlineStr">
        <is>
          <t>All amounts are a single currency (your own) — this tool does not convert between currencies.</t>
        </is>
      </c>
    </row>
  </sheetData>
  <dataValidations count="3">
    <dataValidation sqref="B5" showDropDown="0" showInputMessage="0" showErrorMessage="0" allowBlank="0" error="Enter a whole number of guests (0 or more)." type="whole" operator="greaterThanOrEqual">
      <formula1>0</formula1>
    </dataValidation>
    <dataValidation sqref="B4" showDropDown="0" showInputMessage="0" showErrorMessage="0" allowBlank="0" error="Enter a budget of 0 or more." type="decimal" operator="greaterThanOrEqual">
      <formula1>0</formula1>
    </dataValidation>
    <dataValidation sqref="B6" showDropDown="0" showInputMessage="0" showErrorMessage="0" allowBlank="0" error="Enter a percentage between 0% and 100%.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MASTER WEDDING BUDGET</t>
        </is>
      </c>
    </row>
    <row r="3">
      <c r="A3" s="6" t="inlineStr">
        <is>
          <t>Category</t>
        </is>
      </c>
      <c r="B3" s="6" t="inlineStr">
        <is>
          <t>Planned Budget</t>
        </is>
      </c>
      <c r="C3" s="6" t="inlineStr">
        <is>
          <t>Committed</t>
        </is>
      </c>
      <c r="D3" s="6" t="inlineStr">
        <is>
          <t>Actual Paid</t>
        </is>
      </c>
      <c r="E3" s="6" t="inlineStr">
        <is>
          <t>Remaining</t>
        </is>
      </c>
      <c r="F3" s="6" t="inlineStr">
        <is>
          <t>Variance</t>
        </is>
      </c>
      <c r="G3" s="6" t="inlineStr">
        <is>
          <t>Guest-Dependent?</t>
        </is>
      </c>
      <c r="H3" s="6" t="inlineStr">
        <is>
          <t>Status</t>
        </is>
      </c>
    </row>
    <row r="4">
      <c r="A4" s="9" t="inlineStr">
        <is>
          <t>Venue &amp; Reception</t>
        </is>
      </c>
      <c r="B4" s="8" t="n">
        <v>10000</v>
      </c>
      <c r="C4" s="12">
        <f>IF($A4="","",SUMIF('Vendor &amp; Payments'!$A$4:$A$28,$A4,'Vendor &amp; Payments'!$C$4:$C$28))</f>
        <v/>
      </c>
      <c r="D4" s="12">
        <f>IF($A4="","",SUMIF('Vendor &amp; Payments'!$A$4:$A$28,$A4,'Vendor &amp; Payments'!$E$4:$E$28))</f>
        <v/>
      </c>
      <c r="E4" s="12">
        <f>IF($A4="","",B4-D4)</f>
        <v/>
      </c>
      <c r="F4" s="12">
        <f>IF($A4="",0,B4-C4)</f>
        <v/>
      </c>
      <c r="G4" s="9" t="inlineStr">
        <is>
          <t>N</t>
        </is>
      </c>
      <c r="H4">
        <f>IF($A4="","",IF(OR(C4&gt;B4,D4&gt;B4),"⚠ OVER BUDGET","OK"))</f>
        <v/>
      </c>
    </row>
    <row r="5">
      <c r="A5" s="9" t="inlineStr">
        <is>
          <t>Catering &amp; Bar</t>
        </is>
      </c>
      <c r="B5" s="8" t="n">
        <v>8000</v>
      </c>
      <c r="C5" s="12">
        <f>IF($A5="","",SUMIF('Vendor &amp; Payments'!$A$4:$A$28,$A5,'Vendor &amp; Payments'!$C$4:$C$28))</f>
        <v/>
      </c>
      <c r="D5" s="12">
        <f>IF($A5="","",SUMIF('Vendor &amp; Payments'!$A$4:$A$28,$A5,'Vendor &amp; Payments'!$E$4:$E$28))</f>
        <v/>
      </c>
      <c r="E5" s="12">
        <f>IF($A5="","",B5-D5)</f>
        <v/>
      </c>
      <c r="F5" s="12">
        <f>IF($A5="",0,B5-C5)</f>
        <v/>
      </c>
      <c r="G5" s="9" t="inlineStr">
        <is>
          <t>Y</t>
        </is>
      </c>
      <c r="H5">
        <f>IF($A5="","",IF(OR(C5&gt;B5,D5&gt;B5),"⚠ OVER BUDGET","OK"))</f>
        <v/>
      </c>
    </row>
    <row r="6">
      <c r="A6" s="9" t="inlineStr">
        <is>
          <t>Photography &amp; Video</t>
        </is>
      </c>
      <c r="B6" s="8" t="n">
        <v>3000</v>
      </c>
      <c r="C6" s="12">
        <f>IF($A6="","",SUMIF('Vendor &amp; Payments'!$A$4:$A$28,$A6,'Vendor &amp; Payments'!$C$4:$C$28))</f>
        <v/>
      </c>
      <c r="D6" s="12">
        <f>IF($A6="","",SUMIF('Vendor &amp; Payments'!$A$4:$A$28,$A6,'Vendor &amp; Payments'!$E$4:$E$28))</f>
        <v/>
      </c>
      <c r="E6" s="12">
        <f>IF($A6="","",B6-D6)</f>
        <v/>
      </c>
      <c r="F6" s="12">
        <f>IF($A6="",0,B6-C6)</f>
        <v/>
      </c>
      <c r="G6" s="9" t="inlineStr">
        <is>
          <t>N</t>
        </is>
      </c>
      <c r="H6">
        <f>IF($A6="","",IF(OR(C6&gt;B6,D6&gt;B6),"⚠ OVER BUDGET","OK"))</f>
        <v/>
      </c>
    </row>
    <row r="7">
      <c r="A7" s="9" t="inlineStr">
        <is>
          <t>Attire &amp; Beauty</t>
        </is>
      </c>
      <c r="B7" s="8" t="n">
        <v>2000</v>
      </c>
      <c r="C7" s="12">
        <f>IF($A7="","",SUMIF('Vendor &amp; Payments'!$A$4:$A$28,$A7,'Vendor &amp; Payments'!$C$4:$C$28))</f>
        <v/>
      </c>
      <c r="D7" s="12">
        <f>IF($A7="","",SUMIF('Vendor &amp; Payments'!$A$4:$A$28,$A7,'Vendor &amp; Payments'!$E$4:$E$28))</f>
        <v/>
      </c>
      <c r="E7" s="12">
        <f>IF($A7="","",B7-D7)</f>
        <v/>
      </c>
      <c r="F7" s="12">
        <f>IF($A7="",0,B7-C7)</f>
        <v/>
      </c>
      <c r="G7" s="9" t="inlineStr">
        <is>
          <t>N</t>
        </is>
      </c>
      <c r="H7">
        <f>IF($A7="","",IF(OR(C7&gt;B7,D7&gt;B7),"⚠ OVER BUDGET","OK"))</f>
        <v/>
      </c>
    </row>
    <row r="8">
      <c r="A8" s="9" t="inlineStr">
        <is>
          <t>Flowers &amp; Decor</t>
        </is>
      </c>
      <c r="B8" s="8" t="n">
        <v>2000</v>
      </c>
      <c r="C8" s="12">
        <f>IF($A8="","",SUMIF('Vendor &amp; Payments'!$A$4:$A$28,$A8,'Vendor &amp; Payments'!$C$4:$C$28))</f>
        <v/>
      </c>
      <c r="D8" s="12">
        <f>IF($A8="","",SUMIF('Vendor &amp; Payments'!$A$4:$A$28,$A8,'Vendor &amp; Payments'!$E$4:$E$28))</f>
        <v/>
      </c>
      <c r="E8" s="12">
        <f>IF($A8="","",B8-D8)</f>
        <v/>
      </c>
      <c r="F8" s="12">
        <f>IF($A8="",0,B8-C8)</f>
        <v/>
      </c>
      <c r="G8" s="9" t="inlineStr">
        <is>
          <t>N</t>
        </is>
      </c>
      <c r="H8">
        <f>IF($A8="","",IF(OR(C8&gt;B8,D8&gt;B8),"⚠ OVER BUDGET","OK"))</f>
        <v/>
      </c>
    </row>
    <row r="9">
      <c r="A9" s="9" t="inlineStr">
        <is>
          <t>Music &amp; Entertainment</t>
        </is>
      </c>
      <c r="B9" s="8" t="n">
        <v>1500</v>
      </c>
      <c r="C9" s="12">
        <f>IF($A9="","",SUMIF('Vendor &amp; Payments'!$A$4:$A$28,$A9,'Vendor &amp; Payments'!$C$4:$C$28))</f>
        <v/>
      </c>
      <c r="D9" s="12">
        <f>IF($A9="","",SUMIF('Vendor &amp; Payments'!$A$4:$A$28,$A9,'Vendor &amp; Payments'!$E$4:$E$28))</f>
        <v/>
      </c>
      <c r="E9" s="12">
        <f>IF($A9="","",B9-D9)</f>
        <v/>
      </c>
      <c r="F9" s="12">
        <f>IF($A9="",0,B9-C9)</f>
        <v/>
      </c>
      <c r="G9" s="9" t="inlineStr">
        <is>
          <t>N</t>
        </is>
      </c>
      <c r="H9">
        <f>IF($A9="","",IF(OR(C9&gt;B9,D9&gt;B9),"⚠ OVER BUDGET","OK"))</f>
        <v/>
      </c>
    </row>
    <row r="10">
      <c r="A10" s="9" t="inlineStr">
        <is>
          <t>Stationery &amp; Invitations</t>
        </is>
      </c>
      <c r="B10" s="8" t="n">
        <v>500</v>
      </c>
      <c r="C10" s="12">
        <f>IF($A10="","",SUMIF('Vendor &amp; Payments'!$A$4:$A$28,$A10,'Vendor &amp; Payments'!$C$4:$C$28))</f>
        <v/>
      </c>
      <c r="D10" s="12">
        <f>IF($A10="","",SUMIF('Vendor &amp; Payments'!$A$4:$A$28,$A10,'Vendor &amp; Payments'!$E$4:$E$28))</f>
        <v/>
      </c>
      <c r="E10" s="12">
        <f>IF($A10="","",B10-D10)</f>
        <v/>
      </c>
      <c r="F10" s="12">
        <f>IF($A10="",0,B10-C10)</f>
        <v/>
      </c>
      <c r="G10" s="9" t="inlineStr">
        <is>
          <t>Y</t>
        </is>
      </c>
      <c r="H10">
        <f>IF($A10="","",IF(OR(C10&gt;B10,D10&gt;B10),"⚠ OVER BUDGET","OK"))</f>
        <v/>
      </c>
    </row>
    <row r="11">
      <c r="A11" s="9" t="inlineStr">
        <is>
          <t>Rings</t>
        </is>
      </c>
      <c r="B11" s="8" t="n">
        <v>1500</v>
      </c>
      <c r="C11" s="12">
        <f>IF($A11="","",SUMIF('Vendor &amp; Payments'!$A$4:$A$28,$A11,'Vendor &amp; Payments'!$C$4:$C$28))</f>
        <v/>
      </c>
      <c r="D11" s="12">
        <f>IF($A11="","",SUMIF('Vendor &amp; Payments'!$A$4:$A$28,$A11,'Vendor &amp; Payments'!$E$4:$E$28))</f>
        <v/>
      </c>
      <c r="E11" s="12">
        <f>IF($A11="","",B11-D11)</f>
        <v/>
      </c>
      <c r="F11" s="12">
        <f>IF($A11="",0,B11-C11)</f>
        <v/>
      </c>
      <c r="G11" s="9" t="inlineStr">
        <is>
          <t>N</t>
        </is>
      </c>
      <c r="H11">
        <f>IF($A11="","",IF(OR(C11&gt;B11,D11&gt;B11),"⚠ OVER BUDGET","OK"))</f>
        <v/>
      </c>
    </row>
    <row r="12">
      <c r="A12" s="9" t="inlineStr">
        <is>
          <t>Hair &amp; Makeup</t>
        </is>
      </c>
      <c r="B12" s="8" t="n">
        <v>800</v>
      </c>
      <c r="C12" s="12">
        <f>IF($A12="","",SUMIF('Vendor &amp; Payments'!$A$4:$A$28,$A12,'Vendor &amp; Payments'!$C$4:$C$28))</f>
        <v/>
      </c>
      <c r="D12" s="12">
        <f>IF($A12="","",SUMIF('Vendor &amp; Payments'!$A$4:$A$28,$A12,'Vendor &amp; Payments'!$E$4:$E$28))</f>
        <v/>
      </c>
      <c r="E12" s="12">
        <f>IF($A12="","",B12-D12)</f>
        <v/>
      </c>
      <c r="F12" s="12">
        <f>IF($A12="",0,B12-C12)</f>
        <v/>
      </c>
      <c r="G12" s="9" t="inlineStr">
        <is>
          <t>N</t>
        </is>
      </c>
      <c r="H12">
        <f>IF($A12="","",IF(OR(C12&gt;B12,D12&gt;B12),"⚠ OVER BUDGET","OK"))</f>
        <v/>
      </c>
    </row>
    <row r="13">
      <c r="A13" s="9" t="inlineStr">
        <is>
          <t>Transportation</t>
        </is>
      </c>
      <c r="B13" s="8" t="n">
        <v>500</v>
      </c>
      <c r="C13" s="12">
        <f>IF($A13="","",SUMIF('Vendor &amp; Payments'!$A$4:$A$28,$A13,'Vendor &amp; Payments'!$C$4:$C$28))</f>
        <v/>
      </c>
      <c r="D13" s="12">
        <f>IF($A13="","",SUMIF('Vendor &amp; Payments'!$A$4:$A$28,$A13,'Vendor &amp; Payments'!$E$4:$E$28))</f>
        <v/>
      </c>
      <c r="E13" s="12">
        <f>IF($A13="","",B13-D13)</f>
        <v/>
      </c>
      <c r="F13" s="12">
        <f>IF($A13="",0,B13-C13)</f>
        <v/>
      </c>
      <c r="G13" s="9" t="inlineStr">
        <is>
          <t>N</t>
        </is>
      </c>
      <c r="H13">
        <f>IF($A13="","",IF(OR(C13&gt;B13,D13&gt;B13),"⚠ OVER BUDGET","OK"))</f>
        <v/>
      </c>
    </row>
    <row r="14">
      <c r="A14" s="9" t="inlineStr">
        <is>
          <t>Officiant &amp; Ceremony</t>
        </is>
      </c>
      <c r="B14" s="8" t="n">
        <v>500</v>
      </c>
      <c r="C14" s="12">
        <f>IF($A14="","",SUMIF('Vendor &amp; Payments'!$A$4:$A$28,$A14,'Vendor &amp; Payments'!$C$4:$C$28))</f>
        <v/>
      </c>
      <c r="D14" s="12">
        <f>IF($A14="","",SUMIF('Vendor &amp; Payments'!$A$4:$A$28,$A14,'Vendor &amp; Payments'!$E$4:$E$28))</f>
        <v/>
      </c>
      <c r="E14" s="12">
        <f>IF($A14="","",B14-D14)</f>
        <v/>
      </c>
      <c r="F14" s="12">
        <f>IF($A14="",0,B14-C14)</f>
        <v/>
      </c>
      <c r="G14" s="9" t="inlineStr">
        <is>
          <t>N</t>
        </is>
      </c>
      <c r="H14">
        <f>IF($A14="","",IF(OR(C14&gt;B14,D14&gt;B14),"⚠ OVER BUDGET","OK"))</f>
        <v/>
      </c>
    </row>
    <row r="15">
      <c r="A15" s="9" t="inlineStr">
        <is>
          <t>Favors &amp; Gifts</t>
        </is>
      </c>
      <c r="B15" s="8" t="n">
        <v>500</v>
      </c>
      <c r="C15" s="12">
        <f>IF($A15="","",SUMIF('Vendor &amp; Payments'!$A$4:$A$28,$A15,'Vendor &amp; Payments'!$C$4:$C$28))</f>
        <v/>
      </c>
      <c r="D15" s="12">
        <f>IF($A15="","",SUMIF('Vendor &amp; Payments'!$A$4:$A$28,$A15,'Vendor &amp; Payments'!$E$4:$E$28))</f>
        <v/>
      </c>
      <c r="E15" s="12">
        <f>IF($A15="","",B15-D15)</f>
        <v/>
      </c>
      <c r="F15" s="12">
        <f>IF($A15="",0,B15-C15)</f>
        <v/>
      </c>
      <c r="G15" s="9" t="inlineStr">
        <is>
          <t>Y</t>
        </is>
      </c>
      <c r="H15">
        <f>IF($A15="","",IF(OR(C15&gt;B15,D15&gt;B15),"⚠ OVER BUDGET","OK"))</f>
        <v/>
      </c>
    </row>
    <row r="16">
      <c r="A16" s="9" t="inlineStr">
        <is>
          <t>Planner / Coordinator</t>
        </is>
      </c>
      <c r="B16" s="8" t="n">
        <v>2000</v>
      </c>
      <c r="C16" s="12">
        <f>IF($A16="","",SUMIF('Vendor &amp; Payments'!$A$4:$A$28,$A16,'Vendor &amp; Payments'!$C$4:$C$28))</f>
        <v/>
      </c>
      <c r="D16" s="12">
        <f>IF($A16="","",SUMIF('Vendor &amp; Payments'!$A$4:$A$28,$A16,'Vendor &amp; Payments'!$E$4:$E$28))</f>
        <v/>
      </c>
      <c r="E16" s="12">
        <f>IF($A16="","",B16-D16)</f>
        <v/>
      </c>
      <c r="F16" s="12">
        <f>IF($A16="",0,B16-C16)</f>
        <v/>
      </c>
      <c r="G16" s="9" t="inlineStr">
        <is>
          <t>N</t>
        </is>
      </c>
      <c r="H16">
        <f>IF($A16="","",IF(OR(C16&gt;B16,D16&gt;B16),"⚠ OVER BUDGET","OK"))</f>
        <v/>
      </c>
    </row>
    <row r="17">
      <c r="A17" s="9" t="inlineStr">
        <is>
          <t>Miscellaneous</t>
        </is>
      </c>
      <c r="B17" s="8" t="n">
        <v>700</v>
      </c>
      <c r="C17" s="12">
        <f>IF($A17="","",SUMIF('Vendor &amp; Payments'!$A$4:$A$28,$A17,'Vendor &amp; Payments'!$C$4:$C$28))</f>
        <v/>
      </c>
      <c r="D17" s="12">
        <f>IF($A17="","",SUMIF('Vendor &amp; Payments'!$A$4:$A$28,$A17,'Vendor &amp; Payments'!$E$4:$E$28))</f>
        <v/>
      </c>
      <c r="E17" s="12">
        <f>IF($A17="","",B17-D17)</f>
        <v/>
      </c>
      <c r="F17" s="12">
        <f>IF($A17="",0,B17-C17)</f>
        <v/>
      </c>
      <c r="G17" s="9" t="inlineStr">
        <is>
          <t>N</t>
        </is>
      </c>
      <c r="H17">
        <f>IF($A17="","",IF(OR(C17&gt;B17,D17&gt;B17),"⚠ OVER BUDGET","OK"))</f>
        <v/>
      </c>
    </row>
    <row r="18">
      <c r="A18" s="9" t="inlineStr"/>
      <c r="B18" s="8" t="n">
        <v>0</v>
      </c>
      <c r="C18" s="12">
        <f>IF($A18="","",SUMIF('Vendor &amp; Payments'!$A$4:$A$28,$A18,'Vendor &amp; Payments'!$C$4:$C$28))</f>
        <v/>
      </c>
      <c r="D18" s="12">
        <f>IF($A18="","",SUMIF('Vendor &amp; Payments'!$A$4:$A$28,$A18,'Vendor &amp; Payments'!$E$4:$E$28))</f>
        <v/>
      </c>
      <c r="E18" s="12">
        <f>IF($A18="","",B18-D18)</f>
        <v/>
      </c>
      <c r="F18" s="12">
        <f>IF($A18="",0,B18-C18)</f>
        <v/>
      </c>
      <c r="G18" s="9" t="inlineStr">
        <is>
          <t>N</t>
        </is>
      </c>
      <c r="H18">
        <f>IF($A18="","",IF(OR(C18&gt;B18,D18&gt;B18),"⚠ OVER BUDGET","OK"))</f>
        <v/>
      </c>
    </row>
    <row r="19">
      <c r="A19" s="13" t="inlineStr">
        <is>
          <t>TOTAL</t>
        </is>
      </c>
      <c r="B19" s="14">
        <f>SUM(B4:B18)</f>
        <v/>
      </c>
      <c r="C19" s="14">
        <f>SUM(C4:C18)</f>
        <v/>
      </c>
      <c r="D19" s="14">
        <f>SUM(D4:D18)</f>
        <v/>
      </c>
      <c r="E19" s="14">
        <f>SUM(E4:E18)</f>
        <v/>
      </c>
      <c r="F19" s="14">
        <f>SUM(F4:F18)</f>
        <v/>
      </c>
      <c r="G19" s="13" t="n"/>
      <c r="H19" s="13" t="n"/>
    </row>
  </sheetData>
  <dataValidations count="15">
    <dataValidation sqref="G4" showDropDown="0" showInputMessage="0" showErrorMessage="0" allowBlank="1" type="list">
      <formula1>"Y,N"</formula1>
    </dataValidation>
    <dataValidation sqref="G5" showDropDown="0" showInputMessage="0" showErrorMessage="0" allowBlank="1" type="list">
      <formula1>"Y,N"</formula1>
    </dataValidation>
    <dataValidation sqref="G6" showDropDown="0" showInputMessage="0" showErrorMessage="0" allowBlank="1" type="list">
      <formula1>"Y,N"</formula1>
    </dataValidation>
    <dataValidation sqref="G7" showDropDown="0" showInputMessage="0" showErrorMessage="0" allowBlank="1" type="list">
      <formula1>"Y,N"</formula1>
    </dataValidation>
    <dataValidation sqref="G8" showDropDown="0" showInputMessage="0" showErrorMessage="0" allowBlank="1" type="list">
      <formula1>"Y,N"</formula1>
    </dataValidation>
    <dataValidation sqref="G9" showDropDown="0" showInputMessage="0" showErrorMessage="0" allowBlank="1" type="list">
      <formula1>"Y,N"</formula1>
    </dataValidation>
    <dataValidation sqref="G10" showDropDown="0" showInputMessage="0" showErrorMessage="0" allowBlank="1" type="list">
      <formula1>"Y,N"</formula1>
    </dataValidation>
    <dataValidation sqref="G11" showDropDown="0" showInputMessage="0" showErrorMessage="0" allowBlank="1" type="list">
      <formula1>"Y,N"</formula1>
    </dataValidation>
    <dataValidation sqref="G12" showDropDown="0" showInputMessage="0" showErrorMessage="0" allowBlank="1" type="list">
      <formula1>"Y,N"</formula1>
    </dataValidation>
    <dataValidation sqref="G13" showDropDown="0" showInputMessage="0" showErrorMessage="0" allowBlank="1" type="list">
      <formula1>"Y,N"</formula1>
    </dataValidation>
    <dataValidation sqref="G14" showDropDown="0" showInputMessage="0" showErrorMessage="0" allowBlank="1" type="list">
      <formula1>"Y,N"</formula1>
    </dataValidation>
    <dataValidation sqref="G15" showDropDown="0" showInputMessage="0" showErrorMessage="0" allowBlank="1" type="list">
      <formula1>"Y,N"</formula1>
    </dataValidation>
    <dataValidation sqref="G16" showDropDown="0" showInputMessage="0" showErrorMessage="0" allowBlank="1" type="list">
      <formula1>"Y,N"</formula1>
    </dataValidation>
    <dataValidation sqref="G17" showDropDown="0" showInputMessage="0" showErrorMessage="0" allowBlank="1" type="list">
      <formula1>"Y,N"</formula1>
    </dataValidation>
    <dataValidation sqref="G1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VENDOR &amp; PAYMENT SYSTEM</t>
        </is>
      </c>
    </row>
    <row r="2">
      <c r="A2" s="2" t="inlineStr">
        <is>
          <t>Enter each vendor once. Balance, cash-flow timing, and status update automatically — you never re-enter these numbers elsewhere.</t>
        </is>
      </c>
    </row>
    <row r="3">
      <c r="A3" s="6" t="inlineStr">
        <is>
          <t>Category</t>
        </is>
      </c>
      <c r="B3" s="6" t="inlineStr">
        <is>
          <t>Vendor Name</t>
        </is>
      </c>
      <c r="C3" s="6" t="inlineStr">
        <is>
          <t>Contracted Amount</t>
        </is>
      </c>
      <c r="D3" s="6" t="inlineStr">
        <is>
          <t>Deposit Required</t>
        </is>
      </c>
      <c r="E3" s="6" t="inlineStr">
        <is>
          <t>Total Paid To Date</t>
        </is>
      </c>
      <c r="F3" s="6" t="inlineStr">
        <is>
          <t>Balance Remaining</t>
        </is>
      </c>
      <c r="G3" s="6" t="inlineStr">
        <is>
          <t>Next Payment Due Date</t>
        </is>
      </c>
      <c r="H3" s="6" t="inlineStr">
        <is>
          <t>Paid By</t>
        </is>
      </c>
      <c r="I3" s="6" t="inlineStr">
        <is>
          <t>Status</t>
        </is>
      </c>
    </row>
    <row r="4">
      <c r="A4" s="9" t="inlineStr">
        <is>
          <t>Venue &amp; Reception</t>
        </is>
      </c>
      <c r="B4" s="9" t="inlineStr">
        <is>
          <t>Grandview Estate</t>
        </is>
      </c>
      <c r="C4" s="8" t="n">
        <v>10000</v>
      </c>
      <c r="D4" s="8" t="n">
        <v>2000</v>
      </c>
      <c r="E4" s="8" t="n">
        <v>2000</v>
      </c>
      <c r="F4" s="12">
        <f>IF($B4="",0,IF(AND(ISNUMBER(C4),ISNUMBER(E4)),MAX(C4-E4,0),0))</f>
        <v/>
      </c>
      <c r="G4" s="7" t="n">
        <v>46339</v>
      </c>
      <c r="H4" s="9" t="inlineStr">
        <is>
          <t>Partner 1</t>
        </is>
      </c>
      <c r="I4">
        <f>IF($B4="","",IF(OR(NOT(ISNUMBER(C4)),NOT(ISNUMBER(E4))),"⚠ CHECK ENTRY (non-numeric $)",IF(F4&lt;=0,"PAID IN FULL",IF(G4="","NO DUE DATE",IF(G4&lt;Settings!$B$7,"OVERDUE",IF(G4-Settings!$B$7&lt;=14,"DUE SOON","UPCOMING"))))))</f>
        <v/>
      </c>
    </row>
    <row r="5">
      <c r="A5" s="9" t="inlineStr">
        <is>
          <t>Catering &amp; Bar</t>
        </is>
      </c>
      <c r="B5" s="9" t="inlineStr">
        <is>
          <t>Tasty Catering Co</t>
        </is>
      </c>
      <c r="C5" s="8" t="n">
        <v>8500</v>
      </c>
      <c r="D5" s="8" t="n">
        <v>1000</v>
      </c>
      <c r="E5" s="8" t="n">
        <v>8500</v>
      </c>
      <c r="F5" s="12">
        <f>IF($B5="",0,IF(AND(ISNUMBER(C5),ISNUMBER(E5)),MAX(C5-E5,0),0))</f>
        <v/>
      </c>
      <c r="G5" s="7" t="n">
        <v>46249</v>
      </c>
      <c r="H5" s="9" t="inlineStr">
        <is>
          <t>Partner 2</t>
        </is>
      </c>
      <c r="I5">
        <f>IF($B5="","",IF(OR(NOT(ISNUMBER(C5)),NOT(ISNUMBER(E5))),"⚠ CHECK ENTRY (non-numeric $)",IF(F5&lt;=0,"PAID IN FULL",IF(G5="","NO DUE DATE",IF(G5&lt;Settings!$B$7,"OVERDUE",IF(G5-Settings!$B$7&lt;=14,"DUE SOON","UPCOMING"))))))</f>
        <v/>
      </c>
    </row>
    <row r="6">
      <c r="A6" s="9" t="inlineStr">
        <is>
          <t>Photography &amp; Video</t>
        </is>
      </c>
      <c r="B6" s="9" t="inlineStr">
        <is>
          <t>Lens &amp; Light Studio</t>
        </is>
      </c>
      <c r="C6" s="8" t="n">
        <v>3000</v>
      </c>
      <c r="D6" s="8" t="n">
        <v>500</v>
      </c>
      <c r="E6" s="8" t="n">
        <v>500</v>
      </c>
      <c r="F6" s="12">
        <f>IF($B6="",0,IF(AND(ISNUMBER(C6),ISNUMBER(E6)),MAX(C6-E6,0),0))</f>
        <v/>
      </c>
      <c r="G6" s="7" t="n">
        <v>46284</v>
      </c>
      <c r="H6" s="9" t="inlineStr">
        <is>
          <t>Family</t>
        </is>
      </c>
      <c r="I6">
        <f>IF($B6="","",IF(OR(NOT(ISNUMBER(C6)),NOT(ISNUMBER(E6))),"⚠ CHECK ENTRY (non-numeric $)",IF(F6&lt;=0,"PAID IN FULL",IF(G6="","NO DUE DATE",IF(G6&lt;Settings!$B$7,"OVERDUE",IF(G6-Settings!$B$7&lt;=14,"DUE SOON","UPCOMING"))))))</f>
        <v/>
      </c>
    </row>
    <row r="7">
      <c r="A7" s="9" t="inlineStr">
        <is>
          <t>Rings</t>
        </is>
      </c>
      <c r="B7" s="9" t="inlineStr">
        <is>
          <t>Downtown Jewelers</t>
        </is>
      </c>
      <c r="C7" s="8" t="n">
        <v>1500</v>
      </c>
      <c r="D7" s="8" t="n">
        <v>0</v>
      </c>
      <c r="E7" s="8" t="n">
        <v>0</v>
      </c>
      <c r="F7" s="12">
        <f>IF($B7="",0,IF(AND(ISNUMBER(C7),ISNUMBER(E7)),MAX(C7-E7,0),0))</f>
        <v/>
      </c>
      <c r="G7" s="7" t="n">
        <v>46274</v>
      </c>
      <c r="H7" s="9" t="inlineStr">
        <is>
          <t>Partner 1</t>
        </is>
      </c>
      <c r="I7">
        <f>IF($B7="","",IF(OR(NOT(ISNUMBER(C7)),NOT(ISNUMBER(E7))),"⚠ CHECK ENTRY (non-numeric $)",IF(F7&lt;=0,"PAID IN FULL",IF(G7="","NO DUE DATE",IF(G7&lt;Settings!$B$7,"OVERDUE",IF(G7-Settings!$B$7&lt;=14,"DUE SOON","UPCOMING"))))))</f>
        <v/>
      </c>
    </row>
    <row r="8">
      <c r="A8" s="9" t="inlineStr">
        <is>
          <t>Flowers &amp; Decor</t>
        </is>
      </c>
      <c r="B8" s="9" t="inlineStr">
        <is>
          <t>Bloom &amp; Co</t>
        </is>
      </c>
      <c r="C8" s="8" t="n">
        <v>1800</v>
      </c>
      <c r="D8" s="8" t="n">
        <v>300</v>
      </c>
      <c r="E8" s="8" t="n">
        <v>300</v>
      </c>
      <c r="F8" s="12">
        <f>IF($B8="",0,IF(AND(ISNUMBER(C8),ISNUMBER(E8)),MAX(C8-E8,0),0))</f>
        <v/>
      </c>
      <c r="G8" s="7" t="n">
        <v>46479</v>
      </c>
      <c r="H8" s="9" t="inlineStr">
        <is>
          <t>Partner 2</t>
        </is>
      </c>
      <c r="I8">
        <f>IF($B8="","",IF(OR(NOT(ISNUMBER(C8)),NOT(ISNUMBER(E8))),"⚠ CHECK ENTRY (non-numeric $)",IF(F8&lt;=0,"PAID IN FULL",IF(G8="","NO DUE DATE",IF(G8&lt;Settings!$B$7,"OVERDUE",IF(G8-Settings!$B$7&lt;=14,"DUE SOON","UPCOMING"))))))</f>
        <v/>
      </c>
    </row>
    <row r="9">
      <c r="A9" s="9" t="n"/>
      <c r="B9" s="9" t="n"/>
      <c r="C9" s="8" t="n"/>
      <c r="D9" s="8" t="n"/>
      <c r="E9" s="8" t="n"/>
      <c r="F9" s="12">
        <f>IF($B9="",0,IF(AND(ISNUMBER(C9),ISNUMBER(E9)),MAX(C9-E9,0),0))</f>
        <v/>
      </c>
      <c r="G9" s="7" t="n"/>
      <c r="H9" s="9" t="n"/>
      <c r="I9">
        <f>IF($B9="","",IF(OR(NOT(ISNUMBER(C9)),NOT(ISNUMBER(E9))),"⚠ CHECK ENTRY (non-numeric $)",IF(F9&lt;=0,"PAID IN FULL",IF(G9="","NO DUE DATE",IF(G9&lt;Settings!$B$7,"OVERDUE",IF(G9-Settings!$B$7&lt;=14,"DUE SOON","UPCOMING"))))))</f>
        <v/>
      </c>
    </row>
    <row r="10">
      <c r="A10" s="9" t="n"/>
      <c r="B10" s="9" t="n"/>
      <c r="C10" s="8" t="n"/>
      <c r="D10" s="8" t="n"/>
      <c r="E10" s="8" t="n"/>
      <c r="F10" s="12">
        <f>IF($B10="",0,IF(AND(ISNUMBER(C10),ISNUMBER(E10)),MAX(C10-E10,0),0))</f>
        <v/>
      </c>
      <c r="G10" s="7" t="n"/>
      <c r="H10" s="9" t="n"/>
      <c r="I10">
        <f>IF($B10="","",IF(OR(NOT(ISNUMBER(C10)),NOT(ISNUMBER(E10))),"⚠ CHECK ENTRY (non-numeric $)",IF(F10&lt;=0,"PAID IN FULL",IF(G10="","NO DUE DATE",IF(G10&lt;Settings!$B$7,"OVERDUE",IF(G10-Settings!$B$7&lt;=14,"DUE SOON","UPCOMING"))))))</f>
        <v/>
      </c>
    </row>
    <row r="11">
      <c r="A11" s="9" t="n"/>
      <c r="B11" s="9" t="n"/>
      <c r="C11" s="8" t="n"/>
      <c r="D11" s="8" t="n"/>
      <c r="E11" s="8" t="n"/>
      <c r="F11" s="12">
        <f>IF($B11="",0,IF(AND(ISNUMBER(C11),ISNUMBER(E11)),MAX(C11-E11,0),0))</f>
        <v/>
      </c>
      <c r="G11" s="7" t="n"/>
      <c r="H11" s="9" t="n"/>
      <c r="I11">
        <f>IF($B11="","",IF(OR(NOT(ISNUMBER(C11)),NOT(ISNUMBER(E11))),"⚠ CHECK ENTRY (non-numeric $)",IF(F11&lt;=0,"PAID IN FULL",IF(G11="","NO DUE DATE",IF(G11&lt;Settings!$B$7,"OVERDUE",IF(G11-Settings!$B$7&lt;=14,"DUE SOON","UPCOMING"))))))</f>
        <v/>
      </c>
    </row>
    <row r="12">
      <c r="A12" s="9" t="n"/>
      <c r="B12" s="9" t="n"/>
      <c r="C12" s="8" t="n"/>
      <c r="D12" s="8" t="n"/>
      <c r="E12" s="8" t="n"/>
      <c r="F12" s="12">
        <f>IF($B12="",0,IF(AND(ISNUMBER(C12),ISNUMBER(E12)),MAX(C12-E12,0),0))</f>
        <v/>
      </c>
      <c r="G12" s="7" t="n"/>
      <c r="H12" s="9" t="n"/>
      <c r="I12">
        <f>IF($B12="","",IF(OR(NOT(ISNUMBER(C12)),NOT(ISNUMBER(E12))),"⚠ CHECK ENTRY (non-numeric $)",IF(F12&lt;=0,"PAID IN FULL",IF(G12="","NO DUE DATE",IF(G12&lt;Settings!$B$7,"OVERDUE",IF(G12-Settings!$B$7&lt;=14,"DUE SOON","UPCOMING"))))))</f>
        <v/>
      </c>
    </row>
    <row r="13">
      <c r="A13" s="9" t="n"/>
      <c r="B13" s="9" t="n"/>
      <c r="C13" s="8" t="n"/>
      <c r="D13" s="8" t="n"/>
      <c r="E13" s="8" t="n"/>
      <c r="F13" s="12">
        <f>IF($B13="",0,IF(AND(ISNUMBER(C13),ISNUMBER(E13)),MAX(C13-E13,0),0))</f>
        <v/>
      </c>
      <c r="G13" s="7" t="n"/>
      <c r="H13" s="9" t="n"/>
      <c r="I13">
        <f>IF($B13="","",IF(OR(NOT(ISNUMBER(C13)),NOT(ISNUMBER(E13))),"⚠ CHECK ENTRY (non-numeric $)",IF(F13&lt;=0,"PAID IN FULL",IF(G13="","NO DUE DATE",IF(G13&lt;Settings!$B$7,"OVERDUE",IF(G13-Settings!$B$7&lt;=14,"DUE SOON","UPCOMING"))))))</f>
        <v/>
      </c>
    </row>
    <row r="14">
      <c r="A14" s="9" t="n"/>
      <c r="B14" s="9" t="n"/>
      <c r="C14" s="8" t="n"/>
      <c r="D14" s="8" t="n"/>
      <c r="E14" s="8" t="n"/>
      <c r="F14" s="12">
        <f>IF($B14="",0,IF(AND(ISNUMBER(C14),ISNUMBER(E14)),MAX(C14-E14,0),0))</f>
        <v/>
      </c>
      <c r="G14" s="7" t="n"/>
      <c r="H14" s="9" t="n"/>
      <c r="I14">
        <f>IF($B14="","",IF(OR(NOT(ISNUMBER(C14)),NOT(ISNUMBER(E14))),"⚠ CHECK ENTRY (non-numeric $)",IF(F14&lt;=0,"PAID IN FULL",IF(G14="","NO DUE DATE",IF(G14&lt;Settings!$B$7,"OVERDUE",IF(G14-Settings!$B$7&lt;=14,"DUE SOON","UPCOMING"))))))</f>
        <v/>
      </c>
    </row>
    <row r="15">
      <c r="A15" s="9" t="n"/>
      <c r="B15" s="9" t="n"/>
      <c r="C15" s="8" t="n"/>
      <c r="D15" s="8" t="n"/>
      <c r="E15" s="8" t="n"/>
      <c r="F15" s="12">
        <f>IF($B15="",0,IF(AND(ISNUMBER(C15),ISNUMBER(E15)),MAX(C15-E15,0),0))</f>
        <v/>
      </c>
      <c r="G15" s="7" t="n"/>
      <c r="H15" s="9" t="n"/>
      <c r="I15">
        <f>IF($B15="","",IF(OR(NOT(ISNUMBER(C15)),NOT(ISNUMBER(E15))),"⚠ CHECK ENTRY (non-numeric $)",IF(F15&lt;=0,"PAID IN FULL",IF(G15="","NO DUE DATE",IF(G15&lt;Settings!$B$7,"OVERDUE",IF(G15-Settings!$B$7&lt;=14,"DUE SOON","UPCOMING"))))))</f>
        <v/>
      </c>
    </row>
    <row r="16">
      <c r="A16" s="9" t="n"/>
      <c r="B16" s="9" t="n"/>
      <c r="C16" s="8" t="n"/>
      <c r="D16" s="8" t="n"/>
      <c r="E16" s="8" t="n"/>
      <c r="F16" s="12">
        <f>IF($B16="",0,IF(AND(ISNUMBER(C16),ISNUMBER(E16)),MAX(C16-E16,0),0))</f>
        <v/>
      </c>
      <c r="G16" s="7" t="n"/>
      <c r="H16" s="9" t="n"/>
      <c r="I16">
        <f>IF($B16="","",IF(OR(NOT(ISNUMBER(C16)),NOT(ISNUMBER(E16))),"⚠ CHECK ENTRY (non-numeric $)",IF(F16&lt;=0,"PAID IN FULL",IF(G16="","NO DUE DATE",IF(G16&lt;Settings!$B$7,"OVERDUE",IF(G16-Settings!$B$7&lt;=14,"DUE SOON","UPCOMING"))))))</f>
        <v/>
      </c>
    </row>
    <row r="17">
      <c r="A17" s="9" t="n"/>
      <c r="B17" s="9" t="n"/>
      <c r="C17" s="8" t="n"/>
      <c r="D17" s="8" t="n"/>
      <c r="E17" s="8" t="n"/>
      <c r="F17" s="12">
        <f>IF($B17="",0,IF(AND(ISNUMBER(C17),ISNUMBER(E17)),MAX(C17-E17,0),0))</f>
        <v/>
      </c>
      <c r="G17" s="7" t="n"/>
      <c r="H17" s="9" t="n"/>
      <c r="I17">
        <f>IF($B17="","",IF(OR(NOT(ISNUMBER(C17)),NOT(ISNUMBER(E17))),"⚠ CHECK ENTRY (non-numeric $)",IF(F17&lt;=0,"PAID IN FULL",IF(G17="","NO DUE DATE",IF(G17&lt;Settings!$B$7,"OVERDUE",IF(G17-Settings!$B$7&lt;=14,"DUE SOON","UPCOMING"))))))</f>
        <v/>
      </c>
    </row>
    <row r="18">
      <c r="A18" s="9" t="n"/>
      <c r="B18" s="9" t="n"/>
      <c r="C18" s="8" t="n"/>
      <c r="D18" s="8" t="n"/>
      <c r="E18" s="8" t="n"/>
      <c r="F18" s="12">
        <f>IF($B18="",0,IF(AND(ISNUMBER(C18),ISNUMBER(E18)),MAX(C18-E18,0),0))</f>
        <v/>
      </c>
      <c r="G18" s="7" t="n"/>
      <c r="H18" s="9" t="n"/>
      <c r="I18">
        <f>IF($B18="","",IF(OR(NOT(ISNUMBER(C18)),NOT(ISNUMBER(E18))),"⚠ CHECK ENTRY (non-numeric $)",IF(F18&lt;=0,"PAID IN FULL",IF(G18="","NO DUE DATE",IF(G18&lt;Settings!$B$7,"OVERDUE",IF(G18-Settings!$B$7&lt;=14,"DUE SOON","UPCOMING"))))))</f>
        <v/>
      </c>
    </row>
    <row r="19">
      <c r="A19" s="9" t="n"/>
      <c r="B19" s="9" t="n"/>
      <c r="C19" s="8" t="n"/>
      <c r="D19" s="8" t="n"/>
      <c r="E19" s="8" t="n"/>
      <c r="F19" s="12">
        <f>IF($B19="",0,IF(AND(ISNUMBER(C19),ISNUMBER(E19)),MAX(C19-E19,0),0))</f>
        <v/>
      </c>
      <c r="G19" s="7" t="n"/>
      <c r="H19" s="9" t="n"/>
      <c r="I19">
        <f>IF($B19="","",IF(OR(NOT(ISNUMBER(C19)),NOT(ISNUMBER(E19))),"⚠ CHECK ENTRY (non-numeric $)",IF(F19&lt;=0,"PAID IN FULL",IF(G19="","NO DUE DATE",IF(G19&lt;Settings!$B$7,"OVERDUE",IF(G19-Settings!$B$7&lt;=14,"DUE SOON","UPCOMING"))))))</f>
        <v/>
      </c>
    </row>
    <row r="20">
      <c r="A20" s="9" t="n"/>
      <c r="B20" s="9" t="n"/>
      <c r="C20" s="8" t="n"/>
      <c r="D20" s="8" t="n"/>
      <c r="E20" s="8" t="n"/>
      <c r="F20" s="12">
        <f>IF($B20="",0,IF(AND(ISNUMBER(C20),ISNUMBER(E20)),MAX(C20-E20,0),0))</f>
        <v/>
      </c>
      <c r="G20" s="7" t="n"/>
      <c r="H20" s="9" t="n"/>
      <c r="I20">
        <f>IF($B20="","",IF(OR(NOT(ISNUMBER(C20)),NOT(ISNUMBER(E20))),"⚠ CHECK ENTRY (non-numeric $)",IF(F20&lt;=0,"PAID IN FULL",IF(G20="","NO DUE DATE",IF(G20&lt;Settings!$B$7,"OVERDUE",IF(G20-Settings!$B$7&lt;=14,"DUE SOON","UPCOMING"))))))</f>
        <v/>
      </c>
    </row>
    <row r="21">
      <c r="A21" s="9" t="n"/>
      <c r="B21" s="9" t="n"/>
      <c r="C21" s="8" t="n"/>
      <c r="D21" s="8" t="n"/>
      <c r="E21" s="8" t="n"/>
      <c r="F21" s="12">
        <f>IF($B21="",0,IF(AND(ISNUMBER(C21),ISNUMBER(E21)),MAX(C21-E21,0),0))</f>
        <v/>
      </c>
      <c r="G21" s="7" t="n"/>
      <c r="H21" s="9" t="n"/>
      <c r="I21">
        <f>IF($B21="","",IF(OR(NOT(ISNUMBER(C21)),NOT(ISNUMBER(E21))),"⚠ CHECK ENTRY (non-numeric $)",IF(F21&lt;=0,"PAID IN FULL",IF(G21="","NO DUE DATE",IF(G21&lt;Settings!$B$7,"OVERDUE",IF(G21-Settings!$B$7&lt;=14,"DUE SOON","UPCOMING"))))))</f>
        <v/>
      </c>
    </row>
    <row r="22">
      <c r="A22" s="9" t="n"/>
      <c r="B22" s="9" t="n"/>
      <c r="C22" s="8" t="n"/>
      <c r="D22" s="8" t="n"/>
      <c r="E22" s="8" t="n"/>
      <c r="F22" s="12">
        <f>IF($B22="",0,IF(AND(ISNUMBER(C22),ISNUMBER(E22)),MAX(C22-E22,0),0))</f>
        <v/>
      </c>
      <c r="G22" s="7" t="n"/>
      <c r="H22" s="9" t="n"/>
      <c r="I22">
        <f>IF($B22="","",IF(OR(NOT(ISNUMBER(C22)),NOT(ISNUMBER(E22))),"⚠ CHECK ENTRY (non-numeric $)",IF(F22&lt;=0,"PAID IN FULL",IF(G22="","NO DUE DATE",IF(G22&lt;Settings!$B$7,"OVERDUE",IF(G22-Settings!$B$7&lt;=14,"DUE SOON","UPCOMING"))))))</f>
        <v/>
      </c>
    </row>
    <row r="23">
      <c r="A23" s="9" t="n"/>
      <c r="B23" s="9" t="n"/>
      <c r="C23" s="8" t="n"/>
      <c r="D23" s="8" t="n"/>
      <c r="E23" s="8" t="n"/>
      <c r="F23" s="12">
        <f>IF($B23="",0,IF(AND(ISNUMBER(C23),ISNUMBER(E23)),MAX(C23-E23,0),0))</f>
        <v/>
      </c>
      <c r="G23" s="7" t="n"/>
      <c r="H23" s="9" t="n"/>
      <c r="I23">
        <f>IF($B23="","",IF(OR(NOT(ISNUMBER(C23)),NOT(ISNUMBER(E23))),"⚠ CHECK ENTRY (non-numeric $)",IF(F23&lt;=0,"PAID IN FULL",IF(G23="","NO DUE DATE",IF(G23&lt;Settings!$B$7,"OVERDUE",IF(G23-Settings!$B$7&lt;=14,"DUE SOON","UPCOMING"))))))</f>
        <v/>
      </c>
    </row>
    <row r="24">
      <c r="A24" s="9" t="n"/>
      <c r="B24" s="9" t="n"/>
      <c r="C24" s="8" t="n"/>
      <c r="D24" s="8" t="n"/>
      <c r="E24" s="8" t="n"/>
      <c r="F24" s="12">
        <f>IF($B24="",0,IF(AND(ISNUMBER(C24),ISNUMBER(E24)),MAX(C24-E24,0),0))</f>
        <v/>
      </c>
      <c r="G24" s="7" t="n"/>
      <c r="H24" s="9" t="n"/>
      <c r="I24">
        <f>IF($B24="","",IF(OR(NOT(ISNUMBER(C24)),NOT(ISNUMBER(E24))),"⚠ CHECK ENTRY (non-numeric $)",IF(F24&lt;=0,"PAID IN FULL",IF(G24="","NO DUE DATE",IF(G24&lt;Settings!$B$7,"OVERDUE",IF(G24-Settings!$B$7&lt;=14,"DUE SOON","UPCOMING"))))))</f>
        <v/>
      </c>
    </row>
    <row r="25">
      <c r="A25" s="9" t="n"/>
      <c r="B25" s="9" t="n"/>
      <c r="C25" s="8" t="n"/>
      <c r="D25" s="8" t="n"/>
      <c r="E25" s="8" t="n"/>
      <c r="F25" s="12">
        <f>IF($B25="",0,IF(AND(ISNUMBER(C25),ISNUMBER(E25)),MAX(C25-E25,0),0))</f>
        <v/>
      </c>
      <c r="G25" s="7" t="n"/>
      <c r="H25" s="9" t="n"/>
      <c r="I25">
        <f>IF($B25="","",IF(OR(NOT(ISNUMBER(C25)),NOT(ISNUMBER(E25))),"⚠ CHECK ENTRY (non-numeric $)",IF(F25&lt;=0,"PAID IN FULL",IF(G25="","NO DUE DATE",IF(G25&lt;Settings!$B$7,"OVERDUE",IF(G25-Settings!$B$7&lt;=14,"DUE SOON","UPCOMING"))))))</f>
        <v/>
      </c>
    </row>
    <row r="26">
      <c r="A26" s="9" t="n"/>
      <c r="B26" s="9" t="n"/>
      <c r="C26" s="8" t="n"/>
      <c r="D26" s="8" t="n"/>
      <c r="E26" s="8" t="n"/>
      <c r="F26" s="12">
        <f>IF($B26="",0,IF(AND(ISNUMBER(C26),ISNUMBER(E26)),MAX(C26-E26,0),0))</f>
        <v/>
      </c>
      <c r="G26" s="7" t="n"/>
      <c r="H26" s="9" t="n"/>
      <c r="I26">
        <f>IF($B26="","",IF(OR(NOT(ISNUMBER(C26)),NOT(ISNUMBER(E26))),"⚠ CHECK ENTRY (non-numeric $)",IF(F26&lt;=0,"PAID IN FULL",IF(G26="","NO DUE DATE",IF(G26&lt;Settings!$B$7,"OVERDUE",IF(G26-Settings!$B$7&lt;=14,"DUE SOON","UPCOMING"))))))</f>
        <v/>
      </c>
    </row>
    <row r="27">
      <c r="A27" s="9" t="n"/>
      <c r="B27" s="9" t="n"/>
      <c r="C27" s="8" t="n"/>
      <c r="D27" s="8" t="n"/>
      <c r="E27" s="8" t="n"/>
      <c r="F27" s="12">
        <f>IF($B27="",0,IF(AND(ISNUMBER(C27),ISNUMBER(E27)),MAX(C27-E27,0),0))</f>
        <v/>
      </c>
      <c r="G27" s="7" t="n"/>
      <c r="H27" s="9" t="n"/>
      <c r="I27">
        <f>IF($B27="","",IF(OR(NOT(ISNUMBER(C27)),NOT(ISNUMBER(E27))),"⚠ CHECK ENTRY (non-numeric $)",IF(F27&lt;=0,"PAID IN FULL",IF(G27="","NO DUE DATE",IF(G27&lt;Settings!$B$7,"OVERDUE",IF(G27-Settings!$B$7&lt;=14,"DUE SOON","UPCOMING"))))))</f>
        <v/>
      </c>
    </row>
    <row r="28">
      <c r="A28" s="9" t="n"/>
      <c r="B28" s="9" t="n"/>
      <c r="C28" s="8" t="n"/>
      <c r="D28" s="8" t="n"/>
      <c r="E28" s="8" t="n"/>
      <c r="F28" s="12">
        <f>IF($B28="",0,IF(AND(ISNUMBER(C28),ISNUMBER(E28)),MAX(C28-E28,0),0))</f>
        <v/>
      </c>
      <c r="G28" s="7" t="n"/>
      <c r="H28" s="9" t="n"/>
      <c r="I28">
        <f>IF($B28="","",IF(OR(NOT(ISNUMBER(C28)),NOT(ISNUMBER(E28))),"⚠ CHECK ENTRY (non-numeric $)",IF(F28&lt;=0,"PAID IN FULL",IF(G28="","NO DUE DATE",IF(G28&lt;Settings!$B$7,"OVERDUE",IF(G28-Settings!$B$7&lt;=14,"DUE SOON","UPCOMING"))))))</f>
        <v/>
      </c>
    </row>
    <row r="29">
      <c r="A29" s="13" t="inlineStr">
        <is>
          <t>TOTAL</t>
        </is>
      </c>
      <c r="B29" s="13" t="n"/>
      <c r="C29" s="14">
        <f>SUM(C4:C28)</f>
        <v/>
      </c>
      <c r="D29" s="14">
        <f>SUM(D4:D28)</f>
        <v/>
      </c>
      <c r="E29" s="14">
        <f>SUM(E4:E28)</f>
        <v/>
      </c>
      <c r="F29" s="14">
        <f>SUM(F4:F28)</f>
        <v/>
      </c>
      <c r="G29" s="13" t="n"/>
      <c r="H29" s="13" t="n"/>
      <c r="I29" s="13" t="n"/>
    </row>
    <row r="31">
      <c r="A31" s="5" t="inlineStr">
        <is>
          <t>Vendor $ in categories that don't match Master Budget:</t>
        </is>
      </c>
      <c r="B31" s="12">
        <f>SUMPRODUCT((B4:B28&lt;&gt;"")*ISNA(MATCH(A4:A28,'Master Budget'!$A$4:$A$18,0)),C4:C28)</f>
        <v/>
      </c>
    </row>
    <row r="32">
      <c r="A32" s="15">
        <f>IF(B31&gt;0,"⚠ "&amp;TEXT(B31,"$#,##0")&amp;" of vendor spend uses a Category that doesn't exactly match a Master Budget row — it will NOT show up in your Master Budget totals. Check for typos, or pick the category from the dropdown instead of typing it.","")</f>
        <v/>
      </c>
    </row>
  </sheetData>
  <mergeCells count="1">
    <mergeCell ref="A32:I32"/>
  </mergeCells>
  <dataValidations count="100">
    <dataValidation sqref="A4" showDropDown="0" showInputMessage="0" showErrorMessage="0" allowBlank="1" type="list">
      <formula1>='Master Budget'!$A$4:$A$18</formula1>
    </dataValidation>
    <dataValidation sqref="H4" showDropDown="0" showInputMessage="0" showErrorMessage="0" allowBlank="1" type="list">
      <formula1>=Contributions!$A$4:$A$13</formula1>
    </dataValidation>
    <dataValidation sqref="C4" showDropDown="0" showInputMessage="0" showErrorMessage="0" allowBlank="0" error="Enter an amount of 0 or more." type="decimal" operator="greaterThanOrEqual">
      <formula1>0</formula1>
    </dataValidation>
    <dataValidation sqref="E4" showDropDown="0" showInputMessage="0" showErrorMessage="0" allowBlank="0" error="Enter an amount of 0 or more." type="decimal" operator="greaterThanOrEqual">
      <formula1>0</formula1>
    </dataValidation>
    <dataValidation sqref="A5" showDropDown="0" showInputMessage="0" showErrorMessage="0" allowBlank="1" type="list">
      <formula1>='Master Budget'!$A$4:$A$18</formula1>
    </dataValidation>
    <dataValidation sqref="H5" showDropDown="0" showInputMessage="0" showErrorMessage="0" allowBlank="1" type="list">
      <formula1>=Contributions!$A$4:$A$13</formula1>
    </dataValidation>
    <dataValidation sqref="C5" showDropDown="0" showInputMessage="0" showErrorMessage="0" allowBlank="0" error="Enter an amount of 0 or more." type="decimal" operator="greaterThanOrEqual">
      <formula1>0</formula1>
    </dataValidation>
    <dataValidation sqref="E5" showDropDown="0" showInputMessage="0" showErrorMessage="0" allowBlank="0" error="Enter an amount of 0 or more." type="decimal" operator="greaterThanOrEqual">
      <formula1>0</formula1>
    </dataValidation>
    <dataValidation sqref="A6" showDropDown="0" showInputMessage="0" showErrorMessage="0" allowBlank="1" type="list">
      <formula1>='Master Budget'!$A$4:$A$18</formula1>
    </dataValidation>
    <dataValidation sqref="H6" showDropDown="0" showInputMessage="0" showErrorMessage="0" allowBlank="1" type="list">
      <formula1>=Contributions!$A$4:$A$13</formula1>
    </dataValidation>
    <dataValidation sqref="C6" showDropDown="0" showInputMessage="0" showErrorMessage="0" allowBlank="0" error="Enter an amount of 0 or more." type="decimal" operator="greaterThanOrEqual">
      <formula1>0</formula1>
    </dataValidation>
    <dataValidation sqref="E6" showDropDown="0" showInputMessage="0" showErrorMessage="0" allowBlank="0" error="Enter an amount of 0 or more." type="decimal" operator="greaterThanOrEqual">
      <formula1>0</formula1>
    </dataValidation>
    <dataValidation sqref="A7" showDropDown="0" showInputMessage="0" showErrorMessage="0" allowBlank="1" type="list">
      <formula1>='Master Budget'!$A$4:$A$18</formula1>
    </dataValidation>
    <dataValidation sqref="H7" showDropDown="0" showInputMessage="0" showErrorMessage="0" allowBlank="1" type="list">
      <formula1>=Contributions!$A$4:$A$13</formula1>
    </dataValidation>
    <dataValidation sqref="C7" showDropDown="0" showInputMessage="0" showErrorMessage="0" allowBlank="0" error="Enter an amount of 0 or more." type="decimal" operator="greaterThanOrEqual">
      <formula1>0</formula1>
    </dataValidation>
    <dataValidation sqref="E7" showDropDown="0" showInputMessage="0" showErrorMessage="0" allowBlank="0" error="Enter an amount of 0 or more." type="decimal" operator="greaterThanOrEqual">
      <formula1>0</formula1>
    </dataValidation>
    <dataValidation sqref="A8" showDropDown="0" showInputMessage="0" showErrorMessage="0" allowBlank="1" type="list">
      <formula1>='Master Budget'!$A$4:$A$18</formula1>
    </dataValidation>
    <dataValidation sqref="H8" showDropDown="0" showInputMessage="0" showErrorMessage="0" allowBlank="1" type="list">
      <formula1>=Contributions!$A$4:$A$13</formula1>
    </dataValidation>
    <dataValidation sqref="C8" showDropDown="0" showInputMessage="0" showErrorMessage="0" allowBlank="0" error="Enter an amount of 0 or more." type="decimal" operator="greaterThanOrEqual">
      <formula1>0</formula1>
    </dataValidation>
    <dataValidation sqref="E8" showDropDown="0" showInputMessage="0" showErrorMessage="0" allowBlank="0" error="Enter an amount of 0 or more." type="decimal" operator="greaterThanOrEqual">
      <formula1>0</formula1>
    </dataValidation>
    <dataValidation sqref="A9" showDropDown="0" showInputMessage="0" showErrorMessage="0" allowBlank="1" type="list">
      <formula1>='Master Budget'!$A$4:$A$18</formula1>
    </dataValidation>
    <dataValidation sqref="H9" showDropDown="0" showInputMessage="0" showErrorMessage="0" allowBlank="1" type="list">
      <formula1>=Contributions!$A$4:$A$13</formula1>
    </dataValidation>
    <dataValidation sqref="C9" showDropDown="0" showInputMessage="0" showErrorMessage="0" allowBlank="0" error="Enter an amount of 0 or more." type="decimal" operator="greaterThanOrEqual">
      <formula1>0</formula1>
    </dataValidation>
    <dataValidation sqref="E9" showDropDown="0" showInputMessage="0" showErrorMessage="0" allowBlank="0" error="Enter an amount of 0 or more." type="decimal" operator="greaterThanOrEqual">
      <formula1>0</formula1>
    </dataValidation>
    <dataValidation sqref="A10" showDropDown="0" showInputMessage="0" showErrorMessage="0" allowBlank="1" type="list">
      <formula1>='Master Budget'!$A$4:$A$18</formula1>
    </dataValidation>
    <dataValidation sqref="H10" showDropDown="0" showInputMessage="0" showErrorMessage="0" allowBlank="1" type="list">
      <formula1>=Contributions!$A$4:$A$13</formula1>
    </dataValidation>
    <dataValidation sqref="C10" showDropDown="0" showInputMessage="0" showErrorMessage="0" allowBlank="0" error="Enter an amount of 0 or more." type="decimal" operator="greaterThanOrEqual">
      <formula1>0</formula1>
    </dataValidation>
    <dataValidation sqref="E10" showDropDown="0" showInputMessage="0" showErrorMessage="0" allowBlank="0" error="Enter an amount of 0 or more." type="decimal" operator="greaterThanOrEqual">
      <formula1>0</formula1>
    </dataValidation>
    <dataValidation sqref="A11" showDropDown="0" showInputMessage="0" showErrorMessage="0" allowBlank="1" type="list">
      <formula1>='Master Budget'!$A$4:$A$18</formula1>
    </dataValidation>
    <dataValidation sqref="H11" showDropDown="0" showInputMessage="0" showErrorMessage="0" allowBlank="1" type="list">
      <formula1>=Contributions!$A$4:$A$13</formula1>
    </dataValidation>
    <dataValidation sqref="C11" showDropDown="0" showInputMessage="0" showErrorMessage="0" allowBlank="0" error="Enter an amount of 0 or more." type="decimal" operator="greaterThanOrEqual">
      <formula1>0</formula1>
    </dataValidation>
    <dataValidation sqref="E11" showDropDown="0" showInputMessage="0" showErrorMessage="0" allowBlank="0" error="Enter an amount of 0 or more." type="decimal" operator="greaterThanOrEqual">
      <formula1>0</formula1>
    </dataValidation>
    <dataValidation sqref="A12" showDropDown="0" showInputMessage="0" showErrorMessage="0" allowBlank="1" type="list">
      <formula1>='Master Budget'!$A$4:$A$18</formula1>
    </dataValidation>
    <dataValidation sqref="H12" showDropDown="0" showInputMessage="0" showErrorMessage="0" allowBlank="1" type="list">
      <formula1>=Contributions!$A$4:$A$13</formula1>
    </dataValidation>
    <dataValidation sqref="C12" showDropDown="0" showInputMessage="0" showErrorMessage="0" allowBlank="0" error="Enter an amount of 0 or more." type="decimal" operator="greaterThanOrEqual">
      <formula1>0</formula1>
    </dataValidation>
    <dataValidation sqref="E12" showDropDown="0" showInputMessage="0" showErrorMessage="0" allowBlank="0" error="Enter an amount of 0 or more." type="decimal" operator="greaterThanOrEqual">
      <formula1>0</formula1>
    </dataValidation>
    <dataValidation sqref="A13" showDropDown="0" showInputMessage="0" showErrorMessage="0" allowBlank="1" type="list">
      <formula1>='Master Budget'!$A$4:$A$18</formula1>
    </dataValidation>
    <dataValidation sqref="H13" showDropDown="0" showInputMessage="0" showErrorMessage="0" allowBlank="1" type="list">
      <formula1>=Contributions!$A$4:$A$13</formula1>
    </dataValidation>
    <dataValidation sqref="C13" showDropDown="0" showInputMessage="0" showErrorMessage="0" allowBlank="0" error="Enter an amount of 0 or more." type="decimal" operator="greaterThanOrEqual">
      <formula1>0</formula1>
    </dataValidation>
    <dataValidation sqref="E13" showDropDown="0" showInputMessage="0" showErrorMessage="0" allowBlank="0" error="Enter an amount of 0 or more." type="decimal" operator="greaterThanOrEqual">
      <formula1>0</formula1>
    </dataValidation>
    <dataValidation sqref="A14" showDropDown="0" showInputMessage="0" showErrorMessage="0" allowBlank="1" type="list">
      <formula1>='Master Budget'!$A$4:$A$18</formula1>
    </dataValidation>
    <dataValidation sqref="H14" showDropDown="0" showInputMessage="0" showErrorMessage="0" allowBlank="1" type="list">
      <formula1>=Contributions!$A$4:$A$13</formula1>
    </dataValidation>
    <dataValidation sqref="C14" showDropDown="0" showInputMessage="0" showErrorMessage="0" allowBlank="0" error="Enter an amount of 0 or more." type="decimal" operator="greaterThanOrEqual">
      <formula1>0</formula1>
    </dataValidation>
    <dataValidation sqref="E14" showDropDown="0" showInputMessage="0" showErrorMessage="0" allowBlank="0" error="Enter an amount of 0 or more." type="decimal" operator="greaterThanOrEqual">
      <formula1>0</formula1>
    </dataValidation>
    <dataValidation sqref="A15" showDropDown="0" showInputMessage="0" showErrorMessage="0" allowBlank="1" type="list">
      <formula1>='Master Budget'!$A$4:$A$18</formula1>
    </dataValidation>
    <dataValidation sqref="H15" showDropDown="0" showInputMessage="0" showErrorMessage="0" allowBlank="1" type="list">
      <formula1>=Contributions!$A$4:$A$13</formula1>
    </dataValidation>
    <dataValidation sqref="C15" showDropDown="0" showInputMessage="0" showErrorMessage="0" allowBlank="0" error="Enter an amount of 0 or more." type="decimal" operator="greaterThanOrEqual">
      <formula1>0</formula1>
    </dataValidation>
    <dataValidation sqref="E15" showDropDown="0" showInputMessage="0" showErrorMessage="0" allowBlank="0" error="Enter an amount of 0 or more." type="decimal" operator="greaterThanOrEqual">
      <formula1>0</formula1>
    </dataValidation>
    <dataValidation sqref="A16" showDropDown="0" showInputMessage="0" showErrorMessage="0" allowBlank="1" type="list">
      <formula1>='Master Budget'!$A$4:$A$18</formula1>
    </dataValidation>
    <dataValidation sqref="H16" showDropDown="0" showInputMessage="0" showErrorMessage="0" allowBlank="1" type="list">
      <formula1>=Contributions!$A$4:$A$13</formula1>
    </dataValidation>
    <dataValidation sqref="C16" showDropDown="0" showInputMessage="0" showErrorMessage="0" allowBlank="0" error="Enter an amount of 0 or more." type="decimal" operator="greaterThanOrEqual">
      <formula1>0</formula1>
    </dataValidation>
    <dataValidation sqref="E16" showDropDown="0" showInputMessage="0" showErrorMessage="0" allowBlank="0" error="Enter an amount of 0 or more." type="decimal" operator="greaterThanOrEqual">
      <formula1>0</formula1>
    </dataValidation>
    <dataValidation sqref="A17" showDropDown="0" showInputMessage="0" showErrorMessage="0" allowBlank="1" type="list">
      <formula1>='Master Budget'!$A$4:$A$18</formula1>
    </dataValidation>
    <dataValidation sqref="H17" showDropDown="0" showInputMessage="0" showErrorMessage="0" allowBlank="1" type="list">
      <formula1>=Contributions!$A$4:$A$13</formula1>
    </dataValidation>
    <dataValidation sqref="C17" showDropDown="0" showInputMessage="0" showErrorMessage="0" allowBlank="0" error="Enter an amount of 0 or more." type="decimal" operator="greaterThanOrEqual">
      <formula1>0</formula1>
    </dataValidation>
    <dataValidation sqref="E17" showDropDown="0" showInputMessage="0" showErrorMessage="0" allowBlank="0" error="Enter an amount of 0 or more." type="decimal" operator="greaterThanOrEqual">
      <formula1>0</formula1>
    </dataValidation>
    <dataValidation sqref="A18" showDropDown="0" showInputMessage="0" showErrorMessage="0" allowBlank="1" type="list">
      <formula1>='Master Budget'!$A$4:$A$18</formula1>
    </dataValidation>
    <dataValidation sqref="H18" showDropDown="0" showInputMessage="0" showErrorMessage="0" allowBlank="1" type="list">
      <formula1>=Contributions!$A$4:$A$13</formula1>
    </dataValidation>
    <dataValidation sqref="C18" showDropDown="0" showInputMessage="0" showErrorMessage="0" allowBlank="0" error="Enter an amount of 0 or more." type="decimal" operator="greaterThanOrEqual">
      <formula1>0</formula1>
    </dataValidation>
    <dataValidation sqref="E18" showDropDown="0" showInputMessage="0" showErrorMessage="0" allowBlank="0" error="Enter an amount of 0 or more." type="decimal" operator="greaterThanOrEqual">
      <formula1>0</formula1>
    </dataValidation>
    <dataValidation sqref="A19" showDropDown="0" showInputMessage="0" showErrorMessage="0" allowBlank="1" type="list">
      <formula1>='Master Budget'!$A$4:$A$18</formula1>
    </dataValidation>
    <dataValidation sqref="H19" showDropDown="0" showInputMessage="0" showErrorMessage="0" allowBlank="1" type="list">
      <formula1>=Contributions!$A$4:$A$13</formula1>
    </dataValidation>
    <dataValidation sqref="C19" showDropDown="0" showInputMessage="0" showErrorMessage="0" allowBlank="0" error="Enter an amount of 0 or more." type="decimal" operator="greaterThanOrEqual">
      <formula1>0</formula1>
    </dataValidation>
    <dataValidation sqref="E19" showDropDown="0" showInputMessage="0" showErrorMessage="0" allowBlank="0" error="Enter an amount of 0 or more." type="decimal" operator="greaterThanOrEqual">
      <formula1>0</formula1>
    </dataValidation>
    <dataValidation sqref="A20" showDropDown="0" showInputMessage="0" showErrorMessage="0" allowBlank="1" type="list">
      <formula1>='Master Budget'!$A$4:$A$18</formula1>
    </dataValidation>
    <dataValidation sqref="H20" showDropDown="0" showInputMessage="0" showErrorMessage="0" allowBlank="1" type="list">
      <formula1>=Contributions!$A$4:$A$13</formula1>
    </dataValidation>
    <dataValidation sqref="C20" showDropDown="0" showInputMessage="0" showErrorMessage="0" allowBlank="0" error="Enter an amount of 0 or more." type="decimal" operator="greaterThanOrEqual">
      <formula1>0</formula1>
    </dataValidation>
    <dataValidation sqref="E20" showDropDown="0" showInputMessage="0" showErrorMessage="0" allowBlank="0" error="Enter an amount of 0 or more." type="decimal" operator="greaterThanOrEqual">
      <formula1>0</formula1>
    </dataValidation>
    <dataValidation sqref="A21" showDropDown="0" showInputMessage="0" showErrorMessage="0" allowBlank="1" type="list">
      <formula1>='Master Budget'!$A$4:$A$18</formula1>
    </dataValidation>
    <dataValidation sqref="H21" showDropDown="0" showInputMessage="0" showErrorMessage="0" allowBlank="1" type="list">
      <formula1>=Contributions!$A$4:$A$13</formula1>
    </dataValidation>
    <dataValidation sqref="C21" showDropDown="0" showInputMessage="0" showErrorMessage="0" allowBlank="0" error="Enter an amount of 0 or more." type="decimal" operator="greaterThanOrEqual">
      <formula1>0</formula1>
    </dataValidation>
    <dataValidation sqref="E21" showDropDown="0" showInputMessage="0" showErrorMessage="0" allowBlank="0" error="Enter an amount of 0 or more." type="decimal" operator="greaterThanOrEqual">
      <formula1>0</formula1>
    </dataValidation>
    <dataValidation sqref="A22" showDropDown="0" showInputMessage="0" showErrorMessage="0" allowBlank="1" type="list">
      <formula1>='Master Budget'!$A$4:$A$18</formula1>
    </dataValidation>
    <dataValidation sqref="H22" showDropDown="0" showInputMessage="0" showErrorMessage="0" allowBlank="1" type="list">
      <formula1>=Contributions!$A$4:$A$13</formula1>
    </dataValidation>
    <dataValidation sqref="C22" showDropDown="0" showInputMessage="0" showErrorMessage="0" allowBlank="0" error="Enter an amount of 0 or more." type="decimal" operator="greaterThanOrEqual">
      <formula1>0</formula1>
    </dataValidation>
    <dataValidation sqref="E22" showDropDown="0" showInputMessage="0" showErrorMessage="0" allowBlank="0" error="Enter an amount of 0 or more." type="decimal" operator="greaterThanOrEqual">
      <formula1>0</formula1>
    </dataValidation>
    <dataValidation sqref="A23" showDropDown="0" showInputMessage="0" showErrorMessage="0" allowBlank="1" type="list">
      <formula1>='Master Budget'!$A$4:$A$18</formula1>
    </dataValidation>
    <dataValidation sqref="H23" showDropDown="0" showInputMessage="0" showErrorMessage="0" allowBlank="1" type="list">
      <formula1>=Contributions!$A$4:$A$13</formula1>
    </dataValidation>
    <dataValidation sqref="C23" showDropDown="0" showInputMessage="0" showErrorMessage="0" allowBlank="0" error="Enter an amount of 0 or more." type="decimal" operator="greaterThanOrEqual">
      <formula1>0</formula1>
    </dataValidation>
    <dataValidation sqref="E23" showDropDown="0" showInputMessage="0" showErrorMessage="0" allowBlank="0" error="Enter an amount of 0 or more." type="decimal" operator="greaterThanOrEqual">
      <formula1>0</formula1>
    </dataValidation>
    <dataValidation sqref="A24" showDropDown="0" showInputMessage="0" showErrorMessage="0" allowBlank="1" type="list">
      <formula1>='Master Budget'!$A$4:$A$18</formula1>
    </dataValidation>
    <dataValidation sqref="H24" showDropDown="0" showInputMessage="0" showErrorMessage="0" allowBlank="1" type="list">
      <formula1>=Contributions!$A$4:$A$13</formula1>
    </dataValidation>
    <dataValidation sqref="C24" showDropDown="0" showInputMessage="0" showErrorMessage="0" allowBlank="0" error="Enter an amount of 0 or more." type="decimal" operator="greaterThanOrEqual">
      <formula1>0</formula1>
    </dataValidation>
    <dataValidation sqref="E24" showDropDown="0" showInputMessage="0" showErrorMessage="0" allowBlank="0" error="Enter an amount of 0 or more." type="decimal" operator="greaterThanOrEqual">
      <formula1>0</formula1>
    </dataValidation>
    <dataValidation sqref="A25" showDropDown="0" showInputMessage="0" showErrorMessage="0" allowBlank="1" type="list">
      <formula1>='Master Budget'!$A$4:$A$18</formula1>
    </dataValidation>
    <dataValidation sqref="H25" showDropDown="0" showInputMessage="0" showErrorMessage="0" allowBlank="1" type="list">
      <formula1>=Contributions!$A$4:$A$13</formula1>
    </dataValidation>
    <dataValidation sqref="C25" showDropDown="0" showInputMessage="0" showErrorMessage="0" allowBlank="0" error="Enter an amount of 0 or more." type="decimal" operator="greaterThanOrEqual">
      <formula1>0</formula1>
    </dataValidation>
    <dataValidation sqref="E25" showDropDown="0" showInputMessage="0" showErrorMessage="0" allowBlank="0" error="Enter an amount of 0 or more." type="decimal" operator="greaterThanOrEqual">
      <formula1>0</formula1>
    </dataValidation>
    <dataValidation sqref="A26" showDropDown="0" showInputMessage="0" showErrorMessage="0" allowBlank="1" type="list">
      <formula1>='Master Budget'!$A$4:$A$18</formula1>
    </dataValidation>
    <dataValidation sqref="H26" showDropDown="0" showInputMessage="0" showErrorMessage="0" allowBlank="1" type="list">
      <formula1>=Contributions!$A$4:$A$13</formula1>
    </dataValidation>
    <dataValidation sqref="C26" showDropDown="0" showInputMessage="0" showErrorMessage="0" allowBlank="0" error="Enter an amount of 0 or more." type="decimal" operator="greaterThanOrEqual">
      <formula1>0</formula1>
    </dataValidation>
    <dataValidation sqref="E26" showDropDown="0" showInputMessage="0" showErrorMessage="0" allowBlank="0" error="Enter an amount of 0 or more." type="decimal" operator="greaterThanOrEqual">
      <formula1>0</formula1>
    </dataValidation>
    <dataValidation sqref="A27" showDropDown="0" showInputMessage="0" showErrorMessage="0" allowBlank="1" type="list">
      <formula1>='Master Budget'!$A$4:$A$18</formula1>
    </dataValidation>
    <dataValidation sqref="H27" showDropDown="0" showInputMessage="0" showErrorMessage="0" allowBlank="1" type="list">
      <formula1>=Contributions!$A$4:$A$13</formula1>
    </dataValidation>
    <dataValidation sqref="C27" showDropDown="0" showInputMessage="0" showErrorMessage="0" allowBlank="0" error="Enter an amount of 0 or more." type="decimal" operator="greaterThanOrEqual">
      <formula1>0</formula1>
    </dataValidation>
    <dataValidation sqref="E27" showDropDown="0" showInputMessage="0" showErrorMessage="0" allowBlank="0" error="Enter an amount of 0 or more." type="decimal" operator="greaterThanOrEqual">
      <formula1>0</formula1>
    </dataValidation>
    <dataValidation sqref="A28" showDropDown="0" showInputMessage="0" showErrorMessage="0" allowBlank="1" type="list">
      <formula1>='Master Budget'!$A$4:$A$18</formula1>
    </dataValidation>
    <dataValidation sqref="H28" showDropDown="0" showInputMessage="0" showErrorMessage="0" allowBlank="1" type="list">
      <formula1>=Contributions!$A$4:$A$13</formula1>
    </dataValidation>
    <dataValidation sqref="C28" showDropDown="0" showInputMessage="0" showErrorMessage="0" allowBlank="0" error="Enter an amount of 0 or more." type="decimal" operator="greaterThanOrEqual">
      <formula1>0</formula1>
    </dataValidation>
    <dataValidation sqref="E28" showDropDown="0" showInputMessage="0" showErrorMessage="0" allowBlank="0" error="Enter an amount of 0 or more.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2" customWidth="1" min="3" max="3"/>
  </cols>
  <sheetData>
    <row r="1">
      <c r="A1" s="1" t="inlineStr">
        <is>
          <t>CASH-FLOW TIMELINE</t>
        </is>
      </c>
    </row>
    <row r="2">
      <c r="A2" s="2" t="inlineStr">
        <is>
          <t>Built automatically from your Vendor &amp; Payments due dates and balances — nothing here is re-typed. The first month shown includes any overdue balances too, not just amounts newly due this month.</t>
        </is>
      </c>
    </row>
    <row r="3">
      <c r="A3" t="inlineStr">
        <is>
          <t>Timeline starts (auto):</t>
        </is>
      </c>
      <c r="B3" s="16">
        <f>EOMONTH(Settings!$B$7,-1)+1</f>
        <v/>
      </c>
    </row>
    <row r="5">
      <c r="A5" s="6" t="inlineStr">
        <is>
          <t>Month</t>
        </is>
      </c>
      <c r="B5" s="6" t="inlineStr">
        <is>
          <t>Amount Due This Month</t>
        </is>
      </c>
      <c r="C5" s="6" t="inlineStr">
        <is>
          <t>Cumulative Planned Spend</t>
        </is>
      </c>
    </row>
    <row r="6">
      <c r="A6" s="16">
        <f>$B$3</f>
        <v/>
      </c>
      <c r="B6" s="12">
        <f>SUMPRODUCT(('Vendor &amp; Payments'!$G$4:$G$28&lt;&gt;"")*('Vendor &amp; Payments'!$G$4:$G$28&lt;=EOMONTH($A6,0))*'Vendor &amp; Payments'!$F$4:$F$28)</f>
        <v/>
      </c>
      <c r="C6" s="12">
        <f>B6</f>
        <v/>
      </c>
    </row>
    <row r="7">
      <c r="A7" s="16">
        <f>EDATE(A6,1)</f>
        <v/>
      </c>
      <c r="B7" s="12">
        <f>SUMPRODUCT(('Vendor &amp; Payments'!$G$4:$G$28&lt;&gt;"")*(TEXT('Vendor &amp; Payments'!$G$4:$G$28,"yyyy-mm")=TEXT($A7,"yyyy-mm"))*'Vendor &amp; Payments'!$F$4:$F$28)</f>
        <v/>
      </c>
      <c r="C7" s="12">
        <f>C6+B7</f>
        <v/>
      </c>
    </row>
    <row r="8">
      <c r="A8" s="16">
        <f>EDATE(A7,1)</f>
        <v/>
      </c>
      <c r="B8" s="12">
        <f>SUMPRODUCT(('Vendor &amp; Payments'!$G$4:$G$28&lt;&gt;"")*(TEXT('Vendor &amp; Payments'!$G$4:$G$28,"yyyy-mm")=TEXT($A8,"yyyy-mm"))*'Vendor &amp; Payments'!$F$4:$F$28)</f>
        <v/>
      </c>
      <c r="C8" s="12">
        <f>C7+B8</f>
        <v/>
      </c>
    </row>
    <row r="9">
      <c r="A9" s="16">
        <f>EDATE(A8,1)</f>
        <v/>
      </c>
      <c r="B9" s="12">
        <f>SUMPRODUCT(('Vendor &amp; Payments'!$G$4:$G$28&lt;&gt;"")*(TEXT('Vendor &amp; Payments'!$G$4:$G$28,"yyyy-mm")=TEXT($A9,"yyyy-mm"))*'Vendor &amp; Payments'!$F$4:$F$28)</f>
        <v/>
      </c>
      <c r="C9" s="12">
        <f>C8+B9</f>
        <v/>
      </c>
    </row>
    <row r="10">
      <c r="A10" s="16">
        <f>EDATE(A9,1)</f>
        <v/>
      </c>
      <c r="B10" s="12">
        <f>SUMPRODUCT(('Vendor &amp; Payments'!$G$4:$G$28&lt;&gt;"")*(TEXT('Vendor &amp; Payments'!$G$4:$G$28,"yyyy-mm")=TEXT($A10,"yyyy-mm"))*'Vendor &amp; Payments'!$F$4:$F$28)</f>
        <v/>
      </c>
      <c r="C10" s="12">
        <f>C9+B10</f>
        <v/>
      </c>
    </row>
    <row r="11">
      <c r="A11" s="16">
        <f>EDATE(A10,1)</f>
        <v/>
      </c>
      <c r="B11" s="12">
        <f>SUMPRODUCT(('Vendor &amp; Payments'!$G$4:$G$28&lt;&gt;"")*(TEXT('Vendor &amp; Payments'!$G$4:$G$28,"yyyy-mm")=TEXT($A11,"yyyy-mm"))*'Vendor &amp; Payments'!$F$4:$F$28)</f>
        <v/>
      </c>
      <c r="C11" s="12">
        <f>C10+B11</f>
        <v/>
      </c>
    </row>
    <row r="12">
      <c r="A12" s="16">
        <f>EDATE(A11,1)</f>
        <v/>
      </c>
      <c r="B12" s="12">
        <f>SUMPRODUCT(('Vendor &amp; Payments'!$G$4:$G$28&lt;&gt;"")*(TEXT('Vendor &amp; Payments'!$G$4:$G$28,"yyyy-mm")=TEXT($A12,"yyyy-mm"))*'Vendor &amp; Payments'!$F$4:$F$28)</f>
        <v/>
      </c>
      <c r="C12" s="12">
        <f>C11+B12</f>
        <v/>
      </c>
    </row>
    <row r="13">
      <c r="A13" s="16">
        <f>EDATE(A12,1)</f>
        <v/>
      </c>
      <c r="B13" s="12">
        <f>SUMPRODUCT(('Vendor &amp; Payments'!$G$4:$G$28&lt;&gt;"")*(TEXT('Vendor &amp; Payments'!$G$4:$G$28,"yyyy-mm")=TEXT($A13,"yyyy-mm"))*'Vendor &amp; Payments'!$F$4:$F$28)</f>
        <v/>
      </c>
      <c r="C13" s="12">
        <f>C12+B13</f>
        <v/>
      </c>
    </row>
    <row r="14">
      <c r="A14" s="16">
        <f>EDATE(A13,1)</f>
        <v/>
      </c>
      <c r="B14" s="12">
        <f>SUMPRODUCT(('Vendor &amp; Payments'!$G$4:$G$28&lt;&gt;"")*(TEXT('Vendor &amp; Payments'!$G$4:$G$28,"yyyy-mm")=TEXT($A14,"yyyy-mm"))*'Vendor &amp; Payments'!$F$4:$F$28)</f>
        <v/>
      </c>
      <c r="C14" s="12">
        <f>C13+B14</f>
        <v/>
      </c>
    </row>
    <row r="15">
      <c r="A15" s="16">
        <f>EDATE(A14,1)</f>
        <v/>
      </c>
      <c r="B15" s="12">
        <f>SUMPRODUCT(('Vendor &amp; Payments'!$G$4:$G$28&lt;&gt;"")*(TEXT('Vendor &amp; Payments'!$G$4:$G$28,"yyyy-mm")=TEXT($A15,"yyyy-mm"))*'Vendor &amp; Payments'!$F$4:$F$28)</f>
        <v/>
      </c>
      <c r="C15" s="12">
        <f>C14+B15</f>
        <v/>
      </c>
    </row>
    <row r="16">
      <c r="A16" s="16">
        <f>EDATE(A15,1)</f>
        <v/>
      </c>
      <c r="B16" s="12">
        <f>SUMPRODUCT(('Vendor &amp; Payments'!$G$4:$G$28&lt;&gt;"")*(TEXT('Vendor &amp; Payments'!$G$4:$G$28,"yyyy-mm")=TEXT($A16,"yyyy-mm"))*'Vendor &amp; Payments'!$F$4:$F$28)</f>
        <v/>
      </c>
      <c r="C16" s="12">
        <f>C15+B16</f>
        <v/>
      </c>
    </row>
    <row r="17">
      <c r="A17" s="16">
        <f>EDATE(A16,1)</f>
        <v/>
      </c>
      <c r="B17" s="12">
        <f>SUMPRODUCT(('Vendor &amp; Payments'!$G$4:$G$28&lt;&gt;"")*(TEXT('Vendor &amp; Payments'!$G$4:$G$28,"yyyy-mm")=TEXT($A17,"yyyy-mm"))*'Vendor &amp; Payments'!$F$4:$F$28)</f>
        <v/>
      </c>
      <c r="C17" s="12">
        <f>C16+B17</f>
        <v/>
      </c>
    </row>
    <row r="18">
      <c r="A18" s="16">
        <f>EDATE(A17,1)</f>
        <v/>
      </c>
      <c r="B18" s="12">
        <f>SUMPRODUCT(('Vendor &amp; Payments'!$G$4:$G$28&lt;&gt;"")*(TEXT('Vendor &amp; Payments'!$G$4:$G$28,"yyyy-mm")=TEXT($A18,"yyyy-mm"))*'Vendor &amp; Payments'!$F$4:$F$28)</f>
        <v/>
      </c>
      <c r="C18" s="12">
        <f>C17+B18</f>
        <v/>
      </c>
    </row>
    <row r="19">
      <c r="A19" s="16">
        <f>EDATE(A18,1)</f>
        <v/>
      </c>
      <c r="B19" s="12">
        <f>SUMPRODUCT(('Vendor &amp; Payments'!$G$4:$G$28&lt;&gt;"")*(TEXT('Vendor &amp; Payments'!$G$4:$G$28,"yyyy-mm")=TEXT($A19,"yyyy-mm"))*'Vendor &amp; Payments'!$F$4:$F$28)</f>
        <v/>
      </c>
      <c r="C19" s="12">
        <f>C18+B19</f>
        <v/>
      </c>
    </row>
    <row r="20">
      <c r="A20" s="16">
        <f>EDATE(A19,1)</f>
        <v/>
      </c>
      <c r="B20" s="12">
        <f>SUMPRODUCT(('Vendor &amp; Payments'!$G$4:$G$28&lt;&gt;"")*(TEXT('Vendor &amp; Payments'!$G$4:$G$28,"yyyy-mm")=TEXT($A20,"yyyy-mm"))*'Vendor &amp; Payments'!$F$4:$F$28)</f>
        <v/>
      </c>
      <c r="C20" s="12">
        <f>C19+B20</f>
        <v/>
      </c>
    </row>
    <row r="21">
      <c r="A21" s="16">
        <f>EDATE(A20,1)</f>
        <v/>
      </c>
      <c r="B21" s="12">
        <f>SUMPRODUCT(('Vendor &amp; Payments'!$G$4:$G$28&lt;&gt;"")*(TEXT('Vendor &amp; Payments'!$G$4:$G$28,"yyyy-mm")=TEXT($A21,"yyyy-mm"))*'Vendor &amp; Payments'!$F$4:$F$28)</f>
        <v/>
      </c>
      <c r="C21" s="12">
        <f>C20+B21</f>
        <v/>
      </c>
    </row>
    <row r="22">
      <c r="A22" s="16">
        <f>EDATE(A21,1)</f>
        <v/>
      </c>
      <c r="B22" s="12">
        <f>SUMPRODUCT(('Vendor &amp; Payments'!$G$4:$G$28&lt;&gt;"")*(TEXT('Vendor &amp; Payments'!$G$4:$G$28,"yyyy-mm")=TEXT($A22,"yyyy-mm"))*'Vendor &amp; Payments'!$F$4:$F$28)</f>
        <v/>
      </c>
      <c r="C22" s="12">
        <f>C21+B22</f>
        <v/>
      </c>
    </row>
    <row r="23">
      <c r="A23" s="16">
        <f>EDATE(A22,1)</f>
        <v/>
      </c>
      <c r="B23" s="12">
        <f>SUMPRODUCT(('Vendor &amp; Payments'!$G$4:$G$28&lt;&gt;"")*(TEXT('Vendor &amp; Payments'!$G$4:$G$28,"yyyy-mm")=TEXT($A23,"yyyy-mm"))*'Vendor &amp; Payments'!$F$4:$F$28)</f>
        <v/>
      </c>
      <c r="C23" s="12">
        <f>C22+B23</f>
        <v/>
      </c>
    </row>
    <row r="25">
      <c r="A25" s="5" t="inlineStr">
        <is>
          <t>Payments due beyond this 18-month window:</t>
        </is>
      </c>
      <c r="B25" s="12">
        <f>SUMPRODUCT(('Vendor &amp; Payments'!$G$4:$G$28&lt;&gt;"")*('Vendor &amp; Payments'!$G$4:$G$28&gt;$A$23)*'Vendor &amp; Payments'!$F$4:$F$28)</f>
        <v/>
      </c>
    </row>
    <row r="26">
      <c r="A26" s="15">
        <f>IF(B25&gt;0,"⚠ "&amp;TEXT(B25,"$#,##0")&amp;" in payments fall beyond this 18-month timeline — extend the table if your engagement is longer than that.","")</f>
        <v/>
      </c>
    </row>
  </sheetData>
  <mergeCells count="1">
    <mergeCell ref="A26:C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CONTRIBUTION TRACKER</t>
        </is>
      </c>
    </row>
    <row r="3">
      <c r="A3" s="6" t="inlineStr">
        <is>
          <t>Contributor Name</t>
        </is>
      </c>
      <c r="B3" s="6" t="inlineStr">
        <is>
          <t>Role</t>
        </is>
      </c>
      <c r="C3" s="6" t="inlineStr">
        <is>
          <t>Promised Amount</t>
        </is>
      </c>
      <c r="D3" s="6" t="inlineStr">
        <is>
          <t>Received Amount</t>
        </is>
      </c>
      <c r="E3" s="6" t="inlineStr">
        <is>
          <t>Remaining Promised</t>
        </is>
      </c>
      <c r="F3" s="6" t="inlineStr">
        <is>
          <t>Overpaid Amount</t>
        </is>
      </c>
      <c r="G3" s="6" t="inlineStr">
        <is>
          <t>Paid Directly (Vendors)</t>
        </is>
      </c>
    </row>
    <row r="4">
      <c r="A4" s="9" t="inlineStr">
        <is>
          <t>Partner 1</t>
        </is>
      </c>
      <c r="B4" s="9" t="inlineStr">
        <is>
          <t>Partner 1</t>
        </is>
      </c>
      <c r="C4" s="8" t="n">
        <v>15000</v>
      </c>
      <c r="D4" s="8" t="n">
        <v>10000</v>
      </c>
      <c r="E4" s="12">
        <f>IF($A4="","",MAX(C4-D4,0))</f>
        <v/>
      </c>
      <c r="F4" s="12">
        <f>IF($A4="","",MAX(D4-C4,0))</f>
        <v/>
      </c>
      <c r="G4" s="12">
        <f>IF($A4="","",SUMIF('Vendor &amp; Payments'!$H$4:$H$28,$A4,'Vendor &amp; Payments'!$E$4:$E$28))</f>
        <v/>
      </c>
    </row>
    <row r="5">
      <c r="A5" s="9" t="inlineStr">
        <is>
          <t>Partner 2</t>
        </is>
      </c>
      <c r="B5" s="9" t="inlineStr">
        <is>
          <t>Partner 2</t>
        </is>
      </c>
      <c r="C5" s="8" t="n">
        <v>10000</v>
      </c>
      <c r="D5" s="8" t="n">
        <v>10000</v>
      </c>
      <c r="E5" s="12">
        <f>IF($A5="","",MAX(C5-D5,0))</f>
        <v/>
      </c>
      <c r="F5" s="12">
        <f>IF($A5="","",MAX(D5-C5,0))</f>
        <v/>
      </c>
      <c r="G5" s="12">
        <f>IF($A5="","",SUMIF('Vendor &amp; Payments'!$H$4:$H$28,$A5,'Vendor &amp; Payments'!$E$4:$E$28))</f>
        <v/>
      </c>
    </row>
    <row r="6">
      <c r="A6" s="9" t="inlineStr">
        <is>
          <t>Family</t>
        </is>
      </c>
      <c r="B6" s="9" t="inlineStr">
        <is>
          <t>Family</t>
        </is>
      </c>
      <c r="C6" s="8" t="n">
        <v>5000</v>
      </c>
      <c r="D6" s="8" t="n">
        <v>3000</v>
      </c>
      <c r="E6" s="12">
        <f>IF($A6="","",MAX(C6-D6,0))</f>
        <v/>
      </c>
      <c r="F6" s="12">
        <f>IF($A6="","",MAX(D6-C6,0))</f>
        <v/>
      </c>
      <c r="G6" s="12">
        <f>IF($A6="","",SUMIF('Vendor &amp; Payments'!$H$4:$H$28,$A6,'Vendor &amp; Payments'!$E$4:$E$28))</f>
        <v/>
      </c>
    </row>
    <row r="7">
      <c r="A7" s="9" t="n"/>
      <c r="B7" s="9" t="n"/>
      <c r="C7" s="8" t="n"/>
      <c r="D7" s="8" t="n"/>
      <c r="E7" s="12">
        <f>IF($A7="","",MAX(C7-D7,0))</f>
        <v/>
      </c>
      <c r="F7" s="12">
        <f>IF($A7="","",MAX(D7-C7,0))</f>
        <v/>
      </c>
      <c r="G7" s="12">
        <f>IF($A7="","",SUMIF('Vendor &amp; Payments'!$H$4:$H$28,$A7,'Vendor &amp; Payments'!$E$4:$E$28))</f>
        <v/>
      </c>
    </row>
    <row r="8">
      <c r="A8" s="9" t="n"/>
      <c r="B8" s="9" t="n"/>
      <c r="C8" s="8" t="n"/>
      <c r="D8" s="8" t="n"/>
      <c r="E8" s="12">
        <f>IF($A8="","",MAX(C8-D8,0))</f>
        <v/>
      </c>
      <c r="F8" s="12">
        <f>IF($A8="","",MAX(D8-C8,0))</f>
        <v/>
      </c>
      <c r="G8" s="12">
        <f>IF($A8="","",SUMIF('Vendor &amp; Payments'!$H$4:$H$28,$A8,'Vendor &amp; Payments'!$E$4:$E$28))</f>
        <v/>
      </c>
    </row>
    <row r="9">
      <c r="A9" s="9" t="n"/>
      <c r="B9" s="9" t="n"/>
      <c r="C9" s="8" t="n"/>
      <c r="D9" s="8" t="n"/>
      <c r="E9" s="12">
        <f>IF($A9="","",MAX(C9-D9,0))</f>
        <v/>
      </c>
      <c r="F9" s="12">
        <f>IF($A9="","",MAX(D9-C9,0))</f>
        <v/>
      </c>
      <c r="G9" s="12">
        <f>IF($A9="","",SUMIF('Vendor &amp; Payments'!$H$4:$H$28,$A9,'Vendor &amp; Payments'!$E$4:$E$28))</f>
        <v/>
      </c>
    </row>
    <row r="10">
      <c r="A10" s="9" t="n"/>
      <c r="B10" s="9" t="n"/>
      <c r="C10" s="8" t="n"/>
      <c r="D10" s="8" t="n"/>
      <c r="E10" s="12">
        <f>IF($A10="","",MAX(C10-D10,0))</f>
        <v/>
      </c>
      <c r="F10" s="12">
        <f>IF($A10="","",MAX(D10-C10,0))</f>
        <v/>
      </c>
      <c r="G10" s="12">
        <f>IF($A10="","",SUMIF('Vendor &amp; Payments'!$H$4:$H$28,$A10,'Vendor &amp; Payments'!$E$4:$E$28))</f>
        <v/>
      </c>
    </row>
    <row r="11">
      <c r="A11" s="9" t="n"/>
      <c r="B11" s="9" t="n"/>
      <c r="C11" s="8" t="n"/>
      <c r="D11" s="8" t="n"/>
      <c r="E11" s="12">
        <f>IF($A11="","",MAX(C11-D11,0))</f>
        <v/>
      </c>
      <c r="F11" s="12">
        <f>IF($A11="","",MAX(D11-C11,0))</f>
        <v/>
      </c>
      <c r="G11" s="12">
        <f>IF($A11="","",SUMIF('Vendor &amp; Payments'!$H$4:$H$28,$A11,'Vendor &amp; Payments'!$E$4:$E$28))</f>
        <v/>
      </c>
    </row>
    <row r="12">
      <c r="A12" s="9" t="n"/>
      <c r="B12" s="9" t="n"/>
      <c r="C12" s="8" t="n"/>
      <c r="D12" s="8" t="n"/>
      <c r="E12" s="12">
        <f>IF($A12="","",MAX(C12-D12,0))</f>
        <v/>
      </c>
      <c r="F12" s="12">
        <f>IF($A12="","",MAX(D12-C12,0))</f>
        <v/>
      </c>
      <c r="G12" s="12">
        <f>IF($A12="","",SUMIF('Vendor &amp; Payments'!$H$4:$H$28,$A12,'Vendor &amp; Payments'!$E$4:$E$28))</f>
        <v/>
      </c>
    </row>
    <row r="13">
      <c r="A13" s="9" t="n"/>
      <c r="B13" s="9" t="n"/>
      <c r="C13" s="8" t="n"/>
      <c r="D13" s="8" t="n"/>
      <c r="E13" s="12">
        <f>IF($A13="","",MAX(C13-D13,0))</f>
        <v/>
      </c>
      <c r="F13" s="12">
        <f>IF($A13="","",MAX(D13-C13,0))</f>
        <v/>
      </c>
      <c r="G13" s="12">
        <f>IF($A13="","",SUMIF('Vendor &amp; Payments'!$H$4:$H$28,$A13,'Vendor &amp; Payments'!$E$4:$E$28))</f>
        <v/>
      </c>
    </row>
    <row r="14">
      <c r="A14" s="13" t="inlineStr">
        <is>
          <t>TOTAL</t>
        </is>
      </c>
      <c r="B14" s="13" t="n"/>
      <c r="C14" s="14">
        <f>SUM(C4:C13)</f>
        <v/>
      </c>
      <c r="D14" s="14">
        <f>SUM(D4:D13)</f>
        <v/>
      </c>
      <c r="E14" s="14">
        <f>SUM(E4:E13)</f>
        <v/>
      </c>
      <c r="F14" s="14">
        <f>SUM(F4:F13)</f>
        <v/>
      </c>
      <c r="G14" s="14">
        <f>SUM(G4:G13)</f>
        <v/>
      </c>
    </row>
    <row r="16">
      <c r="A16" s="17" t="inlineStr">
        <is>
          <t>RECONCILIATION</t>
        </is>
      </c>
    </row>
    <row r="17">
      <c r="A17" t="inlineStr">
        <is>
          <t>Total Contributions Received</t>
        </is>
      </c>
      <c r="B17" s="12">
        <f>D14</f>
        <v/>
      </c>
    </row>
    <row r="18">
      <c r="A18" t="inlineStr">
        <is>
          <t>Total Spent on Vendors To Date</t>
        </is>
      </c>
      <c r="B18" s="12">
        <f>SUM('Vendor &amp; Payments'!$E$4:$E$28)</f>
        <v/>
      </c>
    </row>
    <row r="19">
      <c r="A19" t="inlineStr">
        <is>
          <t>Unallocated / Remaining Funds</t>
        </is>
      </c>
      <c r="B19" s="18">
        <f>B17-B18</f>
        <v/>
      </c>
    </row>
    <row r="20">
      <c r="A20" s="15">
        <f>IF(B19&lt;0,"⚠ Recorded vendor payments exceed recorded contributions received — some payments may be funded directly and not yet logged as ''received''.","")</f>
        <v/>
      </c>
    </row>
  </sheetData>
  <mergeCells count="1">
    <mergeCell ref="A20:G20"/>
  </mergeCells>
  <dataValidations count="10">
    <dataValidation sqref="B4" showDropDown="0" showInputMessage="0" showErrorMessage="0" allowBlank="1" type="list">
      <formula1>"Partner 1,Partner 2,Family,Other"</formula1>
    </dataValidation>
    <dataValidation sqref="B5" showDropDown="0" showInputMessage="0" showErrorMessage="0" allowBlank="1" type="list">
      <formula1>"Partner 1,Partner 2,Family,Other"</formula1>
    </dataValidation>
    <dataValidation sqref="B6" showDropDown="0" showInputMessage="0" showErrorMessage="0" allowBlank="1" type="list">
      <formula1>"Partner 1,Partner 2,Family,Other"</formula1>
    </dataValidation>
    <dataValidation sqref="B7" showDropDown="0" showInputMessage="0" showErrorMessage="0" allowBlank="1" type="list">
      <formula1>"Partner 1,Partner 2,Family,Other"</formula1>
    </dataValidation>
    <dataValidation sqref="B8" showDropDown="0" showInputMessage="0" showErrorMessage="0" allowBlank="1" type="list">
      <formula1>"Partner 1,Partner 2,Family,Other"</formula1>
    </dataValidation>
    <dataValidation sqref="B9" showDropDown="0" showInputMessage="0" showErrorMessage="0" allowBlank="1" type="list">
      <formula1>"Partner 1,Partner 2,Family,Other"</formula1>
    </dataValidation>
    <dataValidation sqref="B10" showDropDown="0" showInputMessage="0" showErrorMessage="0" allowBlank="1" type="list">
      <formula1>"Partner 1,Partner 2,Family,Other"</formula1>
    </dataValidation>
    <dataValidation sqref="B11" showDropDown="0" showInputMessage="0" showErrorMessage="0" allowBlank="1" type="list">
      <formula1>"Partner 1,Partner 2,Family,Other"</formula1>
    </dataValidation>
    <dataValidation sqref="B12" showDropDown="0" showInputMessage="0" showErrorMessage="0" allowBlank="1" type="list">
      <formula1>"Partner 1,Partner 2,Family,Other"</formula1>
    </dataValidation>
    <dataValidation sqref="B13" showDropDown="0" showInputMessage="0" showErrorMessage="0" allowBlank="1" type="list">
      <formula1>"Partner 1,Partner 2,Family,Other"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1" t="inlineStr">
        <is>
          <t>COST-PER-GUEST SCENARIO ENGINE</t>
        </is>
      </c>
    </row>
    <row r="2">
      <c r="A2" s="2" t="inlineStr">
        <is>
          <t>Only categories marked Guest-Dependent on Master Budget scale with guest count below — fixed costs (venue, photography, dress) stay constant.</t>
        </is>
      </c>
    </row>
    <row r="4">
      <c r="A4" t="inlineStr">
        <is>
          <t>Baseline Guest Count (from Settings)</t>
        </is>
      </c>
      <c r="B4">
        <f>Settings!$B$5</f>
        <v/>
      </c>
    </row>
    <row r="5">
      <c r="A5" t="inlineStr">
        <is>
          <t>Scenario Guest Count (try a different number)</t>
        </is>
      </c>
      <c r="B5" s="9">
        <f>Settings!$B$5</f>
        <v/>
      </c>
    </row>
    <row r="7">
      <c r="A7" s="6" t="inlineStr">
        <is>
          <t>Category</t>
        </is>
      </c>
      <c r="B7" s="6" t="inlineStr">
        <is>
          <t>Guest-Dependent?</t>
        </is>
      </c>
      <c r="C7" s="6" t="inlineStr">
        <is>
          <t>Current Planned (baseline)</t>
        </is>
      </c>
      <c r="D7" s="6" t="inlineStr">
        <is>
          <t>Implied Per-Guest Cost</t>
        </is>
      </c>
      <c r="E7" s="6" t="inlineStr">
        <is>
          <t>Scenario Cost</t>
        </is>
      </c>
    </row>
    <row r="8">
      <c r="A8">
        <f>IF('Master Budget'!A4="","",'Master Budget'!A4)</f>
        <v/>
      </c>
      <c r="B8">
        <f>'Master Budget'!G4</f>
        <v/>
      </c>
      <c r="C8" s="12">
        <f>'Master Budget'!B4</f>
        <v/>
      </c>
      <c r="D8" s="12">
        <f>IF($A8="","",IF(B8="Y",IFERROR(C8/Settings!$B$5,0),""))</f>
        <v/>
      </c>
      <c r="E8" s="12">
        <f>IF($A8="","",IF(B8="Y",D8*$B$5,C8))</f>
        <v/>
      </c>
    </row>
    <row r="9">
      <c r="A9">
        <f>IF('Master Budget'!A5="","",'Master Budget'!A5)</f>
        <v/>
      </c>
      <c r="B9">
        <f>'Master Budget'!G5</f>
        <v/>
      </c>
      <c r="C9" s="12">
        <f>'Master Budget'!B5</f>
        <v/>
      </c>
      <c r="D9" s="12">
        <f>IF($A9="","",IF(B9="Y",IFERROR(C9/Settings!$B$5,0),""))</f>
        <v/>
      </c>
      <c r="E9" s="12">
        <f>IF($A9="","",IF(B9="Y",D9*$B$5,C9))</f>
        <v/>
      </c>
    </row>
    <row r="10">
      <c r="A10">
        <f>IF('Master Budget'!A6="","",'Master Budget'!A6)</f>
        <v/>
      </c>
      <c r="B10">
        <f>'Master Budget'!G6</f>
        <v/>
      </c>
      <c r="C10" s="12">
        <f>'Master Budget'!B6</f>
        <v/>
      </c>
      <c r="D10" s="12">
        <f>IF($A10="","",IF(B10="Y",IFERROR(C10/Settings!$B$5,0),""))</f>
        <v/>
      </c>
      <c r="E10" s="12">
        <f>IF($A10="","",IF(B10="Y",D10*$B$5,C10))</f>
        <v/>
      </c>
    </row>
    <row r="11">
      <c r="A11">
        <f>IF('Master Budget'!A7="","",'Master Budget'!A7)</f>
        <v/>
      </c>
      <c r="B11">
        <f>'Master Budget'!G7</f>
        <v/>
      </c>
      <c r="C11" s="12">
        <f>'Master Budget'!B7</f>
        <v/>
      </c>
      <c r="D11" s="12">
        <f>IF($A11="","",IF(B11="Y",IFERROR(C11/Settings!$B$5,0),""))</f>
        <v/>
      </c>
      <c r="E11" s="12">
        <f>IF($A11="","",IF(B11="Y",D11*$B$5,C11))</f>
        <v/>
      </c>
    </row>
    <row r="12">
      <c r="A12">
        <f>IF('Master Budget'!A8="","",'Master Budget'!A8)</f>
        <v/>
      </c>
      <c r="B12">
        <f>'Master Budget'!G8</f>
        <v/>
      </c>
      <c r="C12" s="12">
        <f>'Master Budget'!B8</f>
        <v/>
      </c>
      <c r="D12" s="12">
        <f>IF($A12="","",IF(B12="Y",IFERROR(C12/Settings!$B$5,0),""))</f>
        <v/>
      </c>
      <c r="E12" s="12">
        <f>IF($A12="","",IF(B12="Y",D12*$B$5,C12))</f>
        <v/>
      </c>
    </row>
    <row r="13">
      <c r="A13">
        <f>IF('Master Budget'!A9="","",'Master Budget'!A9)</f>
        <v/>
      </c>
      <c r="B13">
        <f>'Master Budget'!G9</f>
        <v/>
      </c>
      <c r="C13" s="12">
        <f>'Master Budget'!B9</f>
        <v/>
      </c>
      <c r="D13" s="12">
        <f>IF($A13="","",IF(B13="Y",IFERROR(C13/Settings!$B$5,0),""))</f>
        <v/>
      </c>
      <c r="E13" s="12">
        <f>IF($A13="","",IF(B13="Y",D13*$B$5,C13))</f>
        <v/>
      </c>
    </row>
    <row r="14">
      <c r="A14">
        <f>IF('Master Budget'!A10="","",'Master Budget'!A10)</f>
        <v/>
      </c>
      <c r="B14">
        <f>'Master Budget'!G10</f>
        <v/>
      </c>
      <c r="C14" s="12">
        <f>'Master Budget'!B10</f>
        <v/>
      </c>
      <c r="D14" s="12">
        <f>IF($A14="","",IF(B14="Y",IFERROR(C14/Settings!$B$5,0),""))</f>
        <v/>
      </c>
      <c r="E14" s="12">
        <f>IF($A14="","",IF(B14="Y",D14*$B$5,C14))</f>
        <v/>
      </c>
    </row>
    <row r="15">
      <c r="A15">
        <f>IF('Master Budget'!A11="","",'Master Budget'!A11)</f>
        <v/>
      </c>
      <c r="B15">
        <f>'Master Budget'!G11</f>
        <v/>
      </c>
      <c r="C15" s="12">
        <f>'Master Budget'!B11</f>
        <v/>
      </c>
      <c r="D15" s="12">
        <f>IF($A15="","",IF(B15="Y",IFERROR(C15/Settings!$B$5,0),""))</f>
        <v/>
      </c>
      <c r="E15" s="12">
        <f>IF($A15="","",IF(B15="Y",D15*$B$5,C15))</f>
        <v/>
      </c>
    </row>
    <row r="16">
      <c r="A16">
        <f>IF('Master Budget'!A12="","",'Master Budget'!A12)</f>
        <v/>
      </c>
      <c r="B16">
        <f>'Master Budget'!G12</f>
        <v/>
      </c>
      <c r="C16" s="12">
        <f>'Master Budget'!B12</f>
        <v/>
      </c>
      <c r="D16" s="12">
        <f>IF($A16="","",IF(B16="Y",IFERROR(C16/Settings!$B$5,0),""))</f>
        <v/>
      </c>
      <c r="E16" s="12">
        <f>IF($A16="","",IF(B16="Y",D16*$B$5,C16))</f>
        <v/>
      </c>
    </row>
    <row r="17">
      <c r="A17">
        <f>IF('Master Budget'!A13="","",'Master Budget'!A13)</f>
        <v/>
      </c>
      <c r="B17">
        <f>'Master Budget'!G13</f>
        <v/>
      </c>
      <c r="C17" s="12">
        <f>'Master Budget'!B13</f>
        <v/>
      </c>
      <c r="D17" s="12">
        <f>IF($A17="","",IF(B17="Y",IFERROR(C17/Settings!$B$5,0),""))</f>
        <v/>
      </c>
      <c r="E17" s="12">
        <f>IF($A17="","",IF(B17="Y",D17*$B$5,C17))</f>
        <v/>
      </c>
    </row>
    <row r="18">
      <c r="A18">
        <f>IF('Master Budget'!A14="","",'Master Budget'!A14)</f>
        <v/>
      </c>
      <c r="B18">
        <f>'Master Budget'!G14</f>
        <v/>
      </c>
      <c r="C18" s="12">
        <f>'Master Budget'!B14</f>
        <v/>
      </c>
      <c r="D18" s="12">
        <f>IF($A18="","",IF(B18="Y",IFERROR(C18/Settings!$B$5,0),""))</f>
        <v/>
      </c>
      <c r="E18" s="12">
        <f>IF($A18="","",IF(B18="Y",D18*$B$5,C18))</f>
        <v/>
      </c>
    </row>
    <row r="19">
      <c r="A19">
        <f>IF('Master Budget'!A15="","",'Master Budget'!A15)</f>
        <v/>
      </c>
      <c r="B19">
        <f>'Master Budget'!G15</f>
        <v/>
      </c>
      <c r="C19" s="12">
        <f>'Master Budget'!B15</f>
        <v/>
      </c>
      <c r="D19" s="12">
        <f>IF($A19="","",IF(B19="Y",IFERROR(C19/Settings!$B$5,0),""))</f>
        <v/>
      </c>
      <c r="E19" s="12">
        <f>IF($A19="","",IF(B19="Y",D19*$B$5,C19))</f>
        <v/>
      </c>
    </row>
    <row r="20">
      <c r="A20">
        <f>IF('Master Budget'!A16="","",'Master Budget'!A16)</f>
        <v/>
      </c>
      <c r="B20">
        <f>'Master Budget'!G16</f>
        <v/>
      </c>
      <c r="C20" s="12">
        <f>'Master Budget'!B16</f>
        <v/>
      </c>
      <c r="D20" s="12">
        <f>IF($A20="","",IF(B20="Y",IFERROR(C20/Settings!$B$5,0),""))</f>
        <v/>
      </c>
      <c r="E20" s="12">
        <f>IF($A20="","",IF(B20="Y",D20*$B$5,C20))</f>
        <v/>
      </c>
    </row>
    <row r="21">
      <c r="A21">
        <f>IF('Master Budget'!A17="","",'Master Budget'!A17)</f>
        <v/>
      </c>
      <c r="B21">
        <f>'Master Budget'!G17</f>
        <v/>
      </c>
      <c r="C21" s="12">
        <f>'Master Budget'!B17</f>
        <v/>
      </c>
      <c r="D21" s="12">
        <f>IF($A21="","",IF(B21="Y",IFERROR(C21/Settings!$B$5,0),""))</f>
        <v/>
      </c>
      <c r="E21" s="12">
        <f>IF($A21="","",IF(B21="Y",D21*$B$5,C21))</f>
        <v/>
      </c>
    </row>
    <row r="22">
      <c r="A22">
        <f>IF('Master Budget'!A18="","",'Master Budget'!A18)</f>
        <v/>
      </c>
      <c r="B22">
        <f>'Master Budget'!G18</f>
        <v/>
      </c>
      <c r="C22" s="12">
        <f>'Master Budget'!B18</f>
        <v/>
      </c>
      <c r="D22" s="12">
        <f>IF($A22="","",IF(B22="Y",IFERROR(C22/Settings!$B$5,0),""))</f>
        <v/>
      </c>
      <c r="E22" s="12">
        <f>IF($A22="","",IF(B22="Y",D22*$B$5,C22))</f>
        <v/>
      </c>
    </row>
    <row r="23">
      <c r="A23" s="13" t="inlineStr">
        <is>
          <t>TOTAL</t>
        </is>
      </c>
      <c r="B23" s="13" t="n"/>
      <c r="C23" s="14">
        <f>SUM(C8:C22)</f>
        <v/>
      </c>
      <c r="D23" s="13" t="n"/>
      <c r="E23" s="14">
        <f>SUM(E8:E22)</f>
        <v/>
      </c>
    </row>
    <row r="25">
      <c r="A25" t="inlineStr">
        <is>
          <t>Baseline Total Planned</t>
        </is>
      </c>
      <c r="B25" s="12">
        <f>C23</f>
        <v/>
      </c>
    </row>
    <row r="26">
      <c r="A26" t="inlineStr">
        <is>
          <t>Scenario Total (at Scenario Guest Count)</t>
        </is>
      </c>
      <c r="B26" s="12">
        <f>E23</f>
        <v/>
      </c>
    </row>
    <row r="27">
      <c r="A27" t="inlineStr">
        <is>
          <t>Financial Effect of Guest-Count Change</t>
        </is>
      </c>
      <c r="B27" s="18">
        <f>B26-B25</f>
        <v/>
      </c>
    </row>
    <row r="29">
      <c r="A29" s="15">
        <f>IF(Settings!$B$5=0,"Set a non-zero Estimated Guest Count on Settings to enable per-guest scenario math.","")</f>
        <v/>
      </c>
    </row>
  </sheetData>
  <mergeCells count="1">
    <mergeCell ref="A29:E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CONTINGENCY / BUFFER</t>
        </is>
      </c>
    </row>
    <row r="3">
      <c r="A3" t="inlineStr">
        <is>
          <t>Contingency Reserve (%)</t>
        </is>
      </c>
      <c r="B3" s="19">
        <f>Settings!$B$6</f>
        <v/>
      </c>
    </row>
    <row r="4">
      <c r="A4" t="inlineStr">
        <is>
          <t>Base Planned Budget</t>
        </is>
      </c>
      <c r="B4" s="12">
        <f>'Master Budget'!$B$19</f>
        <v/>
      </c>
    </row>
    <row r="5">
      <c r="A5" t="inlineStr">
        <is>
          <t>Contingency Amount</t>
        </is>
      </c>
      <c r="B5" s="12">
        <f>B4*B3</f>
        <v/>
      </c>
    </row>
    <row r="6">
      <c r="A6" t="inlineStr">
        <is>
          <t>Effective Available Budget</t>
        </is>
      </c>
      <c r="B6" s="12">
        <f>B4+B5</f>
        <v/>
      </c>
    </row>
    <row r="7">
      <c r="A7" t="inlineStr">
        <is>
          <t>Total Category Overage</t>
        </is>
      </c>
      <c r="B7" s="12">
        <f>-SUMPRODUCT(('Master Budget'!$F$4:$F$18&lt;0)*'Master Budget'!$F$4:$F$18)</f>
        <v/>
      </c>
    </row>
    <row r="8">
      <c r="A8" t="inlineStr">
        <is>
          <t>Contingency Remaining</t>
        </is>
      </c>
      <c r="B8" s="12">
        <f>B5-B7</f>
        <v/>
      </c>
    </row>
    <row r="10">
      <c r="A10" s="20">
        <f>IF(B8&lt;0,"⚠ CONTINGENCY EXHAUSTED — over by "&amp;TEXT(-B8,"$#,##0"),"OK")</f>
        <v/>
      </c>
    </row>
  </sheetData>
  <mergeCells count="1">
    <mergeCell ref="A10:B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DASHBOARD</t>
        </is>
      </c>
    </row>
    <row r="3">
      <c r="A3" t="inlineStr">
        <is>
          <t>Total Target Budget</t>
        </is>
      </c>
      <c r="B3" s="12">
        <f>Settings!$B$4</f>
        <v/>
      </c>
    </row>
    <row r="4">
      <c r="A4" t="inlineStr">
        <is>
          <t>Total Planned (Master Budget)</t>
        </is>
      </c>
      <c r="B4" s="12">
        <f>'Master Budget'!$B$19</f>
        <v/>
      </c>
    </row>
    <row r="5">
      <c r="A5" t="inlineStr">
        <is>
          <t>Total Committed</t>
        </is>
      </c>
      <c r="B5" s="12">
        <f>'Master Budget'!$C$19</f>
        <v/>
      </c>
    </row>
    <row r="6">
      <c r="A6" t="inlineStr">
        <is>
          <t>Total Paid</t>
        </is>
      </c>
      <c r="B6" s="12">
        <f>'Master Budget'!$D$19</f>
        <v/>
      </c>
    </row>
    <row r="7">
      <c r="A7" t="inlineStr">
        <is>
          <t>Total Remaining</t>
        </is>
      </c>
      <c r="B7" s="12">
        <f>'Master Budget'!$E$19</f>
        <v/>
      </c>
    </row>
    <row r="8">
      <c r="A8" t="inlineStr">
        <is>
          <t>Budget Variance</t>
        </is>
      </c>
      <c r="B8" s="12">
        <f>'Master Budget'!$F$19</f>
        <v/>
      </c>
    </row>
    <row r="9">
      <c r="A9" t="inlineStr">
        <is>
          <t>Upcoming Payments — Count (next 14 days)</t>
        </is>
      </c>
      <c r="B9" s="21">
        <f>COUNTIF('Vendor &amp; Payments'!$I$4:$I$28,"DUE SOON")</f>
        <v/>
      </c>
    </row>
    <row r="10">
      <c r="A10" t="inlineStr">
        <is>
          <t>Upcoming Payments — Amount</t>
        </is>
      </c>
      <c r="B10" s="12">
        <f>SUMIF('Vendor &amp; Payments'!$I$4:$I$28,"DUE SOON",'Vendor &amp; Payments'!$F$4:$F$28)</f>
        <v/>
      </c>
    </row>
    <row r="11">
      <c r="A11" t="inlineStr">
        <is>
          <t>Overdue Payments — Count</t>
        </is>
      </c>
      <c r="B11" s="21">
        <f>COUNTIF('Vendor &amp; Payments'!$I$4:$I$28,"OVERDUE")</f>
        <v/>
      </c>
    </row>
    <row r="12">
      <c r="A12" t="inlineStr">
        <is>
          <t>Overdue Payments — Amount</t>
        </is>
      </c>
      <c r="B12" s="12">
        <f>SUMIF('Vendor &amp; Payments'!$I$4:$I$28,"OVERDUE",'Vendor &amp; Payments'!$F$4:$F$28)</f>
        <v/>
      </c>
    </row>
    <row r="13">
      <c r="A13" t="inlineStr">
        <is>
          <t>Contributions Received</t>
        </is>
      </c>
      <c r="B13" s="12">
        <f>Contributions!$D$14</f>
        <v/>
      </c>
    </row>
    <row r="14">
      <c r="A14" t="inlineStr">
        <is>
          <t>Contributions Outstanding</t>
        </is>
      </c>
      <c r="B14" s="12">
        <f>Contributions!$E$14</f>
        <v/>
      </c>
    </row>
    <row r="15">
      <c r="A15" t="inlineStr">
        <is>
          <t>Cost Per Guest (Planned)</t>
        </is>
      </c>
      <c r="B15" s="12">
        <f>IFERROR('Master Budget'!$B$19/Settings!$B$5,"N/A")</f>
        <v/>
      </c>
    </row>
    <row r="16">
      <c r="A16" t="inlineStr">
        <is>
          <t>Contingency Remaining</t>
        </is>
      </c>
      <c r="B16" s="12">
        <f>Contingency!$B$8</f>
        <v/>
      </c>
    </row>
    <row r="18">
      <c r="A18" s="20">
        <f>IF(B6&gt;B3,"⚠ TOTAL PAID EXCEEDS YOUR TARGET BUDGET","OK")</f>
        <v/>
      </c>
    </row>
  </sheetData>
  <mergeCells count="1">
    <mergeCell ref="A18:B1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 SUMMARY</t>
        </is>
      </c>
    </row>
    <row r="3">
      <c r="A3" s="3" t="inlineStr">
        <is>
          <t>Planned vs. Actual by Category</t>
        </is>
      </c>
    </row>
    <row r="25">
      <c r="A25" s="3" t="inlineStr">
        <is>
          <t>Cash-Flow Timeline — Amount Due by Month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2026-09-14T12:40:22Z</dcterms:created>
  <dcterms:modified xmlns:dcterms="http://purl.org/dc/terms/" xmlns:xsi="http://www.w3.org/2001/XMLSchema-instance" xsi:type="dcterms:W3CDTF">2026-09-14T12:40:22Z</dcterms:modified>
</cp:coreProperties>
</file>