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00_START_HERE" sheetId="1" state="hidden" r:id="rId1"/>
    <sheet name="01_COMMAND_CENTER" sheetId="2" state="visible" r:id="rId2"/>
    <sheet name="02_ACTION_ROADMAP" sheetId="3" state="hidden" r:id="rId3"/>
    <sheet name="03_ASSET_REGISTER" sheetId="4" state="hidden" r:id="rId4"/>
    <sheet name="04_LIABILITY_REGISTER" sheetId="5" state="visible" r:id="rId5"/>
    <sheet name="05_ESTATE_TRANSACTIONS" sheetId="6" state="hidden" r:id="rId6"/>
    <sheet name="06_EXPENSES_REIMBURSEMENTS" sheetId="7" state="hidden" r:id="rId7"/>
    <sheet name="07_DOCUMENT_CONTROL" sheetId="8" state="hidden" r:id="rId8"/>
    <sheet name="08_CONTACTS_COMMUNICATION" sheetId="9" state="hidden" r:id="rId9"/>
    <sheet name="09_BENEFICIARIES_DISTRIBUTIONS" sheetId="10" state="hidden" r:id="rId10"/>
    <sheet name="10_RECONCILIATION" sheetId="11" state="hidden" r:id="rId11"/>
    <sheet name="11_CLOSEOUT_REVIEW" sheetId="12" state="hidden" r:id="rId12"/>
    <sheet name="12_REPORTS_PRINT" sheetId="13" state="hidden" r:id="rId13"/>
  </sheets>
  <definedNames>
    <definedName name="_xlnm.Print_Area" localSheetId="1">'01_COMMAND_CENTER'!$A$12:$B$19</definedName>
    <definedName name="_xlnm._FilterDatabase" localSheetId="2" hidden="1">'02_ACTION_ROADMAP'!$A$3:$L$3</definedName>
    <definedName name="_xlnm._FilterDatabase" localSheetId="3" hidden="1">'03_ASSET_REGISTER'!$A$3:$M$3</definedName>
    <definedName name="_xlnm._FilterDatabase" localSheetId="4" hidden="1">'04_LIABILITY_REGISTER'!$A$3:$K$3</definedName>
    <definedName name="_xlnm.Print_Area" localSheetId="4">'04_LIABILITY_REGISTER'!$A$3:$K$8</definedName>
    <definedName name="_xlnm._FilterDatabase" localSheetId="5" hidden="1">'05_ESTATE_TRANSACTIONS'!$A$3:$L$3</definedName>
    <definedName name="_xlnm._FilterDatabase" localSheetId="6" hidden="1">'06_EXPENSES_REIMBURSEMENTS'!$A$3:$L$3</definedName>
    <definedName name="_xlnm._FilterDatabase" localSheetId="7" hidden="1">'07_DOCUMENT_CONTROL'!$A$3:$I$3</definedName>
    <definedName name="_xlnm._FilterDatabase" localSheetId="8" hidden="1">'08_CONTACTS_COMMUNICATION'!$A$3:$J$3</definedName>
    <definedName name="_xlnm._FilterDatabase" localSheetId="9" hidden="1">'09_BENEFICIARIES_DISTRIBUTIONS'!$A$3:$H$3</definedName>
    <definedName name="_xlnm.Print_Area" localSheetId="10">'10_RECONCILIATION'!$A$1:$B$15</definedName>
    <definedName name="_xlnm.Print_Area" localSheetId="11">'11_CLOSEOUT_REVIEW'!$A$1:$B$16</definedName>
    <definedName name="_xlnm.Print_Area" localSheetId="12">'12_REPORTS_PRINT'!$A$1:$B$20</definedName>
  </definedNames>
  <calcPr calcId="181029" fullCalcOnLoad="1"/>
</workbook>
</file>

<file path=xl/styles.xml><?xml version="1.0" encoding="utf-8"?>
<styleSheet xmlns="http://schemas.openxmlformats.org/spreadsheetml/2006/main">
  <numFmts count="2">
    <numFmt numFmtId="164" formatCode="[$-409]mmm\ d\,\ yyyy;@"/>
    <numFmt numFmtId="165" formatCode="&quot;$&quot;#,##0.00"/>
  </numFmts>
  <fonts count="14">
    <font>
      <name val="Arial"/>
      <family val="2"/>
      <color theme="1"/>
      <sz val="11"/>
      <scheme val="minor"/>
    </font>
    <font>
      <name val="Arial"/>
      <b val="1"/>
      <color rgb="FF1B3A57"/>
      <sz val="14"/>
    </font>
    <font>
      <name val="Arial"/>
      <b val="1"/>
      <sz val="11"/>
    </font>
    <font>
      <name val="Arial"/>
      <b val="1"/>
      <color rgb="FFC0392B"/>
      <sz val="11"/>
    </font>
    <font>
      <name val="Arial"/>
      <b val="1"/>
      <color rgb="FF1B3A57"/>
      <sz val="11"/>
    </font>
    <font>
      <name val="Arial"/>
      <color rgb="FF1155CC"/>
      <sz val="11"/>
      <u val="single"/>
    </font>
    <font>
      <name val="Arial"/>
      <i val="1"/>
      <color rgb="FF5D6D7E"/>
      <sz val="11"/>
    </font>
    <font>
      <name val="Arial"/>
      <b val="1"/>
      <color rgb="FFFFFFFF"/>
      <sz val="12"/>
    </font>
    <font>
      <name val="Arial"/>
      <color rgb="FFC0392B"/>
      <sz val="11"/>
    </font>
    <font>
      <name val="Arial"/>
      <b val="1"/>
      <sz val="13"/>
    </font>
    <font>
      <name val="Arial"/>
      <i val="1"/>
      <color rgb="FFC0392B"/>
      <sz val="11"/>
    </font>
    <font>
      <name val="Arial"/>
      <b val="1"/>
      <color rgb="FFC89B3C"/>
      <sz val="11"/>
    </font>
    <font>
      <name val="Arial"/>
      <b val="1"/>
      <i val="1"/>
      <color rgb="FF5D6D7E"/>
      <sz val="11"/>
    </font>
    <font>
      <name val="Arial"/>
      <b val="1"/>
      <color rgb="FF1B3A57"/>
      <sz val="12"/>
    </font>
  </fonts>
  <fills count="4">
    <fill>
      <patternFill/>
    </fill>
    <fill>
      <patternFill patternType="gray125"/>
    </fill>
    <fill>
      <patternFill patternType="solid">
        <fgColor rgb="FFFFF3CD"/>
        <bgColor rgb="FFFFF3CD"/>
      </patternFill>
    </fill>
    <fill>
      <patternFill patternType="solid">
        <fgColor rgb="FF1B3A57"/>
        <bgColor rgb="FF1B3A57"/>
      </patternFill>
    </fill>
  </fills>
  <borders count="1">
    <border>
      <left/>
      <right/>
      <top/>
      <bottom/>
      <diagonal/>
    </border>
  </borders>
  <cellStyleXfs count="1">
    <xf numFmtId="0" fontId="0" fillId="0" borderId="0"/>
  </cellStyleXfs>
  <cellXfs count="30">
    <xf numFmtId="0" fontId="0" fillId="0" borderId="0" pivotButton="0" quotePrefix="0" xfId="0"/>
    <xf numFmtId="0" fontId="7" fillId="3" borderId="0" pivotButton="0" quotePrefix="0" xfId="0"/>
    <xf numFmtId="0" fontId="0" fillId="0" borderId="0" applyAlignment="1" pivotButton="0" quotePrefix="0" xfId="0">
      <alignment wrapText="1"/>
    </xf>
    <xf numFmtId="0" fontId="2" fillId="0" borderId="0" pivotButton="0" quotePrefix="0" xfId="0"/>
    <xf numFmtId="0" fontId="0" fillId="2" borderId="0" applyProtection="1" pivotButton="0" quotePrefix="0" xfId="0">
      <protection locked="0" hidden="0"/>
    </xf>
    <xf numFmtId="164" fontId="0" fillId="2" borderId="0" applyProtection="1" pivotButton="0" quotePrefix="0" xfId="0">
      <protection locked="0" hidden="0"/>
    </xf>
    <xf numFmtId="165" fontId="0" fillId="2" borderId="0" applyProtection="1" pivotButton="0" quotePrefix="0" xfId="0">
      <protection locked="0" hidden="0"/>
    </xf>
    <xf numFmtId="0" fontId="2" fillId="0" borderId="0" applyAlignment="1" pivotButton="0" quotePrefix="0" xfId="0">
      <alignment wrapText="1"/>
    </xf>
    <xf numFmtId="0" fontId="4" fillId="0" borderId="0" pivotButton="0" quotePrefix="0" xfId="0"/>
    <xf numFmtId="0" fontId="5" fillId="0" borderId="0" pivotButton="0" quotePrefix="0" xfId="0"/>
    <xf numFmtId="0" fontId="3" fillId="0" borderId="0" pivotButton="0" quotePrefix="0" xfId="0"/>
    <xf numFmtId="1" fontId="0" fillId="0" borderId="0" pivotButton="0" quotePrefix="0" xfId="0"/>
    <xf numFmtId="9" fontId="0" fillId="0" borderId="0" pivotButton="0" quotePrefix="0" xfId="0"/>
    <xf numFmtId="165" fontId="0" fillId="0" borderId="0" pivotButton="0" quotePrefix="0" xfId="0"/>
    <xf numFmtId="0" fontId="9" fillId="0" borderId="0" pivotButton="0" quotePrefix="0" xfId="0"/>
    <xf numFmtId="0" fontId="12" fillId="0" borderId="0" pivotButton="0" quotePrefix="0" xfId="0"/>
    <xf numFmtId="0" fontId="1" fillId="0" borderId="0" pivotButton="0" quotePrefix="0" xfId="0"/>
    <xf numFmtId="0" fontId="8" fillId="0" borderId="0" applyAlignment="1" pivotButton="0" quotePrefix="0" xfId="0">
      <alignment wrapText="1"/>
    </xf>
    <xf numFmtId="0" fontId="6" fillId="0" borderId="0" pivotButton="0" quotePrefix="0" xfId="0"/>
    <xf numFmtId="0" fontId="13" fillId="0" borderId="0" pivotButton="0" quotePrefix="0" xfId="0"/>
    <xf numFmtId="0" fontId="0" fillId="0" borderId="0" applyAlignment="1" pivotButton="0" quotePrefix="0" xfId="0">
      <alignment wrapText="1"/>
    </xf>
    <xf numFmtId="0" fontId="0" fillId="0" borderId="0" pivotButton="0" quotePrefix="0" xfId="0"/>
    <xf numFmtId="0" fontId="3" fillId="0" borderId="0" applyAlignment="1" pivotButton="0" quotePrefix="0" xfId="0">
      <alignment wrapText="1"/>
    </xf>
    <xf numFmtId="0" fontId="6" fillId="0" borderId="0" applyAlignment="1" pivotButton="0" quotePrefix="0" xfId="0">
      <alignment wrapText="1"/>
    </xf>
    <xf numFmtId="0" fontId="11" fillId="0" borderId="0" pivotButton="0" quotePrefix="0" xfId="0"/>
    <xf numFmtId="0" fontId="10" fillId="0" borderId="0" applyAlignment="1" pivotButton="0" quotePrefix="0" xfId="0">
      <alignment vertical="top" wrapText="1"/>
    </xf>
    <xf numFmtId="0" fontId="6"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cellXfs>
  <cellStyles count="1">
    <cellStyle name="Normal" xfId="0" builtinId="0"/>
  </cellStyles>
  <dxfs count="13">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
      <fill>
        <patternFill patternType="solid">
          <fgColor rgb="FFFDE9CE"/>
          <bgColor rgb="FFFDE9CE"/>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pPr>
              <a:defRPr/>
            </a:pPr>
            <a:r>
              <a:t>Claimed Liabilities by Category</a:t>
            </a:r>
          </a:p>
        </rich>
      </tx>
      <overlay val="1"/>
    </title>
    <plotArea>
      <layout/>
      <barChart>
        <barDir val="col"/>
        <grouping val="clustered"/>
        <varyColors val="1"/>
        <ser>
          <idx val="0"/>
          <order val="0"/>
          <tx>
            <strRef>
              <f>'01_COMMAND_CENTER'!$B$27</f>
              <strCache>
                <ptCount val="1"/>
                <pt idx="0">
                  <v>Amount</v>
                </pt>
              </strCache>
            </strRef>
          </tx>
          <spPr>
            <a:ln>
              <a:prstDash val="solid"/>
            </a:ln>
          </spPr>
          <invertIfNegative val="1"/>
          <cat>
            <strRef>
              <f>'01_COMMAND_CENTER'!$A$28:$A$34</f>
              <strCache>
                <ptCount val="7"/>
                <pt idx="0">
                  <v>Funeral Expenses</v>
                </pt>
                <pt idx="1">
                  <v>Medical Bill</v>
                </pt>
                <pt idx="2">
                  <v>Credit Card</v>
                </pt>
                <pt idx="3">
                  <v>Property Tax</v>
                </pt>
                <pt idx="4">
                  <v>Mortgage/Loan</v>
                </pt>
                <pt idx="5">
                  <v>Utility/Bank Fees</v>
                </pt>
                <pt idx="6">
                  <v>Other</v>
                </pt>
              </strCache>
            </strRef>
          </cat>
          <val>
            <numRef>
              <f>'01_COMMAND_CENTER'!$B$28:$B$34</f>
              <numCache>
                <formatCode>"$"#,##0.00</formatCode>
                <ptCount val="7"/>
                <pt idx="0">
                  <v>8900</v>
                </pt>
                <pt idx="1">
                  <v>340</v>
                </pt>
                <pt idx="2">
                  <v>3400</v>
                </pt>
                <pt idx="3">
                  <v>2100</v>
                </pt>
                <pt idx="4">
                  <v>0</v>
                </pt>
                <pt idx="5">
                  <v>0</v>
                </pt>
                <pt idx="6">
                  <v>0</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quot;$&quot;#,##0.00" sourceLinked="1"/>
        <majorTickMark val="none"/>
        <minorTickMark val="none"/>
        <tickLblPos val="nextTo"/>
        <crossAx val="10"/>
        <crosses val="autoZero"/>
        <crossBetween val="between"/>
      </valAx>
    </plotArea>
    <legend>
      <legendPos val="r"/>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t>Assets by Disposition Status</a:t>
            </a:r>
          </a:p>
        </rich>
      </tx>
      <overlay val="1"/>
    </title>
    <plotArea>
      <layout/>
      <barChart>
        <barDir val="col"/>
        <grouping val="clustered"/>
        <varyColors val="1"/>
        <ser>
          <idx val="0"/>
          <order val="0"/>
          <tx>
            <strRef>
              <f>'01_COMMAND_CENTER'!$B$37</f>
              <strCache>
                <ptCount val="1"/>
                <pt idx="0">
                  <v>Count</v>
                </pt>
              </strCache>
            </strRef>
          </tx>
          <spPr>
            <a:ln>
              <a:prstDash val="solid"/>
            </a:ln>
          </spPr>
          <invertIfNegative val="1"/>
          <cat>
            <strRef>
              <f>'01_COMMAND_CENTER'!$A$38:$A$42</f>
              <strCache>
                <ptCount val="5"/>
                <pt idx="0">
                  <v>Collected</v>
                </pt>
                <pt idx="1">
                  <v>Sold</v>
                </pt>
                <pt idx="2">
                  <v>Distributed In-Kind</v>
                </pt>
                <pt idx="3">
                  <v>Not Yet Disposed</v>
                </pt>
                <pt idx="4">
                  <v>Unresolved</v>
                </pt>
              </strCache>
            </strRef>
          </cat>
          <val>
            <numRef>
              <f>'01_COMMAND_CENTER'!$B$38:$B$42</f>
              <numCache>
                <formatCode>General</formatCode>
                <ptCount val="5"/>
                <pt idx="0">
                  <v>3</v>
                </pt>
                <pt idx="1">
                  <v>0</v>
                </pt>
                <pt idx="2">
                  <v>0</v>
                </pt>
                <pt idx="3">
                  <v>2</v>
                </pt>
                <pt idx="4">
                  <v>1</v>
                </pt>
              </numCache>
            </numRef>
          </val>
        </ser>
        <dLbls>
          <showLegendKey val="0"/>
          <showVal val="0"/>
          <showCatName val="0"/>
          <showSerName val="0"/>
          <showPercent val="0"/>
          <showBubbleSize val="0"/>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19</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9"/>
  <sheetViews>
    <sheetView tabSelected="1" workbookViewId="0">
      <selection activeCell="A1" sqref="A1"/>
    </sheetView>
  </sheetViews>
  <sheetFormatPr baseColWidth="8" defaultRowHeight="13.8"/>
  <cols>
    <col width="34" customWidth="1" style="21" min="1" max="1"/>
    <col width="74" customWidth="1" style="21" min="2" max="2"/>
  </cols>
  <sheetData>
    <row r="1" ht="15.6" customHeight="1" s="21">
      <c r="A1" s="1" t="inlineStr">
        <is>
          <t>ESTATE SETTLEMENT COMMAND CENTER</t>
        </is>
      </c>
      <c r="B1" s="1" t="n"/>
    </row>
    <row r="2">
      <c r="A2" s="20" t="inlineStr">
        <is>
          <t>A connected workspace for organizing an estate after a death: tasks, assets, liabilities, transactions, documents, contacts, beneficiary records, a cash reconciliation check, and a closeout review — all in one place, updating automatically as you enter records.</t>
        </is>
      </c>
    </row>
    <row r="4">
      <c r="A4" s="3" t="inlineStr">
        <is>
          <t>Estate / Reference Name</t>
        </is>
      </c>
      <c r="B4" s="4" t="inlineStr">
        <is>
          <t>Estate of Walter H. Doyle (sample)</t>
        </is>
      </c>
    </row>
    <row r="5">
      <c r="A5" s="3" t="inlineStr">
        <is>
          <t>Date of Death</t>
        </is>
      </c>
      <c r="B5" s="27" t="n">
        <v>46192</v>
      </c>
    </row>
    <row r="6">
      <c r="A6" s="3" t="inlineStr">
        <is>
          <t>Jurisdiction (free text)</t>
        </is>
      </c>
      <c r="B6" s="4" t="inlineStr">
        <is>
          <t>Cook County, Illinois (example only -- enter your own)</t>
        </is>
      </c>
    </row>
    <row r="7">
      <c r="A7" s="3" t="inlineStr">
        <is>
          <t>Executor / Administrator Name</t>
        </is>
      </c>
      <c r="B7" s="4" t="inlineStr">
        <is>
          <t>Nadia Doyle</t>
        </is>
      </c>
    </row>
    <row r="8">
      <c r="A8" s="3" t="inlineStr">
        <is>
          <t>Starting Estate Cash</t>
        </is>
      </c>
      <c r="B8" s="28" t="n">
        <v>4200</v>
      </c>
    </row>
    <row r="9" ht="27.6" customHeight="1" s="21">
      <c r="A9" s="7" t="inlineStr">
        <is>
          <t>Actual Estate Cash Balance (as of today, from your bank statement)</t>
        </is>
      </c>
      <c r="B9" s="28" t="n">
        <v>9430</v>
      </c>
    </row>
    <row r="11">
      <c r="A11" s="22" t="inlineStr">
        <is>
          <t>⚠ DO NOT double-count Starting Estate Cash as a transaction inflow on 05_ESTATE_TRANSACTIONS — it is the opening balance, entered once, here only.</t>
        </is>
      </c>
    </row>
    <row r="13">
      <c r="A13" s="8" t="inlineStr">
        <is>
          <t>QUICK NAVIGATION — click a tab name to jump there</t>
        </is>
      </c>
    </row>
    <row r="14">
      <c r="A14" s="9" t="inlineStr">
        <is>
          <t>→ 01_COMMAND_CENTER</t>
        </is>
      </c>
    </row>
    <row r="15">
      <c r="A15" s="9" t="inlineStr">
        <is>
          <t>→ 02_ACTION_ROADMAP</t>
        </is>
      </c>
    </row>
    <row r="16">
      <c r="A16" s="9" t="inlineStr">
        <is>
          <t>→ 03_ASSET_REGISTER</t>
        </is>
      </c>
    </row>
    <row r="17">
      <c r="A17" s="9" t="inlineStr">
        <is>
          <t>→ 04_LIABILITY_REGISTER</t>
        </is>
      </c>
    </row>
    <row r="18">
      <c r="A18" s="9" t="inlineStr">
        <is>
          <t>→ 05_ESTATE_TRANSACTIONS</t>
        </is>
      </c>
    </row>
    <row r="19">
      <c r="A19" s="9" t="inlineStr">
        <is>
          <t>→ 06_EXPENSES_REIMBURSEMENTS</t>
        </is>
      </c>
    </row>
    <row r="20">
      <c r="A20" s="9" t="inlineStr">
        <is>
          <t>→ 07_DOCUMENT_CONTROL</t>
        </is>
      </c>
    </row>
    <row r="21">
      <c r="A21" s="9" t="inlineStr">
        <is>
          <t>→ 08_CONTACTS_COMMUNICATION</t>
        </is>
      </c>
    </row>
    <row r="22">
      <c r="A22" s="9" t="inlineStr">
        <is>
          <t>→ 09_BENEFICIARIES_DISTRIBUTIONS</t>
        </is>
      </c>
    </row>
    <row r="23">
      <c r="A23" s="9" t="inlineStr">
        <is>
          <t>→ 10_RECONCILIATION</t>
        </is>
      </c>
    </row>
    <row r="24">
      <c r="A24" s="9" t="inlineStr">
        <is>
          <t>→ 11_CLOSEOUT_REVIEW</t>
        </is>
      </c>
    </row>
    <row r="25">
      <c r="A25" s="9" t="inlineStr">
        <is>
          <t>→ 12_REPORTS_PRINT</t>
        </is>
      </c>
    </row>
    <row r="27">
      <c r="A27" s="8" t="inlineStr">
        <is>
          <t>5-MINUTE SETUP</t>
        </is>
      </c>
    </row>
    <row r="28">
      <c r="A28" s="20" t="inlineStr">
        <is>
          <t>STEP 1: Fill in the estate details above (name, date of death, executor, starting cash).</t>
        </is>
      </c>
    </row>
    <row r="29">
      <c r="A29" s="20" t="inlineStr">
        <is>
          <t>STEP 2: Go to 02_ACTION_ROADMAP and list your tasks (or keep the sample ones as a starting checklist).</t>
        </is>
      </c>
    </row>
    <row r="30">
      <c r="A30" s="20" t="inlineStr">
        <is>
          <t>STEP 3: Go to 03_ASSET_REGISTER and 04_LIABILITY_REGISTER and list what the estate owns and owes.</t>
        </is>
      </c>
    </row>
    <row r="31">
      <c r="A31" s="20" t="inlineStr">
        <is>
          <t>STEP 4: Log every deposit and payment on 05_ESTATE_TRANSACTIONS as it happens.</t>
        </is>
      </c>
    </row>
    <row r="32">
      <c r="A32" s="20" t="inlineStr">
        <is>
          <t>STEP 5: Check 01_COMMAND_CENTER — everything else updates automatically from what you enter.</t>
        </is>
      </c>
    </row>
    <row r="34">
      <c r="A34" s="8" t="inlineStr">
        <is>
          <t>WHAT THE COLORS MEAN</t>
        </is>
      </c>
    </row>
    <row r="35">
      <c r="A35" s="3" t="inlineStr">
        <is>
          <t>YELLOW</t>
        </is>
      </c>
      <c r="B35" t="inlineStr">
        <is>
          <t>YOU TYPE HERE.</t>
        </is>
      </c>
    </row>
    <row r="36">
      <c r="A36" s="3" t="inlineStr">
        <is>
          <t>WHITE</t>
        </is>
      </c>
      <c r="B36" t="inlineStr">
        <is>
          <t>AUTOMATIC — calculated for you. Don't type over these.</t>
        </is>
      </c>
    </row>
    <row r="38">
      <c r="A38" s="10" t="inlineStr">
        <is>
          <t>WHAT THIS WORKBOOK IS NOT</t>
        </is>
      </c>
    </row>
    <row r="39" ht="14.4" customHeight="1" s="21">
      <c r="A39" s="23" t="inlineStr">
        <is>
          <t>This is an organizational recordkeeping tool only. It does NOT determine whether probate is required, creditor priority, legal beneficiary entitlement, taxes owed, or legal distribution timing, and it does not tell you an estate is legally ready to close. "Organization Complete" on 11_CLOSEOUT_REVIEW means this workbook's own organizational flags are clear — nothing more. Always consult a qualified attorney or accountant for legal, tax, or probate questions.</t>
        </is>
      </c>
    </row>
  </sheetData>
  <sheetProtection selectLockedCells="0" selectUnlockedCells="0" sheet="1" objects="0" insertRows="1" insertHyperlinks="1" autoFilter="0" scenarios="0" formatColumns="0" deleteColumns="1" insertColumns="1" pivotTables="1" deleteRows="1" formatCells="1" formatRows="0" sort="0"/>
  <mergeCells count="8">
    <mergeCell ref="A30:B30"/>
    <mergeCell ref="A2:B2"/>
    <mergeCell ref="A29:B29"/>
    <mergeCell ref="A11:B11"/>
    <mergeCell ref="A28:B28"/>
    <mergeCell ref="A32:B32"/>
    <mergeCell ref="A31:B31"/>
    <mergeCell ref="A39:B39"/>
  </mergeCells>
  <dataValidations count="1">
    <dataValidation sqref="B8:B9" showDropDown="0" showInputMessage="0" showErrorMessage="1" allowBlank="1" errorTitle="Negative amount" error="This field cannot be negative." type="decimal" operator="greaterThanOrEqual">
      <formula1>0</formula1>
    </dataValidation>
  </dataValidations>
  <hyperlinks>
    <hyperlink ref="A14" location="'01_COMMAND_CENTER'!A1" display="→ 01_COMMAND_CENTER"/>
    <hyperlink ref="A15" location="'02_ACTION_ROADMAP'!A1" display="→ 02_ACTION_ROADMAP"/>
    <hyperlink ref="A16" location="'03_ASSET_REGISTER'!A1" display="→ 03_ASSET_REGISTER"/>
    <hyperlink ref="A17" location="'04_LIABILITY_REGISTER'!A1" display="→ 04_LIABILITY_REGISTER"/>
    <hyperlink ref="A18" location="'05_ESTATE_TRANSACTIONS'!A1" display="→ 05_ESTATE_TRANSACTIONS"/>
    <hyperlink ref="A19" location="'06_EXPENSES_REIMBURSEMENTS'!A1" display="→ 06_EXPENSES_REIMBURSEMENTS"/>
    <hyperlink ref="A20" location="'07_DOCUMENT_CONTROL'!A1" display="→ 07_DOCUMENT_CONTROL"/>
    <hyperlink ref="A21" location="'08_CONTACTS_COMMUNICATION'!A1" display="→ 08_CONTACTS_COMMUNICATION"/>
    <hyperlink ref="A22" location="'09_BENEFICIARIES_DISTRIBUTIONS'!A1" display="→ 09_BENEFICIARIES_DISTRIBUTIONS"/>
    <hyperlink ref="A23" location="'10_RECONCILIATION'!A1" display="→ 10_RECONCILIATION"/>
    <hyperlink ref="A24" location="'11_CLOSEOUT_REVIEW'!A1" display="→ 11_CLOSEOUT_REVIEW"/>
    <hyperlink ref="A25" location="'12_REPORTS_PRINT'!A1" display="→ 12_REPORTS_PRINT"/>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42"/>
  <sheetViews>
    <sheetView workbookViewId="0">
      <selection activeCell="A1" sqref="A1"/>
    </sheetView>
  </sheetViews>
  <sheetFormatPr baseColWidth="8" defaultRowHeight="13.8"/>
  <cols>
    <col width="40" customWidth="1" style="21" min="1" max="1"/>
    <col width="20" customWidth="1" style="21" min="2" max="2"/>
  </cols>
  <sheetData>
    <row r="1" ht="15.6" customHeight="1" s="21">
      <c r="A1" s="1" t="inlineStr">
        <is>
          <t>COMMAND CENTER</t>
        </is>
      </c>
    </row>
    <row r="3">
      <c r="A3" t="inlineStr">
        <is>
          <t>Open Actions</t>
        </is>
      </c>
      <c r="B3" s="11">
        <f>'11_CLOSEOUT_REVIEW'!B4</f>
        <v/>
      </c>
    </row>
    <row r="4">
      <c r="A4" t="inlineStr">
        <is>
          <t>Completion Progress (tasks completed / total)</t>
        </is>
      </c>
      <c r="B4" s="12">
        <f>IFERROR(COUNTIF('02_ACTION_ROADMAP'!$G$4:$G$203,"Completed")/COUNTIF('02_ACTION_ROADMAP'!$A$4:$A$203,"&lt;&gt;"),0)</f>
        <v/>
      </c>
    </row>
    <row r="5">
      <c r="A5" t="inlineStr">
        <is>
          <t>Outstanding Documents</t>
        </is>
      </c>
      <c r="B5" s="11">
        <f>'11_CLOSEOUT_REVIEW'!B8</f>
        <v/>
      </c>
    </row>
    <row r="6">
      <c r="A6" t="inlineStr">
        <is>
          <t>Pending Reimbursements ($)</t>
        </is>
      </c>
      <c r="B6" s="29">
        <f>'11_CLOSEOUT_REVIEW'!B9</f>
        <v/>
      </c>
    </row>
    <row r="7">
      <c r="A7" t="inlineStr">
        <is>
          <t>Assets Identified (count)</t>
        </is>
      </c>
      <c r="B7" s="11">
        <f>COUNTIF('03_ASSET_REGISTER'!$A$4:$A$103,"&lt;&gt;")</f>
        <v/>
      </c>
    </row>
    <row r="8">
      <c r="A8" t="inlineStr">
        <is>
          <t>Known Liabilities (count)</t>
        </is>
      </c>
      <c r="B8" s="11">
        <f>COUNTIF('04_LIABILITY_REGISTER'!$A$4:$A$103,"&lt;&gt;")</f>
        <v/>
      </c>
    </row>
    <row r="9">
      <c r="A9" t="inlineStr">
        <is>
          <t>Expected Estate Cash ($)</t>
        </is>
      </c>
      <c r="B9" s="29">
        <f>'10_RECONCILIATION'!B7</f>
        <v/>
      </c>
    </row>
    <row r="10">
      <c r="A10" t="inlineStr">
        <is>
          <t>Reconciliation Difference ($)</t>
        </is>
      </c>
      <c r="B10" s="29">
        <f>'10_RECONCILIATION'!B9</f>
        <v/>
      </c>
    </row>
    <row r="12" ht="16.8" customHeight="1" s="21">
      <c r="A12" s="8" t="inlineStr">
        <is>
          <t>Organizational Closeout Status</t>
        </is>
      </c>
      <c r="B12" s="14">
        <f>'11_CLOSEOUT_REVIEW'!B14</f>
        <v/>
      </c>
    </row>
    <row r="13"/>
    <row r="14">
      <c r="A14" s="8" t="inlineStr">
        <is>
          <t>NEEDS ATTENTION NOW</t>
        </is>
      </c>
    </row>
    <row r="15">
      <c r="A15" t="inlineStr">
        <is>
          <t>Overdue Tasks</t>
        </is>
      </c>
      <c r="B15">
        <f>'11_CLOSEOUT_REVIEW'!B5</f>
        <v/>
      </c>
    </row>
    <row r="16">
      <c r="A16" t="inlineStr">
        <is>
          <t>Unresolved Assets</t>
        </is>
      </c>
      <c r="B16">
        <f>'11_CLOSEOUT_REVIEW'!B6</f>
        <v/>
      </c>
    </row>
    <row r="17">
      <c r="A17" t="inlineStr">
        <is>
          <t>Unpaid / Disputed Liabilities</t>
        </is>
      </c>
      <c r="B17">
        <f>'11_CLOSEOUT_REVIEW'!B7</f>
        <v/>
      </c>
    </row>
    <row r="18">
      <c r="A18" t="inlineStr">
        <is>
          <t>Missing Transaction Evidence</t>
        </is>
      </c>
      <c r="B18">
        <f>'11_CLOSEOUT_REVIEW'!B12</f>
        <v/>
      </c>
    </row>
    <row r="19">
      <c r="A19" t="inlineStr">
        <is>
          <t>Reconciliation Status</t>
        </is>
      </c>
      <c r="B19">
        <f>'10_RECONCILIATION'!B13</f>
        <v/>
      </c>
    </row>
    <row r="22">
      <c r="A22" s="24">
        <f>IF('11_CLOSEOUT_REVIEW'!B14="SET UP ESTATE","→ SET UP ESTATE: fill in 00_START_HERE and add your first assets, liabilities, and transactions.","")</f>
        <v/>
      </c>
    </row>
    <row r="25">
      <c r="A25" s="15" t="inlineStr">
        <is>
          <t>CHART DATA (auto-calculated — do not edit)</t>
        </is>
      </c>
    </row>
    <row r="27" ht="15.6" customHeight="1" s="21">
      <c r="A27" s="1" t="inlineStr">
        <is>
          <t>Category</t>
        </is>
      </c>
      <c r="B27" s="1" t="inlineStr">
        <is>
          <t>Amount</t>
        </is>
      </c>
    </row>
    <row r="28">
      <c r="A28" t="inlineStr">
        <is>
          <t>Funeral Expenses</t>
        </is>
      </c>
      <c r="B28" s="29">
        <f>SUMIF('04_LIABILITY_REGISTER'!$C$4:$C$103,"Funeral Expenses",'04_LIABILITY_REGISTER'!$D$4:$D$103)</f>
        <v/>
      </c>
    </row>
    <row r="29">
      <c r="A29" t="inlineStr">
        <is>
          <t>Medical Bill</t>
        </is>
      </c>
      <c r="B29" s="29">
        <f>SUMIF('04_LIABILITY_REGISTER'!$C$4:$C$103,"Medical Bill",'04_LIABILITY_REGISTER'!$D$4:$D$103)</f>
        <v/>
      </c>
    </row>
    <row r="30">
      <c r="A30" t="inlineStr">
        <is>
          <t>Credit Card</t>
        </is>
      </c>
      <c r="B30" s="29">
        <f>SUMIF('04_LIABILITY_REGISTER'!$C$4:$C$103,"Credit Card",'04_LIABILITY_REGISTER'!$D$4:$D$103)</f>
        <v/>
      </c>
    </row>
    <row r="31">
      <c r="A31" t="inlineStr">
        <is>
          <t>Property Tax</t>
        </is>
      </c>
      <c r="B31" s="29">
        <f>SUMIF('04_LIABILITY_REGISTER'!$C$4:$C$103,"Property Tax",'04_LIABILITY_REGISTER'!$D$4:$D$103)</f>
        <v/>
      </c>
    </row>
    <row r="32">
      <c r="A32" t="inlineStr">
        <is>
          <t>Mortgage/Loan</t>
        </is>
      </c>
      <c r="B32" s="29">
        <f>SUMIF('04_LIABILITY_REGISTER'!$C$4:$C$103,"Mortgage/Loan",'04_LIABILITY_REGISTER'!$D$4:$D$103)</f>
        <v/>
      </c>
    </row>
    <row r="33">
      <c r="A33" t="inlineStr">
        <is>
          <t>Utility/Bank Fees</t>
        </is>
      </c>
      <c r="B33" s="29">
        <f>SUMIF('04_LIABILITY_REGISTER'!$C$4:$C$103,"Utility/Bank Fees",'04_LIABILITY_REGISTER'!$D$4:$D$103)</f>
        <v/>
      </c>
    </row>
    <row r="34">
      <c r="A34" t="inlineStr">
        <is>
          <t>Other</t>
        </is>
      </c>
      <c r="B34" s="29">
        <f>SUMIF('04_LIABILITY_REGISTER'!$C$4:$C$103,"Other",'04_LIABILITY_REGISTER'!$D$4:$D$103)</f>
        <v/>
      </c>
    </row>
    <row r="37" ht="15.6" customHeight="1" s="21">
      <c r="A37" s="1" t="inlineStr">
        <is>
          <t>Status</t>
        </is>
      </c>
      <c r="B37" s="1" t="inlineStr">
        <is>
          <t>Count</t>
        </is>
      </c>
    </row>
    <row r="38">
      <c r="A38" t="inlineStr">
        <is>
          <t>Collected</t>
        </is>
      </c>
      <c r="B38">
        <f>COUNTIF('03_ASSET_REGISTER'!$J$4:$J$103,"Collected")</f>
        <v/>
      </c>
    </row>
    <row r="39">
      <c r="A39" t="inlineStr">
        <is>
          <t>Sold</t>
        </is>
      </c>
      <c r="B39">
        <f>COUNTIF('03_ASSET_REGISTER'!$J$4:$J$103,"Sold")</f>
        <v/>
      </c>
    </row>
    <row r="40">
      <c r="A40" t="inlineStr">
        <is>
          <t>Distributed In-Kind</t>
        </is>
      </c>
      <c r="B40">
        <f>COUNTIF('03_ASSET_REGISTER'!$J$4:$J$103,"Distributed In-Kind")</f>
        <v/>
      </c>
    </row>
    <row r="41">
      <c r="A41" t="inlineStr">
        <is>
          <t>Not Yet Disposed</t>
        </is>
      </c>
      <c r="B41">
        <f>COUNTIF('03_ASSET_REGISTER'!$J$4:$J$103,"Not Yet Disposed")</f>
        <v/>
      </c>
    </row>
    <row r="42">
      <c r="A42" t="inlineStr">
        <is>
          <t>Unresolved</t>
        </is>
      </c>
      <c r="B42">
        <f>COUNTIF('03_ASSET_REGISTER'!$J$4:$J$103,"Unresolved")</f>
        <v/>
      </c>
    </row>
  </sheetData>
  <sheetProtection selectLockedCells="0" selectUnlockedCells="0" sheet="1" objects="0" insertRows="1" insertHyperlinks="1" autoFilter="0" scenarios="0" formatColumns="0" deleteColumns="1" insertColumns="1" pivotTables="1" deleteRows="1" formatCells="1" formatRows="0" sort="0"/>
  <mergeCells count="1">
    <mergeCell ref="A22:B22"/>
  </mergeCells>
  <conditionalFormatting sqref="B12">
    <cfRule type="cellIs" priority="1" operator="equal" dxfId="2">
      <formula>"ORGANIZATION COMPLETE"</formula>
    </cfRule>
    <cfRule type="cellIs" priority="2" operator="equal" dxfId="1">
      <formula>"REVIEW"</formula>
    </cfRule>
    <cfRule type="cellIs" priority="3" operator="equal" dxfId="0">
      <formula>"NOT READY"</formula>
    </cfRule>
    <cfRule type="cellIs" priority="4" operator="equal" dxfId="9">
      <formula>"SET UP ESTATE"</formula>
    </cfRule>
  </conditionalFormatting>
  <conditionalFormatting sqref="B19">
    <cfRule type="cellIs" priority="5" operator="equal" dxfId="0">
      <formula>"Review Needed"</formula>
    </cfRule>
    <cfRule type="cellIs" priority="6" operator="equal" dxfId="2">
      <formula>"Balanced"</formula>
    </cfRule>
  </conditionalFormatting>
  <printOptions gridLines="1"/>
  <pageMargins left="0.75" right="0.75" top="1" bottom="1" header="0.5" footer="0.5"/>
  <pageSetup orientation="portrait"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03"/>
  <sheetViews>
    <sheetView workbookViewId="0">
      <selection activeCell="A1" sqref="A1"/>
    </sheetView>
  </sheetViews>
  <sheetFormatPr baseColWidth="8" defaultRowHeight="13.8"/>
  <cols>
    <col width="8" customWidth="1" style="21" min="1" max="1"/>
    <col width="14" customWidth="1" style="21" min="2" max="2"/>
    <col width="34" customWidth="1" style="21" min="3" max="3"/>
    <col width="16" customWidth="1" style="21" min="4" max="4"/>
    <col width="14" customWidth="1" style="21" min="5" max="5"/>
    <col width="13" customWidth="1" style="21" min="6" max="6"/>
    <col width="12" customWidth="1" style="21" min="7" max="7"/>
    <col width="9" customWidth="1" style="21" min="8" max="8"/>
    <col width="20" customWidth="1" style="21" min="9" max="9"/>
    <col width="13" customWidth="1" style="21" min="10" max="10"/>
    <col width="30" customWidth="1" style="21" min="11" max="11"/>
    <col width="16" customWidth="1" style="21" min="12" max="12"/>
  </cols>
  <sheetData>
    <row r="1" ht="17.4" customHeight="1" s="21">
      <c r="A1" s="16" t="inlineStr">
        <is>
          <t>ACTION ROADMAP</t>
        </is>
      </c>
    </row>
    <row r="2">
      <c r="A2" t="inlineStr">
        <is>
          <t>One row per task. Add your own tasks below the sample rows — the workbook keeps working.</t>
        </is>
      </c>
    </row>
    <row r="3" ht="15.6" customHeight="1" s="21">
      <c r="A3" s="1" t="inlineStr">
        <is>
          <t>Task ID</t>
        </is>
      </c>
      <c r="B3" s="1" t="inlineStr">
        <is>
          <t>Phase</t>
        </is>
      </c>
      <c r="C3" s="1" t="inlineStr">
        <is>
          <t>Task</t>
        </is>
      </c>
      <c r="D3" s="1" t="inlineStr">
        <is>
          <t>Category</t>
        </is>
      </c>
      <c r="E3" s="1" t="inlineStr">
        <is>
          <t>Owner</t>
        </is>
      </c>
      <c r="F3" s="1" t="inlineStr">
        <is>
          <t>Target Date</t>
        </is>
      </c>
      <c r="G3" s="1" t="inlineStr">
        <is>
          <t>Status</t>
        </is>
      </c>
      <c r="H3" s="1" t="inlineStr">
        <is>
          <t>Priority</t>
        </is>
      </c>
      <c r="I3" s="1" t="inlineStr">
        <is>
          <t>Blocked By</t>
        </is>
      </c>
      <c r="J3" s="1" t="inlineStr">
        <is>
          <t>Follow-up Date</t>
        </is>
      </c>
      <c r="K3" s="1" t="inlineStr">
        <is>
          <t>Evidence / Location</t>
        </is>
      </c>
      <c r="L3" s="1" t="inlineStr">
        <is>
          <t>Warning (auto)</t>
        </is>
      </c>
    </row>
    <row r="4">
      <c r="A4" s="4" t="inlineStr">
        <is>
          <t>T1</t>
        </is>
      </c>
      <c r="B4" s="4" t="inlineStr">
        <is>
          <t>First 30 Days</t>
        </is>
      </c>
      <c r="C4" s="4" t="inlineStr">
        <is>
          <t>Notify Social Security Administration</t>
        </is>
      </c>
      <c r="D4" s="4" t="inlineStr">
        <is>
          <t>Administrative</t>
        </is>
      </c>
      <c r="E4" s="4" t="inlineStr">
        <is>
          <t>Nadia Doyle</t>
        </is>
      </c>
      <c r="F4" s="27" t="n">
        <v>46207</v>
      </c>
      <c r="G4" s="4" t="inlineStr">
        <is>
          <t>Completed</t>
        </is>
      </c>
      <c r="H4" s="4" t="inlineStr">
        <is>
          <t>High</t>
        </is>
      </c>
      <c r="I4" s="4" t="n"/>
      <c r="J4" s="4" t="n"/>
      <c r="K4" s="4" t="inlineStr">
        <is>
          <t>Confirmation letter, home filing box</t>
        </is>
      </c>
      <c r="L4">
        <f>IF($A4="","",IF($G4="Completed","",IF(AND($F4&lt;&gt;"",$F4&lt;TODAY(),$G4&lt;&gt;"Completed"),"⚠ overdue",IF(AND($F4&lt;&gt;"",$F4&gt;=TODAY(),$F4-TODAY()&lt;=7),"⚠ due soon",""))))</f>
        <v/>
      </c>
    </row>
    <row r="5">
      <c r="A5" s="4" t="inlineStr">
        <is>
          <t>T2</t>
        </is>
      </c>
      <c r="B5" s="4" t="inlineStr">
        <is>
          <t>First 30 Days</t>
        </is>
      </c>
      <c r="C5" s="4" t="inlineStr">
        <is>
          <t>Obtain certified copies of death certificate</t>
        </is>
      </c>
      <c r="D5" s="4" t="inlineStr">
        <is>
          <t>Administrative</t>
        </is>
      </c>
      <c r="E5" s="4" t="inlineStr">
        <is>
          <t>Nadia Doyle</t>
        </is>
      </c>
      <c r="F5" s="27" t="n">
        <v>46202</v>
      </c>
      <c r="G5" s="4" t="inlineStr">
        <is>
          <t>Completed</t>
        </is>
      </c>
      <c r="H5" s="4" t="inlineStr">
        <is>
          <t>High</t>
        </is>
      </c>
      <c r="I5" s="4" t="n"/>
      <c r="J5" s="4" t="n"/>
      <c r="K5" s="4" t="inlineStr">
        <is>
          <t>10 copies, home safe</t>
        </is>
      </c>
      <c r="L5">
        <f>IF($A5="","",IF($G5="Completed","",IF(AND($F5&lt;&gt;"",$F5&lt;TODAY(),$G5&lt;&gt;"Completed"),"⚠ overdue",IF(AND($F5&lt;&gt;"",$F5&gt;=TODAY(),$F5-TODAY()&lt;=7),"⚠ due soon",""))))</f>
        <v/>
      </c>
    </row>
    <row r="6">
      <c r="A6" s="4" t="inlineStr">
        <is>
          <t>T3</t>
        </is>
      </c>
      <c r="B6" s="4" t="inlineStr">
        <is>
          <t>First 30 Days</t>
        </is>
      </c>
      <c r="C6" s="4" t="inlineStr">
        <is>
          <t>Open estate bank account</t>
        </is>
      </c>
      <c r="D6" s="4" t="inlineStr">
        <is>
          <t>Financial</t>
        </is>
      </c>
      <c r="E6" s="4" t="inlineStr">
        <is>
          <t>Nadia Doyle</t>
        </is>
      </c>
      <c r="F6" s="27" t="n">
        <v>46217</v>
      </c>
      <c r="G6" s="4" t="inlineStr">
        <is>
          <t>Completed</t>
        </is>
      </c>
      <c r="H6" s="4" t="inlineStr">
        <is>
          <t>High</t>
        </is>
      </c>
      <c r="I6" s="4" t="n"/>
      <c r="J6" s="4" t="n"/>
      <c r="K6" s="4" t="inlineStr">
        <is>
          <t>First National Estate Acct ...3391</t>
        </is>
      </c>
      <c r="L6">
        <f>IF($A6="","",IF($G6="Completed","",IF(AND($F6&lt;&gt;"",$F6&lt;TODAY(),$G6&lt;&gt;"Completed"),"⚠ overdue",IF(AND($F6&lt;&gt;"",$F6&gt;=TODAY(),$F6-TODAY()&lt;=7),"⚠ due soon",""))))</f>
        <v/>
      </c>
    </row>
    <row r="7">
      <c r="A7" s="4" t="inlineStr">
        <is>
          <t>T4</t>
        </is>
      </c>
      <c r="B7" s="4" t="inlineStr">
        <is>
          <t>First 30 Days</t>
        </is>
      </c>
      <c r="C7" s="4" t="inlineStr">
        <is>
          <t>File will for probate</t>
        </is>
      </c>
      <c r="D7" s="4" t="inlineStr">
        <is>
          <t>Legal</t>
        </is>
      </c>
      <c r="E7" s="4" t="inlineStr">
        <is>
          <t>Nadia Doyle</t>
        </is>
      </c>
      <c r="F7" s="27" t="n">
        <v>46227</v>
      </c>
      <c r="G7" s="4" t="inlineStr">
        <is>
          <t>Completed</t>
        </is>
      </c>
      <c r="H7" s="4" t="inlineStr">
        <is>
          <t>High</t>
        </is>
      </c>
      <c r="I7" s="4" t="n"/>
      <c r="J7" s="4" t="n"/>
      <c r="K7" s="4" t="inlineStr">
        <is>
          <t>Filed with county probate clerk</t>
        </is>
      </c>
      <c r="L7">
        <f>IF($A7="","",IF($G7="Completed","",IF(AND($F7&lt;&gt;"",$F7&lt;TODAY(),$G7&lt;&gt;"Completed"),"⚠ overdue",IF(AND($F7&lt;&gt;"",$F7&gt;=TODAY(),$F7-TODAY()&lt;=7),"⚠ due soon",""))))</f>
        <v/>
      </c>
    </row>
    <row r="8">
      <c r="A8" s="4" t="inlineStr">
        <is>
          <t>T5</t>
        </is>
      </c>
      <c r="B8" s="4" t="inlineStr">
        <is>
          <t>30-60 Days</t>
        </is>
      </c>
      <c r="C8" s="4" t="inlineStr">
        <is>
          <t>Locate and inventory safe deposit box</t>
        </is>
      </c>
      <c r="D8" s="4" t="inlineStr">
        <is>
          <t>Assets</t>
        </is>
      </c>
      <c r="E8" s="4" t="inlineStr">
        <is>
          <t>Nadia Doyle</t>
        </is>
      </c>
      <c r="F8" s="27" t="n">
        <v>46247</v>
      </c>
      <c r="G8" s="4" t="inlineStr">
        <is>
          <t>Completed</t>
        </is>
      </c>
      <c r="H8" s="4" t="inlineStr">
        <is>
          <t>Medium</t>
        </is>
      </c>
      <c r="I8" s="4" t="n"/>
      <c r="J8" s="4" t="n"/>
      <c r="K8" s="4" t="inlineStr">
        <is>
          <t>First National Bank branch</t>
        </is>
      </c>
      <c r="L8">
        <f>IF($A8="","",IF($G8="Completed","",IF(AND($F8&lt;&gt;"",$F8&lt;TODAY(),$G8&lt;&gt;"Completed"),"⚠ overdue",IF(AND($F8&lt;&gt;"",$F8&gt;=TODAY(),$F8-TODAY()&lt;=7),"⚠ due soon",""))))</f>
        <v/>
      </c>
    </row>
    <row r="9">
      <c r="A9" s="4" t="inlineStr">
        <is>
          <t>T6</t>
        </is>
      </c>
      <c r="B9" s="4" t="inlineStr">
        <is>
          <t>30-60 Days</t>
        </is>
      </c>
      <c r="C9" s="4" t="inlineStr">
        <is>
          <t>Get home appraised</t>
        </is>
      </c>
      <c r="D9" s="4" t="inlineStr">
        <is>
          <t>Assets</t>
        </is>
      </c>
      <c r="E9" s="4" t="inlineStr">
        <is>
          <t>Nadia Doyle</t>
        </is>
      </c>
      <c r="F9" s="27" t="n">
        <v>46292</v>
      </c>
      <c r="G9" s="4" t="inlineStr">
        <is>
          <t>Open</t>
        </is>
      </c>
      <c r="H9" s="4" t="inlineStr">
        <is>
          <t>Medium</t>
        </is>
      </c>
      <c r="I9" s="4" t="n"/>
      <c r="J9" s="4" t="n"/>
      <c r="K9" s="4" t="n"/>
      <c r="L9">
        <f>IF($A9="","",IF($G9="Completed","",IF(AND($F9&lt;&gt;"",$F9&lt;TODAY(),$G9&lt;&gt;"Completed"),"⚠ overdue",IF(AND($F9&lt;&gt;"",$F9&gt;=TODAY(),$F9-TODAY()&lt;=7),"⚠ due soon",""))))</f>
        <v/>
      </c>
    </row>
    <row r="10">
      <c r="A10" s="4" t="inlineStr">
        <is>
          <t>T7</t>
        </is>
      </c>
      <c r="B10" s="4" t="inlineStr">
        <is>
          <t>30-60 Days</t>
        </is>
      </c>
      <c r="C10" s="4" t="inlineStr">
        <is>
          <t>Cancel deceased's subscriptions/utilities not needed</t>
        </is>
      </c>
      <c r="D10" s="4" t="inlineStr">
        <is>
          <t>Administrative</t>
        </is>
      </c>
      <c r="E10" s="4" t="inlineStr">
        <is>
          <t>Nadia Doyle</t>
        </is>
      </c>
      <c r="F10" s="27" t="n">
        <v>46277</v>
      </c>
      <c r="G10" s="4" t="inlineStr">
        <is>
          <t>Open</t>
        </is>
      </c>
      <c r="H10" s="4" t="inlineStr">
        <is>
          <t>Low</t>
        </is>
      </c>
      <c r="I10" s="4" t="n"/>
      <c r="J10" s="4" t="n"/>
      <c r="K10" s="4" t="n"/>
      <c r="L10">
        <f>IF($A10="","",IF($G10="Completed","",IF(AND($F10&lt;&gt;"",$F10&lt;TODAY(),$G10&lt;&gt;"Completed"),"⚠ overdue",IF(AND($F10&lt;&gt;"",$F10&gt;=TODAY(),$F10-TODAY()&lt;=7),"⚠ due soon",""))))</f>
        <v/>
      </c>
    </row>
    <row r="11">
      <c r="A11" s="4" t="inlineStr">
        <is>
          <t>T8</t>
        </is>
      </c>
      <c r="B11" s="4" t="inlineStr">
        <is>
          <t>First 30 Days</t>
        </is>
      </c>
      <c r="C11" s="4" t="inlineStr">
        <is>
          <t>Notify life insurance carrier</t>
        </is>
      </c>
      <c r="D11" s="4" t="inlineStr">
        <is>
          <t>Financial</t>
        </is>
      </c>
      <c r="E11" s="4" t="inlineStr">
        <is>
          <t>Nadia Doyle</t>
        </is>
      </c>
      <c r="F11" s="27" t="n">
        <v>46212</v>
      </c>
      <c r="G11" s="4" t="inlineStr">
        <is>
          <t>Completed</t>
        </is>
      </c>
      <c r="H11" s="4" t="inlineStr">
        <is>
          <t>High</t>
        </is>
      </c>
      <c r="I11" s="4" t="n"/>
      <c r="J11" s="4" t="n"/>
      <c r="K11" s="4" t="inlineStr">
        <is>
          <t>Claim confirmation email</t>
        </is>
      </c>
      <c r="L11">
        <f>IF($A11="","",IF($G11="Completed","",IF(AND($F11&lt;&gt;"",$F11&lt;TODAY(),$G11&lt;&gt;"Completed"),"⚠ overdue",IF(AND($F11&lt;&gt;"",$F11&gt;=TODAY(),$F11-TODAY()&lt;=7),"⚠ due soon",""))))</f>
        <v/>
      </c>
    </row>
    <row r="12">
      <c r="A12" s="4" t="inlineStr">
        <is>
          <t>T9</t>
        </is>
      </c>
      <c r="B12" s="4" t="inlineStr">
        <is>
          <t>30-60 Days</t>
        </is>
      </c>
      <c r="C12" s="4" t="inlineStr">
        <is>
          <t>Respond to creditor claim -- Meridian Card Services</t>
        </is>
      </c>
      <c r="D12" s="4" t="inlineStr">
        <is>
          <t>Liabilities</t>
        </is>
      </c>
      <c r="E12" s="4" t="inlineStr">
        <is>
          <t>Nadia Doyle</t>
        </is>
      </c>
      <c r="F12" s="27" t="n">
        <v>46299</v>
      </c>
      <c r="G12" s="4" t="inlineStr">
        <is>
          <t>Open</t>
        </is>
      </c>
      <c r="H12" s="4" t="inlineStr">
        <is>
          <t>Medium</t>
        </is>
      </c>
      <c r="I12" s="4" t="inlineStr">
        <is>
          <t>Awaiting verified amount</t>
        </is>
      </c>
      <c r="J12" s="4" t="n"/>
      <c r="K12" s="4" t="n"/>
      <c r="L12">
        <f>IF($A12="","",IF($G12="Completed","",IF(AND($F12&lt;&gt;"",$F12&lt;TODAY(),$G12&lt;&gt;"Completed"),"⚠ overdue",IF(AND($F12&lt;&gt;"",$F12&gt;=TODAY(),$F12-TODAY()&lt;=7),"⚠ due soon",""))))</f>
        <v/>
      </c>
    </row>
    <row r="13">
      <c r="A13" s="4" t="inlineStr">
        <is>
          <t>T10</t>
        </is>
      </c>
      <c r="B13" s="4" t="inlineStr">
        <is>
          <t>60-90 Days</t>
        </is>
      </c>
      <c r="C13" s="4" t="inlineStr">
        <is>
          <t>Prepare beneficiary distribution schedule (draft)</t>
        </is>
      </c>
      <c r="D13" s="4" t="inlineStr">
        <is>
          <t>Distributions</t>
        </is>
      </c>
      <c r="E13" s="4" t="inlineStr">
        <is>
          <t>Nadia Doyle</t>
        </is>
      </c>
      <c r="F13" s="27" t="n">
        <v>46317</v>
      </c>
      <c r="G13" s="4" t="inlineStr">
        <is>
          <t>Open</t>
        </is>
      </c>
      <c r="H13" s="4" t="inlineStr">
        <is>
          <t>Medium</t>
        </is>
      </c>
      <c r="I13" s="4" t="inlineStr">
        <is>
          <t>Home appraisal</t>
        </is>
      </c>
      <c r="J13" s="27" t="n">
        <v>46307</v>
      </c>
      <c r="K13" s="4" t="n"/>
      <c r="L13">
        <f>IF($A13="","",IF($G13="Completed","",IF(AND($F13&lt;&gt;"",$F13&lt;TODAY(),$G13&lt;&gt;"Completed"),"⚠ overdue",IF(AND($F13&lt;&gt;"",$F13&gt;=TODAY(),$F13-TODAY()&lt;=7),"⚠ due soon",""))))</f>
        <v/>
      </c>
    </row>
    <row r="14">
      <c r="A14" s="4" t="inlineStr">
        <is>
          <t>T11</t>
        </is>
      </c>
      <c r="B14" s="4" t="inlineStr">
        <is>
          <t>30-60 Days</t>
        </is>
      </c>
      <c r="C14" s="4" t="inlineStr">
        <is>
          <t>Follow up on outstanding utility refund</t>
        </is>
      </c>
      <c r="D14" s="4" t="inlineStr">
        <is>
          <t>Financial</t>
        </is>
      </c>
      <c r="E14" s="4" t="inlineStr">
        <is>
          <t>Nadia Doyle</t>
        </is>
      </c>
      <c r="F14" s="27" t="n">
        <v>46284</v>
      </c>
      <c r="G14" s="4" t="inlineStr">
        <is>
          <t>Waiting</t>
        </is>
      </c>
      <c r="H14" s="4" t="inlineStr">
        <is>
          <t>Low</t>
        </is>
      </c>
      <c r="I14" s="4" t="n"/>
      <c r="J14" s="27" t="n">
        <v>46294</v>
      </c>
      <c r="K14" s="4" t="n"/>
      <c r="L14">
        <f>IF($A14="","",IF($G14="Completed","",IF(AND($F14&lt;&gt;"",$F14&lt;TODAY(),$G14&lt;&gt;"Completed"),"⚠ overdue",IF(AND($F14&lt;&gt;"",$F14&gt;=TODAY(),$F14-TODAY()&lt;=7),"⚠ due soon",""))))</f>
        <v/>
      </c>
    </row>
    <row r="15">
      <c r="A15" s="4" t="inlineStr">
        <is>
          <t>T12</t>
        </is>
      </c>
      <c r="B15" s="4" t="inlineStr">
        <is>
          <t>60-90 Days</t>
        </is>
      </c>
      <c r="C15" s="4" t="inlineStr">
        <is>
          <t>Confirm final property tax bill</t>
        </is>
      </c>
      <c r="D15" s="4" t="inlineStr">
        <is>
          <t>Liabilities</t>
        </is>
      </c>
      <c r="E15" s="4" t="inlineStr">
        <is>
          <t>Nadia Doyle</t>
        </is>
      </c>
      <c r="F15" s="27" t="n">
        <v>46312</v>
      </c>
      <c r="G15" s="4" t="inlineStr">
        <is>
          <t>Open</t>
        </is>
      </c>
      <c r="H15" s="4" t="inlineStr">
        <is>
          <t>Medium</t>
        </is>
      </c>
      <c r="I15" s="4" t="n"/>
      <c r="J15" s="4" t="n"/>
      <c r="K15" s="4" t="n"/>
      <c r="L15">
        <f>IF($A15="","",IF($G15="Completed","",IF(AND($F15&lt;&gt;"",$F15&lt;TODAY(),$G15&lt;&gt;"Completed"),"⚠ overdue",IF(AND($F15&lt;&gt;"",$F15&gt;=TODAY(),$F15-TODAY()&lt;=7),"⚠ due soon",""))))</f>
        <v/>
      </c>
    </row>
    <row r="16">
      <c r="A16" s="4" t="n"/>
      <c r="B16" s="4" t="n"/>
      <c r="C16" s="4" t="n"/>
      <c r="D16" s="4" t="n"/>
      <c r="E16" s="4" t="n"/>
      <c r="F16" s="4" t="n"/>
      <c r="G16" s="4" t="n"/>
      <c r="H16" s="4" t="n"/>
      <c r="I16" s="4" t="n"/>
      <c r="J16" s="4" t="n"/>
      <c r="K16" s="4" t="n"/>
      <c r="L16">
        <f>IF($A16="","",IF($G16="Completed","",IF(AND($F16&lt;&gt;"",$F16&lt;TODAY(),$G16&lt;&gt;"Completed"),"⚠ overdue",IF(AND($F16&lt;&gt;"",$F16&gt;=TODAY(),$F16-TODAY()&lt;=7),"⚠ due soon",""))))</f>
        <v/>
      </c>
    </row>
    <row r="17">
      <c r="A17" s="4" t="n"/>
      <c r="B17" s="4" t="n"/>
      <c r="C17" s="4" t="n"/>
      <c r="D17" s="4" t="n"/>
      <c r="E17" s="4" t="n"/>
      <c r="F17" s="27" t="n"/>
      <c r="G17" s="4" t="n"/>
      <c r="H17" s="4" t="n"/>
      <c r="I17" s="4" t="n"/>
      <c r="J17" s="27" t="n"/>
      <c r="K17" s="4" t="n"/>
      <c r="L17">
        <f>IF($A17="","",IF($G17="Completed","",IF(AND($F17&lt;&gt;"",$F17&lt;TODAY(),$G17&lt;&gt;"Completed"),"⚠ overdue",IF(AND($F17&lt;&gt;"",$F17&gt;=TODAY(),$F17-TODAY()&lt;=7),"⚠ due soon",""))))</f>
        <v/>
      </c>
    </row>
    <row r="18">
      <c r="A18" s="4" t="n"/>
      <c r="B18" s="4" t="n"/>
      <c r="C18" s="4" t="n"/>
      <c r="D18" s="4" t="n"/>
      <c r="E18" s="4" t="n"/>
      <c r="F18" s="27" t="n"/>
      <c r="G18" s="4" t="n"/>
      <c r="H18" s="4" t="n"/>
      <c r="I18" s="4" t="n"/>
      <c r="J18" s="27" t="n"/>
      <c r="K18" s="4" t="n"/>
      <c r="L18">
        <f>IF($A18="","",IF($G18="Completed","",IF(AND($F18&lt;&gt;"",$F18&lt;TODAY(),$G18&lt;&gt;"Completed"),"⚠ overdue",IF(AND($F18&lt;&gt;"",$F18&gt;=TODAY(),$F18-TODAY()&lt;=7),"⚠ due soon",""))))</f>
        <v/>
      </c>
    </row>
    <row r="19">
      <c r="A19" s="4" t="n"/>
      <c r="B19" s="4" t="n"/>
      <c r="C19" s="4" t="n"/>
      <c r="D19" s="4" t="n"/>
      <c r="E19" s="4" t="n"/>
      <c r="F19" s="27" t="n"/>
      <c r="G19" s="4" t="n"/>
      <c r="H19" s="4" t="n"/>
      <c r="I19" s="4" t="n"/>
      <c r="J19" s="27" t="n"/>
      <c r="K19" s="4" t="n"/>
      <c r="L19">
        <f>IF($A19="","",IF($G19="Completed","",IF(AND($F19&lt;&gt;"",$F19&lt;TODAY(),$G19&lt;&gt;"Completed"),"⚠ overdue",IF(AND($F19&lt;&gt;"",$F19&gt;=TODAY(),$F19-TODAY()&lt;=7),"⚠ due soon",""))))</f>
        <v/>
      </c>
    </row>
    <row r="20">
      <c r="A20" s="4" t="n"/>
      <c r="B20" s="4" t="n"/>
      <c r="C20" s="4" t="n"/>
      <c r="D20" s="4" t="n"/>
      <c r="E20" s="4" t="n"/>
      <c r="F20" s="27" t="n"/>
      <c r="G20" s="4" t="n"/>
      <c r="H20" s="4" t="n"/>
      <c r="I20" s="4" t="n"/>
      <c r="J20" s="27" t="n"/>
      <c r="K20" s="4" t="n"/>
      <c r="L20">
        <f>IF($A20="","",IF($G20="Completed","",IF(AND($F20&lt;&gt;"",$F20&lt;TODAY(),$G20&lt;&gt;"Completed"),"⚠ overdue",IF(AND($F20&lt;&gt;"",$F20&gt;=TODAY(),$F20-TODAY()&lt;=7),"⚠ due soon",""))))</f>
        <v/>
      </c>
    </row>
    <row r="21">
      <c r="A21" s="4" t="n"/>
      <c r="B21" s="4" t="n"/>
      <c r="C21" s="4" t="n"/>
      <c r="D21" s="4" t="n"/>
      <c r="E21" s="4" t="n"/>
      <c r="F21" s="27" t="n"/>
      <c r="G21" s="4" t="n"/>
      <c r="H21" s="4" t="n"/>
      <c r="I21" s="4" t="n"/>
      <c r="J21" s="27" t="n"/>
      <c r="K21" s="4" t="n"/>
      <c r="L21">
        <f>IF($A21="","",IF($G21="Completed","",IF(AND($F21&lt;&gt;"",$F21&lt;TODAY(),$G21&lt;&gt;"Completed"),"⚠ overdue",IF(AND($F21&lt;&gt;"",$F21&gt;=TODAY(),$F21-TODAY()&lt;=7),"⚠ due soon",""))))</f>
        <v/>
      </c>
    </row>
    <row r="22">
      <c r="A22" s="4" t="n"/>
      <c r="B22" s="4" t="n"/>
      <c r="C22" s="4" t="n"/>
      <c r="D22" s="4" t="n"/>
      <c r="E22" s="4" t="n"/>
      <c r="F22" s="27" t="n"/>
      <c r="G22" s="4" t="n"/>
      <c r="H22" s="4" t="n"/>
      <c r="I22" s="4" t="n"/>
      <c r="J22" s="27" t="n"/>
      <c r="K22" s="4" t="n"/>
      <c r="L22">
        <f>IF($A22="","",IF($G22="Completed","",IF(AND($F22&lt;&gt;"",$F22&lt;TODAY(),$G22&lt;&gt;"Completed"),"⚠ overdue",IF(AND($F22&lt;&gt;"",$F22&gt;=TODAY(),$F22-TODAY()&lt;=7),"⚠ due soon",""))))</f>
        <v/>
      </c>
    </row>
    <row r="23">
      <c r="A23" s="4" t="n"/>
      <c r="B23" s="4" t="n"/>
      <c r="C23" s="4" t="n"/>
      <c r="D23" s="4" t="n"/>
      <c r="E23" s="4" t="n"/>
      <c r="F23" s="27" t="n"/>
      <c r="G23" s="4" t="n"/>
      <c r="H23" s="4" t="n"/>
      <c r="I23" s="4" t="n"/>
      <c r="J23" s="27" t="n"/>
      <c r="K23" s="4" t="n"/>
      <c r="L23">
        <f>IF($A23="","",IF($G23="Completed","",IF(AND($F23&lt;&gt;"",$F23&lt;TODAY(),$G23&lt;&gt;"Completed"),"⚠ overdue",IF(AND($F23&lt;&gt;"",$F23&gt;=TODAY(),$F23-TODAY()&lt;=7),"⚠ due soon",""))))</f>
        <v/>
      </c>
    </row>
    <row r="24">
      <c r="A24" s="4" t="n"/>
      <c r="B24" s="4" t="n"/>
      <c r="C24" s="4" t="n"/>
      <c r="D24" s="4" t="n"/>
      <c r="E24" s="4" t="n"/>
      <c r="F24" s="27" t="n"/>
      <c r="G24" s="4" t="n"/>
      <c r="H24" s="4" t="n"/>
      <c r="I24" s="4" t="n"/>
      <c r="J24" s="27" t="n"/>
      <c r="K24" s="4" t="n"/>
      <c r="L24">
        <f>IF($A24="","",IF($G24="Completed","",IF(AND($F24&lt;&gt;"",$F24&lt;TODAY(),$G24&lt;&gt;"Completed"),"⚠ overdue",IF(AND($F24&lt;&gt;"",$F24&gt;=TODAY(),$F24-TODAY()&lt;=7),"⚠ due soon",""))))</f>
        <v/>
      </c>
    </row>
    <row r="25">
      <c r="A25" s="4" t="n"/>
      <c r="B25" s="4" t="n"/>
      <c r="C25" s="4" t="n"/>
      <c r="D25" s="4" t="n"/>
      <c r="E25" s="4" t="n"/>
      <c r="F25" s="27" t="n"/>
      <c r="G25" s="4" t="n"/>
      <c r="H25" s="4" t="n"/>
      <c r="I25" s="4" t="n"/>
      <c r="J25" s="27" t="n"/>
      <c r="K25" s="4" t="n"/>
      <c r="L25">
        <f>IF($A25="","",IF($G25="Completed","",IF(AND($F25&lt;&gt;"",$F25&lt;TODAY(),$G25&lt;&gt;"Completed"),"⚠ overdue",IF(AND($F25&lt;&gt;"",$F25&gt;=TODAY(),$F25-TODAY()&lt;=7),"⚠ due soon",""))))</f>
        <v/>
      </c>
    </row>
    <row r="26">
      <c r="A26" s="4" t="n"/>
      <c r="B26" s="4" t="n"/>
      <c r="C26" s="4" t="n"/>
      <c r="D26" s="4" t="n"/>
      <c r="E26" s="4" t="n"/>
      <c r="F26" s="27" t="n"/>
      <c r="G26" s="4" t="n"/>
      <c r="H26" s="4" t="n"/>
      <c r="I26" s="4" t="n"/>
      <c r="J26" s="27" t="n"/>
      <c r="K26" s="4" t="n"/>
      <c r="L26">
        <f>IF($A26="","",IF($G26="Completed","",IF(AND($F26&lt;&gt;"",$F26&lt;TODAY(),$G26&lt;&gt;"Completed"),"⚠ overdue",IF(AND($F26&lt;&gt;"",$F26&gt;=TODAY(),$F26-TODAY()&lt;=7),"⚠ due soon",""))))</f>
        <v/>
      </c>
    </row>
    <row r="27">
      <c r="A27" s="4" t="n"/>
      <c r="B27" s="4" t="n"/>
      <c r="C27" s="4" t="n"/>
      <c r="D27" s="4" t="n"/>
      <c r="E27" s="4" t="n"/>
      <c r="F27" s="27" t="n"/>
      <c r="G27" s="4" t="n"/>
      <c r="H27" s="4" t="n"/>
      <c r="I27" s="4" t="n"/>
      <c r="J27" s="27" t="n"/>
      <c r="K27" s="4" t="n"/>
      <c r="L27">
        <f>IF($A27="","",IF($G27="Completed","",IF(AND($F27&lt;&gt;"",$F27&lt;TODAY(),$G27&lt;&gt;"Completed"),"⚠ overdue",IF(AND($F27&lt;&gt;"",$F27&gt;=TODAY(),$F27-TODAY()&lt;=7),"⚠ due soon",""))))</f>
        <v/>
      </c>
    </row>
    <row r="28">
      <c r="A28" s="4" t="n"/>
      <c r="B28" s="4" t="n"/>
      <c r="C28" s="4" t="n"/>
      <c r="D28" s="4" t="n"/>
      <c r="E28" s="4" t="n"/>
      <c r="F28" s="27" t="n"/>
      <c r="G28" s="4" t="n"/>
      <c r="H28" s="4" t="n"/>
      <c r="I28" s="4" t="n"/>
      <c r="J28" s="27" t="n"/>
      <c r="K28" s="4" t="n"/>
      <c r="L28">
        <f>IF($A28="","",IF($G28="Completed","",IF(AND($F28&lt;&gt;"",$F28&lt;TODAY(),$G28&lt;&gt;"Completed"),"⚠ overdue",IF(AND($F28&lt;&gt;"",$F28&gt;=TODAY(),$F28-TODAY()&lt;=7),"⚠ due soon",""))))</f>
        <v/>
      </c>
    </row>
    <row r="29">
      <c r="A29" s="4" t="n"/>
      <c r="B29" s="4" t="n"/>
      <c r="C29" s="4" t="n"/>
      <c r="D29" s="4" t="n"/>
      <c r="E29" s="4" t="n"/>
      <c r="F29" s="27" t="n"/>
      <c r="G29" s="4" t="n"/>
      <c r="H29" s="4" t="n"/>
      <c r="I29" s="4" t="n"/>
      <c r="J29" s="27" t="n"/>
      <c r="K29" s="4" t="n"/>
      <c r="L29">
        <f>IF($A29="","",IF($G29="Completed","",IF(AND($F29&lt;&gt;"",$F29&lt;TODAY(),$G29&lt;&gt;"Completed"),"⚠ overdue",IF(AND($F29&lt;&gt;"",$F29&gt;=TODAY(),$F29-TODAY()&lt;=7),"⚠ due soon",""))))</f>
        <v/>
      </c>
    </row>
    <row r="30">
      <c r="A30" s="4" t="n"/>
      <c r="B30" s="4" t="n"/>
      <c r="C30" s="4" t="n"/>
      <c r="D30" s="4" t="n"/>
      <c r="E30" s="4" t="n"/>
      <c r="F30" s="27" t="n"/>
      <c r="G30" s="4" t="n"/>
      <c r="H30" s="4" t="n"/>
      <c r="I30" s="4" t="n"/>
      <c r="J30" s="27" t="n"/>
      <c r="K30" s="4" t="n"/>
      <c r="L30">
        <f>IF($A30="","",IF($G30="Completed","",IF(AND($F30&lt;&gt;"",$F30&lt;TODAY(),$G30&lt;&gt;"Completed"),"⚠ overdue",IF(AND($F30&lt;&gt;"",$F30&gt;=TODAY(),$F30-TODAY()&lt;=7),"⚠ due soon",""))))</f>
        <v/>
      </c>
    </row>
    <row r="31">
      <c r="A31" s="4" t="n"/>
      <c r="B31" s="4" t="n"/>
      <c r="C31" s="4" t="n"/>
      <c r="D31" s="4" t="n"/>
      <c r="E31" s="4" t="n"/>
      <c r="F31" s="27" t="n"/>
      <c r="G31" s="4" t="n"/>
      <c r="H31" s="4" t="n"/>
      <c r="I31" s="4" t="n"/>
      <c r="J31" s="27" t="n"/>
      <c r="K31" s="4" t="n"/>
      <c r="L31">
        <f>IF($A31="","",IF($G31="Completed","",IF(AND($F31&lt;&gt;"",$F31&lt;TODAY(),$G31&lt;&gt;"Completed"),"⚠ overdue",IF(AND($F31&lt;&gt;"",$F31&gt;=TODAY(),$F31-TODAY()&lt;=7),"⚠ due soon",""))))</f>
        <v/>
      </c>
    </row>
    <row r="32">
      <c r="A32" s="4" t="n"/>
      <c r="B32" s="4" t="n"/>
      <c r="C32" s="4" t="n"/>
      <c r="D32" s="4" t="n"/>
      <c r="E32" s="4" t="n"/>
      <c r="F32" s="27" t="n"/>
      <c r="G32" s="4" t="n"/>
      <c r="H32" s="4" t="n"/>
      <c r="I32" s="4" t="n"/>
      <c r="J32" s="27" t="n"/>
      <c r="K32" s="4" t="n"/>
      <c r="L32">
        <f>IF($A32="","",IF($G32="Completed","",IF(AND($F32&lt;&gt;"",$F32&lt;TODAY(),$G32&lt;&gt;"Completed"),"⚠ overdue",IF(AND($F32&lt;&gt;"",$F32&gt;=TODAY(),$F32-TODAY()&lt;=7),"⚠ due soon",""))))</f>
        <v/>
      </c>
    </row>
    <row r="33">
      <c r="A33" s="4" t="n"/>
      <c r="B33" s="4" t="n"/>
      <c r="C33" s="4" t="n"/>
      <c r="D33" s="4" t="n"/>
      <c r="E33" s="4" t="n"/>
      <c r="F33" s="27" t="n"/>
      <c r="G33" s="4" t="n"/>
      <c r="H33" s="4" t="n"/>
      <c r="I33" s="4" t="n"/>
      <c r="J33" s="27" t="n"/>
      <c r="K33" s="4" t="n"/>
      <c r="L33">
        <f>IF($A33="","",IF($G33="Completed","",IF(AND($F33&lt;&gt;"",$F33&lt;TODAY(),$G33&lt;&gt;"Completed"),"⚠ overdue",IF(AND($F33&lt;&gt;"",$F33&gt;=TODAY(),$F33-TODAY()&lt;=7),"⚠ due soon",""))))</f>
        <v/>
      </c>
    </row>
    <row r="34">
      <c r="A34" s="4" t="n"/>
      <c r="B34" s="4" t="n"/>
      <c r="C34" s="4" t="n"/>
      <c r="D34" s="4" t="n"/>
      <c r="E34" s="4" t="n"/>
      <c r="F34" s="27" t="n"/>
      <c r="G34" s="4" t="n"/>
      <c r="H34" s="4" t="n"/>
      <c r="I34" s="4" t="n"/>
      <c r="J34" s="27" t="n"/>
      <c r="K34" s="4" t="n"/>
      <c r="L34">
        <f>IF($A34="","",IF($G34="Completed","",IF(AND($F34&lt;&gt;"",$F34&lt;TODAY(),$G34&lt;&gt;"Completed"),"⚠ overdue",IF(AND($F34&lt;&gt;"",$F34&gt;=TODAY(),$F34-TODAY()&lt;=7),"⚠ due soon",""))))</f>
        <v/>
      </c>
    </row>
    <row r="35">
      <c r="A35" s="4" t="n"/>
      <c r="B35" s="4" t="n"/>
      <c r="C35" s="4" t="n"/>
      <c r="D35" s="4" t="n"/>
      <c r="E35" s="4" t="n"/>
      <c r="F35" s="27" t="n"/>
      <c r="G35" s="4" t="n"/>
      <c r="H35" s="4" t="n"/>
      <c r="I35" s="4" t="n"/>
      <c r="J35" s="27" t="n"/>
      <c r="K35" s="4" t="n"/>
      <c r="L35">
        <f>IF($A35="","",IF($G35="Completed","",IF(AND($F35&lt;&gt;"",$F35&lt;TODAY(),$G35&lt;&gt;"Completed"),"⚠ overdue",IF(AND($F35&lt;&gt;"",$F35&gt;=TODAY(),$F35-TODAY()&lt;=7),"⚠ due soon",""))))</f>
        <v/>
      </c>
    </row>
    <row r="36">
      <c r="A36" s="4" t="n"/>
      <c r="B36" s="4" t="n"/>
      <c r="C36" s="4" t="n"/>
      <c r="D36" s="4" t="n"/>
      <c r="E36" s="4" t="n"/>
      <c r="F36" s="27" t="n"/>
      <c r="G36" s="4" t="n"/>
      <c r="H36" s="4" t="n"/>
      <c r="I36" s="4" t="n"/>
      <c r="J36" s="27" t="n"/>
      <c r="K36" s="4" t="n"/>
      <c r="L36">
        <f>IF($A36="","",IF($G36="Completed","",IF(AND($F36&lt;&gt;"",$F36&lt;TODAY(),$G36&lt;&gt;"Completed"),"⚠ overdue",IF(AND($F36&lt;&gt;"",$F36&gt;=TODAY(),$F36-TODAY()&lt;=7),"⚠ due soon",""))))</f>
        <v/>
      </c>
    </row>
    <row r="37">
      <c r="A37" s="4" t="n"/>
      <c r="B37" s="4" t="n"/>
      <c r="C37" s="4" t="n"/>
      <c r="D37" s="4" t="n"/>
      <c r="E37" s="4" t="n"/>
      <c r="F37" s="27" t="n"/>
      <c r="G37" s="4" t="n"/>
      <c r="H37" s="4" t="n"/>
      <c r="I37" s="4" t="n"/>
      <c r="J37" s="27" t="n"/>
      <c r="K37" s="4" t="n"/>
      <c r="L37">
        <f>IF($A37="","",IF($G37="Completed","",IF(AND($F37&lt;&gt;"",$F37&lt;TODAY(),$G37&lt;&gt;"Completed"),"⚠ overdue",IF(AND($F37&lt;&gt;"",$F37&gt;=TODAY(),$F37-TODAY()&lt;=7),"⚠ due soon",""))))</f>
        <v/>
      </c>
    </row>
    <row r="38">
      <c r="A38" s="4" t="n"/>
      <c r="B38" s="4" t="n"/>
      <c r="C38" s="4" t="n"/>
      <c r="D38" s="4" t="n"/>
      <c r="E38" s="4" t="n"/>
      <c r="F38" s="27" t="n"/>
      <c r="G38" s="4" t="n"/>
      <c r="H38" s="4" t="n"/>
      <c r="I38" s="4" t="n"/>
      <c r="J38" s="27" t="n"/>
      <c r="K38" s="4" t="n"/>
      <c r="L38">
        <f>IF($A38="","",IF($G38="Completed","",IF(AND($F38&lt;&gt;"",$F38&lt;TODAY(),$G38&lt;&gt;"Completed"),"⚠ overdue",IF(AND($F38&lt;&gt;"",$F38&gt;=TODAY(),$F38-TODAY()&lt;=7),"⚠ due soon",""))))</f>
        <v/>
      </c>
    </row>
    <row r="39">
      <c r="A39" s="4" t="n"/>
      <c r="B39" s="4" t="n"/>
      <c r="C39" s="4" t="n"/>
      <c r="D39" s="4" t="n"/>
      <c r="E39" s="4" t="n"/>
      <c r="F39" s="27" t="n"/>
      <c r="G39" s="4" t="n"/>
      <c r="H39" s="4" t="n"/>
      <c r="I39" s="4" t="n"/>
      <c r="J39" s="27" t="n"/>
      <c r="K39" s="4" t="n"/>
      <c r="L39">
        <f>IF($A39="","",IF($G39="Completed","",IF(AND($F39&lt;&gt;"",$F39&lt;TODAY(),$G39&lt;&gt;"Completed"),"⚠ overdue",IF(AND($F39&lt;&gt;"",$F39&gt;=TODAY(),$F39-TODAY()&lt;=7),"⚠ due soon",""))))</f>
        <v/>
      </c>
    </row>
    <row r="40">
      <c r="A40" s="4" t="n"/>
      <c r="B40" s="4" t="n"/>
      <c r="C40" s="4" t="n"/>
      <c r="D40" s="4" t="n"/>
      <c r="E40" s="4" t="n"/>
      <c r="F40" s="27" t="n"/>
      <c r="G40" s="4" t="n"/>
      <c r="H40" s="4" t="n"/>
      <c r="I40" s="4" t="n"/>
      <c r="J40" s="27" t="n"/>
      <c r="K40" s="4" t="n"/>
      <c r="L40">
        <f>IF($A40="","",IF($G40="Completed","",IF(AND($F40&lt;&gt;"",$F40&lt;TODAY(),$G40&lt;&gt;"Completed"),"⚠ overdue",IF(AND($F40&lt;&gt;"",$F40&gt;=TODAY(),$F40-TODAY()&lt;=7),"⚠ due soon",""))))</f>
        <v/>
      </c>
    </row>
    <row r="41">
      <c r="A41" s="4" t="n"/>
      <c r="B41" s="4" t="n"/>
      <c r="C41" s="4" t="n"/>
      <c r="D41" s="4" t="n"/>
      <c r="E41" s="4" t="n"/>
      <c r="F41" s="27" t="n"/>
      <c r="G41" s="4" t="n"/>
      <c r="H41" s="4" t="n"/>
      <c r="I41" s="4" t="n"/>
      <c r="J41" s="27" t="n"/>
      <c r="K41" s="4" t="n"/>
      <c r="L41">
        <f>IF($A41="","",IF($G41="Completed","",IF(AND($F41&lt;&gt;"",$F41&lt;TODAY(),$G41&lt;&gt;"Completed"),"⚠ overdue",IF(AND($F41&lt;&gt;"",$F41&gt;=TODAY(),$F41-TODAY()&lt;=7),"⚠ due soon",""))))</f>
        <v/>
      </c>
    </row>
    <row r="42">
      <c r="A42" s="4" t="n"/>
      <c r="B42" s="4" t="n"/>
      <c r="C42" s="4" t="n"/>
      <c r="D42" s="4" t="n"/>
      <c r="E42" s="4" t="n"/>
      <c r="F42" s="27" t="n"/>
      <c r="G42" s="4" t="n"/>
      <c r="H42" s="4" t="n"/>
      <c r="I42" s="4" t="n"/>
      <c r="J42" s="27" t="n"/>
      <c r="K42" s="4" t="n"/>
      <c r="L42">
        <f>IF($A42="","",IF($G42="Completed","",IF(AND($F42&lt;&gt;"",$F42&lt;TODAY(),$G42&lt;&gt;"Completed"),"⚠ overdue",IF(AND($F42&lt;&gt;"",$F42&gt;=TODAY(),$F42-TODAY()&lt;=7),"⚠ due soon",""))))</f>
        <v/>
      </c>
    </row>
    <row r="43">
      <c r="A43" s="4" t="n"/>
      <c r="B43" s="4" t="n"/>
      <c r="C43" s="4" t="n"/>
      <c r="D43" s="4" t="n"/>
      <c r="E43" s="4" t="n"/>
      <c r="F43" s="27" t="n"/>
      <c r="G43" s="4" t="n"/>
      <c r="H43" s="4" t="n"/>
      <c r="I43" s="4" t="n"/>
      <c r="J43" s="27" t="n"/>
      <c r="K43" s="4" t="n"/>
      <c r="L43">
        <f>IF($A43="","",IF($G43="Completed","",IF(AND($F43&lt;&gt;"",$F43&lt;TODAY(),$G43&lt;&gt;"Completed"),"⚠ overdue",IF(AND($F43&lt;&gt;"",$F43&gt;=TODAY(),$F43-TODAY()&lt;=7),"⚠ due soon",""))))</f>
        <v/>
      </c>
    </row>
    <row r="44">
      <c r="A44" s="4" t="n"/>
      <c r="B44" s="4" t="n"/>
      <c r="C44" s="4" t="n"/>
      <c r="D44" s="4" t="n"/>
      <c r="E44" s="4" t="n"/>
      <c r="F44" s="27" t="n"/>
      <c r="G44" s="4" t="n"/>
      <c r="H44" s="4" t="n"/>
      <c r="I44" s="4" t="n"/>
      <c r="J44" s="27" t="n"/>
      <c r="K44" s="4" t="n"/>
      <c r="L44">
        <f>IF($A44="","",IF($G44="Completed","",IF(AND($F44&lt;&gt;"",$F44&lt;TODAY(),$G44&lt;&gt;"Completed"),"⚠ overdue",IF(AND($F44&lt;&gt;"",$F44&gt;=TODAY(),$F44-TODAY()&lt;=7),"⚠ due soon",""))))</f>
        <v/>
      </c>
    </row>
    <row r="45">
      <c r="A45" s="4" t="n"/>
      <c r="B45" s="4" t="n"/>
      <c r="C45" s="4" t="n"/>
      <c r="D45" s="4" t="n"/>
      <c r="E45" s="4" t="n"/>
      <c r="F45" s="27" t="n"/>
      <c r="G45" s="4" t="n"/>
      <c r="H45" s="4" t="n"/>
      <c r="I45" s="4" t="n"/>
      <c r="J45" s="27" t="n"/>
      <c r="K45" s="4" t="n"/>
      <c r="L45">
        <f>IF($A45="","",IF($G45="Completed","",IF(AND($F45&lt;&gt;"",$F45&lt;TODAY(),$G45&lt;&gt;"Completed"),"⚠ overdue",IF(AND($F45&lt;&gt;"",$F45&gt;=TODAY(),$F45-TODAY()&lt;=7),"⚠ due soon",""))))</f>
        <v/>
      </c>
    </row>
    <row r="46">
      <c r="A46" s="4" t="n"/>
      <c r="B46" s="4" t="n"/>
      <c r="C46" s="4" t="n"/>
      <c r="D46" s="4" t="n"/>
      <c r="E46" s="4" t="n"/>
      <c r="F46" s="27" t="n"/>
      <c r="G46" s="4" t="n"/>
      <c r="H46" s="4" t="n"/>
      <c r="I46" s="4" t="n"/>
      <c r="J46" s="27" t="n"/>
      <c r="K46" s="4" t="n"/>
      <c r="L46">
        <f>IF($A46="","",IF($G46="Completed","",IF(AND($F46&lt;&gt;"",$F46&lt;TODAY(),$G46&lt;&gt;"Completed"),"⚠ overdue",IF(AND($F46&lt;&gt;"",$F46&gt;=TODAY(),$F46-TODAY()&lt;=7),"⚠ due soon",""))))</f>
        <v/>
      </c>
    </row>
    <row r="47">
      <c r="A47" s="4" t="n"/>
      <c r="B47" s="4" t="n"/>
      <c r="C47" s="4" t="n"/>
      <c r="D47" s="4" t="n"/>
      <c r="E47" s="4" t="n"/>
      <c r="F47" s="27" t="n"/>
      <c r="G47" s="4" t="n"/>
      <c r="H47" s="4" t="n"/>
      <c r="I47" s="4" t="n"/>
      <c r="J47" s="27" t="n"/>
      <c r="K47" s="4" t="n"/>
      <c r="L47">
        <f>IF($A47="","",IF($G47="Completed","",IF(AND($F47&lt;&gt;"",$F47&lt;TODAY(),$G47&lt;&gt;"Completed"),"⚠ overdue",IF(AND($F47&lt;&gt;"",$F47&gt;=TODAY(),$F47-TODAY()&lt;=7),"⚠ due soon",""))))</f>
        <v/>
      </c>
    </row>
    <row r="48">
      <c r="A48" s="4" t="n"/>
      <c r="B48" s="4" t="n"/>
      <c r="C48" s="4" t="n"/>
      <c r="D48" s="4" t="n"/>
      <c r="E48" s="4" t="n"/>
      <c r="F48" s="27" t="n"/>
      <c r="G48" s="4" t="n"/>
      <c r="H48" s="4" t="n"/>
      <c r="I48" s="4" t="n"/>
      <c r="J48" s="27" t="n"/>
      <c r="K48" s="4" t="n"/>
      <c r="L48">
        <f>IF($A48="","",IF($G48="Completed","",IF(AND($F48&lt;&gt;"",$F48&lt;TODAY(),$G48&lt;&gt;"Completed"),"⚠ overdue",IF(AND($F48&lt;&gt;"",$F48&gt;=TODAY(),$F48-TODAY()&lt;=7),"⚠ due soon",""))))</f>
        <v/>
      </c>
    </row>
    <row r="49">
      <c r="A49" s="4" t="n"/>
      <c r="B49" s="4" t="n"/>
      <c r="C49" s="4" t="n"/>
      <c r="D49" s="4" t="n"/>
      <c r="E49" s="4" t="n"/>
      <c r="F49" s="27" t="n"/>
      <c r="G49" s="4" t="n"/>
      <c r="H49" s="4" t="n"/>
      <c r="I49" s="4" t="n"/>
      <c r="J49" s="27" t="n"/>
      <c r="K49" s="4" t="n"/>
      <c r="L49">
        <f>IF($A49="","",IF($G49="Completed","",IF(AND($F49&lt;&gt;"",$F49&lt;TODAY(),$G49&lt;&gt;"Completed"),"⚠ overdue",IF(AND($F49&lt;&gt;"",$F49&gt;=TODAY(),$F49-TODAY()&lt;=7),"⚠ due soon",""))))</f>
        <v/>
      </c>
    </row>
    <row r="50">
      <c r="A50" s="4" t="n"/>
      <c r="B50" s="4" t="n"/>
      <c r="C50" s="4" t="n"/>
      <c r="D50" s="4" t="n"/>
      <c r="E50" s="4" t="n"/>
      <c r="F50" s="27" t="n"/>
      <c r="G50" s="4" t="n"/>
      <c r="H50" s="4" t="n"/>
      <c r="I50" s="4" t="n"/>
      <c r="J50" s="27" t="n"/>
      <c r="K50" s="4" t="n"/>
      <c r="L50">
        <f>IF($A50="","",IF($G50="Completed","",IF(AND($F50&lt;&gt;"",$F50&lt;TODAY(),$G50&lt;&gt;"Completed"),"⚠ overdue",IF(AND($F50&lt;&gt;"",$F50&gt;=TODAY(),$F50-TODAY()&lt;=7),"⚠ due soon",""))))</f>
        <v/>
      </c>
    </row>
    <row r="51">
      <c r="A51" s="4" t="n"/>
      <c r="B51" s="4" t="n"/>
      <c r="C51" s="4" t="n"/>
      <c r="D51" s="4" t="n"/>
      <c r="E51" s="4" t="n"/>
      <c r="F51" s="27" t="n"/>
      <c r="G51" s="4" t="n"/>
      <c r="H51" s="4" t="n"/>
      <c r="I51" s="4" t="n"/>
      <c r="J51" s="27" t="n"/>
      <c r="K51" s="4" t="n"/>
      <c r="L51">
        <f>IF($A51="","",IF($G51="Completed","",IF(AND($F51&lt;&gt;"",$F51&lt;TODAY(),$G51&lt;&gt;"Completed"),"⚠ overdue",IF(AND($F51&lt;&gt;"",$F51&gt;=TODAY(),$F51-TODAY()&lt;=7),"⚠ due soon",""))))</f>
        <v/>
      </c>
    </row>
    <row r="52">
      <c r="A52" s="4" t="n"/>
      <c r="B52" s="4" t="n"/>
      <c r="C52" s="4" t="n"/>
      <c r="D52" s="4" t="n"/>
      <c r="E52" s="4" t="n"/>
      <c r="F52" s="27" t="n"/>
      <c r="G52" s="4" t="n"/>
      <c r="H52" s="4" t="n"/>
      <c r="I52" s="4" t="n"/>
      <c r="J52" s="27" t="n"/>
      <c r="K52" s="4" t="n"/>
      <c r="L52">
        <f>IF($A52="","",IF($G52="Completed","",IF(AND($F52&lt;&gt;"",$F52&lt;TODAY(),$G52&lt;&gt;"Completed"),"⚠ overdue",IF(AND($F52&lt;&gt;"",$F52&gt;=TODAY(),$F52-TODAY()&lt;=7),"⚠ due soon",""))))</f>
        <v/>
      </c>
    </row>
    <row r="53">
      <c r="A53" s="4" t="n"/>
      <c r="B53" s="4" t="n"/>
      <c r="C53" s="4" t="n"/>
      <c r="D53" s="4" t="n"/>
      <c r="E53" s="4" t="n"/>
      <c r="F53" s="27" t="n"/>
      <c r="G53" s="4" t="n"/>
      <c r="H53" s="4" t="n"/>
      <c r="I53" s="4" t="n"/>
      <c r="J53" s="27" t="n"/>
      <c r="K53" s="4" t="n"/>
      <c r="L53">
        <f>IF($A53="","",IF($G53="Completed","",IF(AND($F53&lt;&gt;"",$F53&lt;TODAY(),$G53&lt;&gt;"Completed"),"⚠ overdue",IF(AND($F53&lt;&gt;"",$F53&gt;=TODAY(),$F53-TODAY()&lt;=7),"⚠ due soon",""))))</f>
        <v/>
      </c>
    </row>
    <row r="54">
      <c r="A54" s="4" t="n"/>
      <c r="B54" s="4" t="n"/>
      <c r="C54" s="4" t="n"/>
      <c r="D54" s="4" t="n"/>
      <c r="E54" s="4" t="n"/>
      <c r="F54" s="27" t="n"/>
      <c r="G54" s="4" t="n"/>
      <c r="H54" s="4" t="n"/>
      <c r="I54" s="4" t="n"/>
      <c r="J54" s="27" t="n"/>
      <c r="K54" s="4" t="n"/>
      <c r="L54">
        <f>IF($A54="","",IF($G54="Completed","",IF(AND($F54&lt;&gt;"",$F54&lt;TODAY(),$G54&lt;&gt;"Completed"),"⚠ overdue",IF(AND($F54&lt;&gt;"",$F54&gt;=TODAY(),$F54-TODAY()&lt;=7),"⚠ due soon",""))))</f>
        <v/>
      </c>
    </row>
    <row r="55">
      <c r="A55" s="4" t="n"/>
      <c r="B55" s="4" t="n"/>
      <c r="C55" s="4" t="n"/>
      <c r="D55" s="4" t="n"/>
      <c r="E55" s="4" t="n"/>
      <c r="F55" s="27" t="n"/>
      <c r="G55" s="4" t="n"/>
      <c r="H55" s="4" t="n"/>
      <c r="I55" s="4" t="n"/>
      <c r="J55" s="27" t="n"/>
      <c r="K55" s="4" t="n"/>
      <c r="L55">
        <f>IF($A55="","",IF($G55="Completed","",IF(AND($F55&lt;&gt;"",$F55&lt;TODAY(),$G55&lt;&gt;"Completed"),"⚠ overdue",IF(AND($F55&lt;&gt;"",$F55&gt;=TODAY(),$F55-TODAY()&lt;=7),"⚠ due soon",""))))</f>
        <v/>
      </c>
    </row>
    <row r="56">
      <c r="A56" s="4" t="n"/>
      <c r="B56" s="4" t="n"/>
      <c r="C56" s="4" t="n"/>
      <c r="D56" s="4" t="n"/>
      <c r="E56" s="4" t="n"/>
      <c r="F56" s="27" t="n"/>
      <c r="G56" s="4" t="n"/>
      <c r="H56" s="4" t="n"/>
      <c r="I56" s="4" t="n"/>
      <c r="J56" s="27" t="n"/>
      <c r="K56" s="4" t="n"/>
      <c r="L56">
        <f>IF($A56="","",IF($G56="Completed","",IF(AND($F56&lt;&gt;"",$F56&lt;TODAY(),$G56&lt;&gt;"Completed"),"⚠ overdue",IF(AND($F56&lt;&gt;"",$F56&gt;=TODAY(),$F56-TODAY()&lt;=7),"⚠ due soon",""))))</f>
        <v/>
      </c>
    </row>
    <row r="57">
      <c r="A57" s="4" t="n"/>
      <c r="B57" s="4" t="n"/>
      <c r="C57" s="4" t="n"/>
      <c r="D57" s="4" t="n"/>
      <c r="E57" s="4" t="n"/>
      <c r="F57" s="27" t="n"/>
      <c r="G57" s="4" t="n"/>
      <c r="H57" s="4" t="n"/>
      <c r="I57" s="4" t="n"/>
      <c r="J57" s="27" t="n"/>
      <c r="K57" s="4" t="n"/>
      <c r="L57">
        <f>IF($A57="","",IF($G57="Completed","",IF(AND($F57&lt;&gt;"",$F57&lt;TODAY(),$G57&lt;&gt;"Completed"),"⚠ overdue",IF(AND($F57&lt;&gt;"",$F57&gt;=TODAY(),$F57-TODAY()&lt;=7),"⚠ due soon",""))))</f>
        <v/>
      </c>
    </row>
    <row r="58">
      <c r="A58" s="4" t="n"/>
      <c r="B58" s="4" t="n"/>
      <c r="C58" s="4" t="n"/>
      <c r="D58" s="4" t="n"/>
      <c r="E58" s="4" t="n"/>
      <c r="F58" s="27" t="n"/>
      <c r="G58" s="4" t="n"/>
      <c r="H58" s="4" t="n"/>
      <c r="I58" s="4" t="n"/>
      <c r="J58" s="27" t="n"/>
      <c r="K58" s="4" t="n"/>
      <c r="L58">
        <f>IF($A58="","",IF($G58="Completed","",IF(AND($F58&lt;&gt;"",$F58&lt;TODAY(),$G58&lt;&gt;"Completed"),"⚠ overdue",IF(AND($F58&lt;&gt;"",$F58&gt;=TODAY(),$F58-TODAY()&lt;=7),"⚠ due soon",""))))</f>
        <v/>
      </c>
    </row>
    <row r="59">
      <c r="A59" s="4" t="n"/>
      <c r="B59" s="4" t="n"/>
      <c r="C59" s="4" t="n"/>
      <c r="D59" s="4" t="n"/>
      <c r="E59" s="4" t="n"/>
      <c r="F59" s="27" t="n"/>
      <c r="G59" s="4" t="n"/>
      <c r="H59" s="4" t="n"/>
      <c r="I59" s="4" t="n"/>
      <c r="J59" s="27" t="n"/>
      <c r="K59" s="4" t="n"/>
      <c r="L59">
        <f>IF($A59="","",IF($G59="Completed","",IF(AND($F59&lt;&gt;"",$F59&lt;TODAY(),$G59&lt;&gt;"Completed"),"⚠ overdue",IF(AND($F59&lt;&gt;"",$F59&gt;=TODAY(),$F59-TODAY()&lt;=7),"⚠ due soon",""))))</f>
        <v/>
      </c>
    </row>
    <row r="60">
      <c r="A60" s="4" t="n"/>
      <c r="B60" s="4" t="n"/>
      <c r="C60" s="4" t="n"/>
      <c r="D60" s="4" t="n"/>
      <c r="E60" s="4" t="n"/>
      <c r="F60" s="27" t="n"/>
      <c r="G60" s="4" t="n"/>
      <c r="H60" s="4" t="n"/>
      <c r="I60" s="4" t="n"/>
      <c r="J60" s="27" t="n"/>
      <c r="K60" s="4" t="n"/>
      <c r="L60">
        <f>IF($A60="","",IF($G60="Completed","",IF(AND($F60&lt;&gt;"",$F60&lt;TODAY(),$G60&lt;&gt;"Completed"),"⚠ overdue",IF(AND($F60&lt;&gt;"",$F60&gt;=TODAY(),$F60-TODAY()&lt;=7),"⚠ due soon",""))))</f>
        <v/>
      </c>
    </row>
    <row r="61">
      <c r="A61" s="4" t="n"/>
      <c r="B61" s="4" t="n"/>
      <c r="C61" s="4" t="n"/>
      <c r="D61" s="4" t="n"/>
      <c r="E61" s="4" t="n"/>
      <c r="F61" s="27" t="n"/>
      <c r="G61" s="4" t="n"/>
      <c r="H61" s="4" t="n"/>
      <c r="I61" s="4" t="n"/>
      <c r="J61" s="27" t="n"/>
      <c r="K61" s="4" t="n"/>
      <c r="L61">
        <f>IF($A61="","",IF($G61="Completed","",IF(AND($F61&lt;&gt;"",$F61&lt;TODAY(),$G61&lt;&gt;"Completed"),"⚠ overdue",IF(AND($F61&lt;&gt;"",$F61&gt;=TODAY(),$F61-TODAY()&lt;=7),"⚠ due soon",""))))</f>
        <v/>
      </c>
    </row>
    <row r="62">
      <c r="A62" s="4" t="n"/>
      <c r="B62" s="4" t="n"/>
      <c r="C62" s="4" t="n"/>
      <c r="D62" s="4" t="n"/>
      <c r="E62" s="4" t="n"/>
      <c r="F62" s="27" t="n"/>
      <c r="G62" s="4" t="n"/>
      <c r="H62" s="4" t="n"/>
      <c r="I62" s="4" t="n"/>
      <c r="J62" s="27" t="n"/>
      <c r="K62" s="4" t="n"/>
      <c r="L62">
        <f>IF($A62="","",IF($G62="Completed","",IF(AND($F62&lt;&gt;"",$F62&lt;TODAY(),$G62&lt;&gt;"Completed"),"⚠ overdue",IF(AND($F62&lt;&gt;"",$F62&gt;=TODAY(),$F62-TODAY()&lt;=7),"⚠ due soon",""))))</f>
        <v/>
      </c>
    </row>
    <row r="63">
      <c r="A63" s="4" t="n"/>
      <c r="B63" s="4" t="n"/>
      <c r="C63" s="4" t="n"/>
      <c r="D63" s="4" t="n"/>
      <c r="E63" s="4" t="n"/>
      <c r="F63" s="27" t="n"/>
      <c r="G63" s="4" t="n"/>
      <c r="H63" s="4" t="n"/>
      <c r="I63" s="4" t="n"/>
      <c r="J63" s="27" t="n"/>
      <c r="K63" s="4" t="n"/>
      <c r="L63">
        <f>IF($A63="","",IF($G63="Completed","",IF(AND($F63&lt;&gt;"",$F63&lt;TODAY(),$G63&lt;&gt;"Completed"),"⚠ overdue",IF(AND($F63&lt;&gt;"",$F63&gt;=TODAY(),$F63-TODAY()&lt;=7),"⚠ due soon",""))))</f>
        <v/>
      </c>
    </row>
    <row r="64">
      <c r="A64" s="4" t="n"/>
      <c r="B64" s="4" t="n"/>
      <c r="C64" s="4" t="n"/>
      <c r="D64" s="4" t="n"/>
      <c r="E64" s="4" t="n"/>
      <c r="F64" s="27" t="n"/>
      <c r="G64" s="4" t="n"/>
      <c r="H64" s="4" t="n"/>
      <c r="I64" s="4" t="n"/>
      <c r="J64" s="27" t="n"/>
      <c r="K64" s="4" t="n"/>
      <c r="L64">
        <f>IF($A64="","",IF($G64="Completed","",IF(AND($F64&lt;&gt;"",$F64&lt;TODAY(),$G64&lt;&gt;"Completed"),"⚠ overdue",IF(AND($F64&lt;&gt;"",$F64&gt;=TODAY(),$F64-TODAY()&lt;=7),"⚠ due soon",""))))</f>
        <v/>
      </c>
    </row>
    <row r="65">
      <c r="A65" s="4" t="n"/>
      <c r="B65" s="4" t="n"/>
      <c r="C65" s="4" t="n"/>
      <c r="D65" s="4" t="n"/>
      <c r="E65" s="4" t="n"/>
      <c r="F65" s="27" t="n"/>
      <c r="G65" s="4" t="n"/>
      <c r="H65" s="4" t="n"/>
      <c r="I65" s="4" t="n"/>
      <c r="J65" s="27" t="n"/>
      <c r="K65" s="4" t="n"/>
      <c r="L65">
        <f>IF($A65="","",IF($G65="Completed","",IF(AND($F65&lt;&gt;"",$F65&lt;TODAY(),$G65&lt;&gt;"Completed"),"⚠ overdue",IF(AND($F65&lt;&gt;"",$F65&gt;=TODAY(),$F65-TODAY()&lt;=7),"⚠ due soon",""))))</f>
        <v/>
      </c>
    </row>
    <row r="66">
      <c r="A66" s="4" t="n"/>
      <c r="B66" s="4" t="n"/>
      <c r="C66" s="4" t="n"/>
      <c r="D66" s="4" t="n"/>
      <c r="E66" s="4" t="n"/>
      <c r="F66" s="27" t="n"/>
      <c r="G66" s="4" t="n"/>
      <c r="H66" s="4" t="n"/>
      <c r="I66" s="4" t="n"/>
      <c r="J66" s="27" t="n"/>
      <c r="K66" s="4" t="n"/>
      <c r="L66">
        <f>IF($A66="","",IF($G66="Completed","",IF(AND($F66&lt;&gt;"",$F66&lt;TODAY(),$G66&lt;&gt;"Completed"),"⚠ overdue",IF(AND($F66&lt;&gt;"",$F66&gt;=TODAY(),$F66-TODAY()&lt;=7),"⚠ due soon",""))))</f>
        <v/>
      </c>
    </row>
    <row r="67">
      <c r="A67" s="4" t="n"/>
      <c r="B67" s="4" t="n"/>
      <c r="C67" s="4" t="n"/>
      <c r="D67" s="4" t="n"/>
      <c r="E67" s="4" t="n"/>
      <c r="F67" s="27" t="n"/>
      <c r="G67" s="4" t="n"/>
      <c r="H67" s="4" t="n"/>
      <c r="I67" s="4" t="n"/>
      <c r="J67" s="27" t="n"/>
      <c r="K67" s="4" t="n"/>
      <c r="L67">
        <f>IF($A67="","",IF($G67="Completed","",IF(AND($F67&lt;&gt;"",$F67&lt;TODAY(),$G67&lt;&gt;"Completed"),"⚠ overdue",IF(AND($F67&lt;&gt;"",$F67&gt;=TODAY(),$F67-TODAY()&lt;=7),"⚠ due soon",""))))</f>
        <v/>
      </c>
    </row>
    <row r="68">
      <c r="A68" s="4" t="n"/>
      <c r="B68" s="4" t="n"/>
      <c r="C68" s="4" t="n"/>
      <c r="D68" s="4" t="n"/>
      <c r="E68" s="4" t="n"/>
      <c r="F68" s="27" t="n"/>
      <c r="G68" s="4" t="n"/>
      <c r="H68" s="4" t="n"/>
      <c r="I68" s="4" t="n"/>
      <c r="J68" s="27" t="n"/>
      <c r="K68" s="4" t="n"/>
      <c r="L68">
        <f>IF($A68="","",IF($G68="Completed","",IF(AND($F68&lt;&gt;"",$F68&lt;TODAY(),$G68&lt;&gt;"Completed"),"⚠ overdue",IF(AND($F68&lt;&gt;"",$F68&gt;=TODAY(),$F68-TODAY()&lt;=7),"⚠ due soon",""))))</f>
        <v/>
      </c>
    </row>
    <row r="69">
      <c r="A69" s="4" t="n"/>
      <c r="B69" s="4" t="n"/>
      <c r="C69" s="4" t="n"/>
      <c r="D69" s="4" t="n"/>
      <c r="E69" s="4" t="n"/>
      <c r="F69" s="27" t="n"/>
      <c r="G69" s="4" t="n"/>
      <c r="H69" s="4" t="n"/>
      <c r="I69" s="4" t="n"/>
      <c r="J69" s="27" t="n"/>
      <c r="K69" s="4" t="n"/>
      <c r="L69">
        <f>IF($A69="","",IF($G69="Completed","",IF(AND($F69&lt;&gt;"",$F69&lt;TODAY(),$G69&lt;&gt;"Completed"),"⚠ overdue",IF(AND($F69&lt;&gt;"",$F69&gt;=TODAY(),$F69-TODAY()&lt;=7),"⚠ due soon",""))))</f>
        <v/>
      </c>
    </row>
    <row r="70">
      <c r="A70" s="4" t="n"/>
      <c r="B70" s="4" t="n"/>
      <c r="C70" s="4" t="n"/>
      <c r="D70" s="4" t="n"/>
      <c r="E70" s="4" t="n"/>
      <c r="F70" s="27" t="n"/>
      <c r="G70" s="4" t="n"/>
      <c r="H70" s="4" t="n"/>
      <c r="I70" s="4" t="n"/>
      <c r="J70" s="27" t="n"/>
      <c r="K70" s="4" t="n"/>
      <c r="L70">
        <f>IF($A70="","",IF($G70="Completed","",IF(AND($F70&lt;&gt;"",$F70&lt;TODAY(),$G70&lt;&gt;"Completed"),"⚠ overdue",IF(AND($F70&lt;&gt;"",$F70&gt;=TODAY(),$F70-TODAY()&lt;=7),"⚠ due soon",""))))</f>
        <v/>
      </c>
    </row>
    <row r="71">
      <c r="A71" s="4" t="n"/>
      <c r="B71" s="4" t="n"/>
      <c r="C71" s="4" t="n"/>
      <c r="D71" s="4" t="n"/>
      <c r="E71" s="4" t="n"/>
      <c r="F71" s="27" t="n"/>
      <c r="G71" s="4" t="n"/>
      <c r="H71" s="4" t="n"/>
      <c r="I71" s="4" t="n"/>
      <c r="J71" s="27" t="n"/>
      <c r="K71" s="4" t="n"/>
      <c r="L71">
        <f>IF($A71="","",IF($G71="Completed","",IF(AND($F71&lt;&gt;"",$F71&lt;TODAY(),$G71&lt;&gt;"Completed"),"⚠ overdue",IF(AND($F71&lt;&gt;"",$F71&gt;=TODAY(),$F71-TODAY()&lt;=7),"⚠ due soon",""))))</f>
        <v/>
      </c>
    </row>
    <row r="72">
      <c r="A72" s="4" t="n"/>
      <c r="B72" s="4" t="n"/>
      <c r="C72" s="4" t="n"/>
      <c r="D72" s="4" t="n"/>
      <c r="E72" s="4" t="n"/>
      <c r="F72" s="27" t="n"/>
      <c r="G72" s="4" t="n"/>
      <c r="H72" s="4" t="n"/>
      <c r="I72" s="4" t="n"/>
      <c r="J72" s="27" t="n"/>
      <c r="K72" s="4" t="n"/>
      <c r="L72">
        <f>IF($A72="","",IF($G72="Completed","",IF(AND($F72&lt;&gt;"",$F72&lt;TODAY(),$G72&lt;&gt;"Completed"),"⚠ overdue",IF(AND($F72&lt;&gt;"",$F72&gt;=TODAY(),$F72-TODAY()&lt;=7),"⚠ due soon",""))))</f>
        <v/>
      </c>
    </row>
    <row r="73">
      <c r="A73" s="4" t="n"/>
      <c r="B73" s="4" t="n"/>
      <c r="C73" s="4" t="n"/>
      <c r="D73" s="4" t="n"/>
      <c r="E73" s="4" t="n"/>
      <c r="F73" s="27" t="n"/>
      <c r="G73" s="4" t="n"/>
      <c r="H73" s="4" t="n"/>
      <c r="I73" s="4" t="n"/>
      <c r="J73" s="27" t="n"/>
      <c r="K73" s="4" t="n"/>
      <c r="L73">
        <f>IF($A73="","",IF($G73="Completed","",IF(AND($F73&lt;&gt;"",$F73&lt;TODAY(),$G73&lt;&gt;"Completed"),"⚠ overdue",IF(AND($F73&lt;&gt;"",$F73&gt;=TODAY(),$F73-TODAY()&lt;=7),"⚠ due soon",""))))</f>
        <v/>
      </c>
    </row>
    <row r="74">
      <c r="A74" s="4" t="n"/>
      <c r="B74" s="4" t="n"/>
      <c r="C74" s="4" t="n"/>
      <c r="D74" s="4" t="n"/>
      <c r="E74" s="4" t="n"/>
      <c r="F74" s="27" t="n"/>
      <c r="G74" s="4" t="n"/>
      <c r="H74" s="4" t="n"/>
      <c r="I74" s="4" t="n"/>
      <c r="J74" s="27" t="n"/>
      <c r="K74" s="4" t="n"/>
      <c r="L74">
        <f>IF($A74="","",IF($G74="Completed","",IF(AND($F74&lt;&gt;"",$F74&lt;TODAY(),$G74&lt;&gt;"Completed"),"⚠ overdue",IF(AND($F74&lt;&gt;"",$F74&gt;=TODAY(),$F74-TODAY()&lt;=7),"⚠ due soon",""))))</f>
        <v/>
      </c>
    </row>
    <row r="75">
      <c r="A75" s="4" t="n"/>
      <c r="B75" s="4" t="n"/>
      <c r="C75" s="4" t="n"/>
      <c r="D75" s="4" t="n"/>
      <c r="E75" s="4" t="n"/>
      <c r="F75" s="27" t="n"/>
      <c r="G75" s="4" t="n"/>
      <c r="H75" s="4" t="n"/>
      <c r="I75" s="4" t="n"/>
      <c r="J75" s="27" t="n"/>
      <c r="K75" s="4" t="n"/>
      <c r="L75">
        <f>IF($A75="","",IF($G75="Completed","",IF(AND($F75&lt;&gt;"",$F75&lt;TODAY(),$G75&lt;&gt;"Completed"),"⚠ overdue",IF(AND($F75&lt;&gt;"",$F75&gt;=TODAY(),$F75-TODAY()&lt;=7),"⚠ due soon",""))))</f>
        <v/>
      </c>
    </row>
    <row r="76">
      <c r="A76" s="4" t="n"/>
      <c r="B76" s="4" t="n"/>
      <c r="C76" s="4" t="n"/>
      <c r="D76" s="4" t="n"/>
      <c r="E76" s="4" t="n"/>
      <c r="F76" s="27" t="n"/>
      <c r="G76" s="4" t="n"/>
      <c r="H76" s="4" t="n"/>
      <c r="I76" s="4" t="n"/>
      <c r="J76" s="27" t="n"/>
      <c r="K76" s="4" t="n"/>
      <c r="L76">
        <f>IF($A76="","",IF($G76="Completed","",IF(AND($F76&lt;&gt;"",$F76&lt;TODAY(),$G76&lt;&gt;"Completed"),"⚠ overdue",IF(AND($F76&lt;&gt;"",$F76&gt;=TODAY(),$F76-TODAY()&lt;=7),"⚠ due soon",""))))</f>
        <v/>
      </c>
    </row>
    <row r="77">
      <c r="A77" s="4" t="n"/>
      <c r="B77" s="4" t="n"/>
      <c r="C77" s="4" t="n"/>
      <c r="D77" s="4" t="n"/>
      <c r="E77" s="4" t="n"/>
      <c r="F77" s="27" t="n"/>
      <c r="G77" s="4" t="n"/>
      <c r="H77" s="4" t="n"/>
      <c r="I77" s="4" t="n"/>
      <c r="J77" s="27" t="n"/>
      <c r="K77" s="4" t="n"/>
      <c r="L77">
        <f>IF($A77="","",IF($G77="Completed","",IF(AND($F77&lt;&gt;"",$F77&lt;TODAY(),$G77&lt;&gt;"Completed"),"⚠ overdue",IF(AND($F77&lt;&gt;"",$F77&gt;=TODAY(),$F77-TODAY()&lt;=7),"⚠ due soon",""))))</f>
        <v/>
      </c>
    </row>
    <row r="78">
      <c r="A78" s="4" t="n"/>
      <c r="B78" s="4" t="n"/>
      <c r="C78" s="4" t="n"/>
      <c r="D78" s="4" t="n"/>
      <c r="E78" s="4" t="n"/>
      <c r="F78" s="27" t="n"/>
      <c r="G78" s="4" t="n"/>
      <c r="H78" s="4" t="n"/>
      <c r="I78" s="4" t="n"/>
      <c r="J78" s="27" t="n"/>
      <c r="K78" s="4" t="n"/>
      <c r="L78">
        <f>IF($A78="","",IF($G78="Completed","",IF(AND($F78&lt;&gt;"",$F78&lt;TODAY(),$G78&lt;&gt;"Completed"),"⚠ overdue",IF(AND($F78&lt;&gt;"",$F78&gt;=TODAY(),$F78-TODAY()&lt;=7),"⚠ due soon",""))))</f>
        <v/>
      </c>
    </row>
    <row r="79">
      <c r="A79" s="4" t="n"/>
      <c r="B79" s="4" t="n"/>
      <c r="C79" s="4" t="n"/>
      <c r="D79" s="4" t="n"/>
      <c r="E79" s="4" t="n"/>
      <c r="F79" s="27" t="n"/>
      <c r="G79" s="4" t="n"/>
      <c r="H79" s="4" t="n"/>
      <c r="I79" s="4" t="n"/>
      <c r="J79" s="27" t="n"/>
      <c r="K79" s="4" t="n"/>
      <c r="L79">
        <f>IF($A79="","",IF($G79="Completed","",IF(AND($F79&lt;&gt;"",$F79&lt;TODAY(),$G79&lt;&gt;"Completed"),"⚠ overdue",IF(AND($F79&lt;&gt;"",$F79&gt;=TODAY(),$F79-TODAY()&lt;=7),"⚠ due soon",""))))</f>
        <v/>
      </c>
    </row>
    <row r="80">
      <c r="A80" s="4" t="n"/>
      <c r="B80" s="4" t="n"/>
      <c r="C80" s="4" t="n"/>
      <c r="D80" s="4" t="n"/>
      <c r="E80" s="4" t="n"/>
      <c r="F80" s="27" t="n"/>
      <c r="G80" s="4" t="n"/>
      <c r="H80" s="4" t="n"/>
      <c r="I80" s="4" t="n"/>
      <c r="J80" s="27" t="n"/>
      <c r="K80" s="4" t="n"/>
      <c r="L80">
        <f>IF($A80="","",IF($G80="Completed","",IF(AND($F80&lt;&gt;"",$F80&lt;TODAY(),$G80&lt;&gt;"Completed"),"⚠ overdue",IF(AND($F80&lt;&gt;"",$F80&gt;=TODAY(),$F80-TODAY()&lt;=7),"⚠ due soon",""))))</f>
        <v/>
      </c>
    </row>
    <row r="81">
      <c r="A81" s="4" t="n"/>
      <c r="B81" s="4" t="n"/>
      <c r="C81" s="4" t="n"/>
      <c r="D81" s="4" t="n"/>
      <c r="E81" s="4" t="n"/>
      <c r="F81" s="27" t="n"/>
      <c r="G81" s="4" t="n"/>
      <c r="H81" s="4" t="n"/>
      <c r="I81" s="4" t="n"/>
      <c r="J81" s="27" t="n"/>
      <c r="K81" s="4" t="n"/>
      <c r="L81">
        <f>IF($A81="","",IF($G81="Completed","",IF(AND($F81&lt;&gt;"",$F81&lt;TODAY(),$G81&lt;&gt;"Completed"),"⚠ overdue",IF(AND($F81&lt;&gt;"",$F81&gt;=TODAY(),$F81-TODAY()&lt;=7),"⚠ due soon",""))))</f>
        <v/>
      </c>
    </row>
    <row r="82">
      <c r="A82" s="4" t="n"/>
      <c r="B82" s="4" t="n"/>
      <c r="C82" s="4" t="n"/>
      <c r="D82" s="4" t="n"/>
      <c r="E82" s="4" t="n"/>
      <c r="F82" s="27" t="n"/>
      <c r="G82" s="4" t="n"/>
      <c r="H82" s="4" t="n"/>
      <c r="I82" s="4" t="n"/>
      <c r="J82" s="27" t="n"/>
      <c r="K82" s="4" t="n"/>
      <c r="L82">
        <f>IF($A82="","",IF($G82="Completed","",IF(AND($F82&lt;&gt;"",$F82&lt;TODAY(),$G82&lt;&gt;"Completed"),"⚠ overdue",IF(AND($F82&lt;&gt;"",$F82&gt;=TODAY(),$F82-TODAY()&lt;=7),"⚠ due soon",""))))</f>
        <v/>
      </c>
    </row>
    <row r="83">
      <c r="A83" s="4" t="n"/>
      <c r="B83" s="4" t="n"/>
      <c r="C83" s="4" t="n"/>
      <c r="D83" s="4" t="n"/>
      <c r="E83" s="4" t="n"/>
      <c r="F83" s="27" t="n"/>
      <c r="G83" s="4" t="n"/>
      <c r="H83" s="4" t="n"/>
      <c r="I83" s="4" t="n"/>
      <c r="J83" s="27" t="n"/>
      <c r="K83" s="4" t="n"/>
      <c r="L83">
        <f>IF($A83="","",IF($G83="Completed","",IF(AND($F83&lt;&gt;"",$F83&lt;TODAY(),$G83&lt;&gt;"Completed"),"⚠ overdue",IF(AND($F83&lt;&gt;"",$F83&gt;=TODAY(),$F83-TODAY()&lt;=7),"⚠ due soon",""))))</f>
        <v/>
      </c>
    </row>
    <row r="84">
      <c r="A84" s="4" t="n"/>
      <c r="B84" s="4" t="n"/>
      <c r="C84" s="4" t="n"/>
      <c r="D84" s="4" t="n"/>
      <c r="E84" s="4" t="n"/>
      <c r="F84" s="27" t="n"/>
      <c r="G84" s="4" t="n"/>
      <c r="H84" s="4" t="n"/>
      <c r="I84" s="4" t="n"/>
      <c r="J84" s="27" t="n"/>
      <c r="K84" s="4" t="n"/>
      <c r="L84">
        <f>IF($A84="","",IF($G84="Completed","",IF(AND($F84&lt;&gt;"",$F84&lt;TODAY(),$G84&lt;&gt;"Completed"),"⚠ overdue",IF(AND($F84&lt;&gt;"",$F84&gt;=TODAY(),$F84-TODAY()&lt;=7),"⚠ due soon",""))))</f>
        <v/>
      </c>
    </row>
    <row r="85">
      <c r="A85" s="4" t="n"/>
      <c r="B85" s="4" t="n"/>
      <c r="C85" s="4" t="n"/>
      <c r="D85" s="4" t="n"/>
      <c r="E85" s="4" t="n"/>
      <c r="F85" s="27" t="n"/>
      <c r="G85" s="4" t="n"/>
      <c r="H85" s="4" t="n"/>
      <c r="I85" s="4" t="n"/>
      <c r="J85" s="27" t="n"/>
      <c r="K85" s="4" t="n"/>
      <c r="L85">
        <f>IF($A85="","",IF($G85="Completed","",IF(AND($F85&lt;&gt;"",$F85&lt;TODAY(),$G85&lt;&gt;"Completed"),"⚠ overdue",IF(AND($F85&lt;&gt;"",$F85&gt;=TODAY(),$F85-TODAY()&lt;=7),"⚠ due soon",""))))</f>
        <v/>
      </c>
    </row>
    <row r="86">
      <c r="A86" s="4" t="n"/>
      <c r="B86" s="4" t="n"/>
      <c r="C86" s="4" t="n"/>
      <c r="D86" s="4" t="n"/>
      <c r="E86" s="4" t="n"/>
      <c r="F86" s="27" t="n"/>
      <c r="G86" s="4" t="n"/>
      <c r="H86" s="4" t="n"/>
      <c r="I86" s="4" t="n"/>
      <c r="J86" s="27" t="n"/>
      <c r="K86" s="4" t="n"/>
      <c r="L86">
        <f>IF($A86="","",IF($G86="Completed","",IF(AND($F86&lt;&gt;"",$F86&lt;TODAY(),$G86&lt;&gt;"Completed"),"⚠ overdue",IF(AND($F86&lt;&gt;"",$F86&gt;=TODAY(),$F86-TODAY()&lt;=7),"⚠ due soon",""))))</f>
        <v/>
      </c>
    </row>
    <row r="87">
      <c r="A87" s="4" t="n"/>
      <c r="B87" s="4" t="n"/>
      <c r="C87" s="4" t="n"/>
      <c r="D87" s="4" t="n"/>
      <c r="E87" s="4" t="n"/>
      <c r="F87" s="27" t="n"/>
      <c r="G87" s="4" t="n"/>
      <c r="H87" s="4" t="n"/>
      <c r="I87" s="4" t="n"/>
      <c r="J87" s="27" t="n"/>
      <c r="K87" s="4" t="n"/>
      <c r="L87">
        <f>IF($A87="","",IF($G87="Completed","",IF(AND($F87&lt;&gt;"",$F87&lt;TODAY(),$G87&lt;&gt;"Completed"),"⚠ overdue",IF(AND($F87&lt;&gt;"",$F87&gt;=TODAY(),$F87-TODAY()&lt;=7),"⚠ due soon",""))))</f>
        <v/>
      </c>
    </row>
    <row r="88">
      <c r="A88" s="4" t="n"/>
      <c r="B88" s="4" t="n"/>
      <c r="C88" s="4" t="n"/>
      <c r="D88" s="4" t="n"/>
      <c r="E88" s="4" t="n"/>
      <c r="F88" s="27" t="n"/>
      <c r="G88" s="4" t="n"/>
      <c r="H88" s="4" t="n"/>
      <c r="I88" s="4" t="n"/>
      <c r="J88" s="27" t="n"/>
      <c r="K88" s="4" t="n"/>
      <c r="L88">
        <f>IF($A88="","",IF($G88="Completed","",IF(AND($F88&lt;&gt;"",$F88&lt;TODAY(),$G88&lt;&gt;"Completed"),"⚠ overdue",IF(AND($F88&lt;&gt;"",$F88&gt;=TODAY(),$F88-TODAY()&lt;=7),"⚠ due soon",""))))</f>
        <v/>
      </c>
    </row>
    <row r="89">
      <c r="A89" s="4" t="n"/>
      <c r="B89" s="4" t="n"/>
      <c r="C89" s="4" t="n"/>
      <c r="D89" s="4" t="n"/>
      <c r="E89" s="4" t="n"/>
      <c r="F89" s="27" t="n"/>
      <c r="G89" s="4" t="n"/>
      <c r="H89" s="4" t="n"/>
      <c r="I89" s="4" t="n"/>
      <c r="J89" s="27" t="n"/>
      <c r="K89" s="4" t="n"/>
      <c r="L89">
        <f>IF($A89="","",IF($G89="Completed","",IF(AND($F89&lt;&gt;"",$F89&lt;TODAY(),$G89&lt;&gt;"Completed"),"⚠ overdue",IF(AND($F89&lt;&gt;"",$F89&gt;=TODAY(),$F89-TODAY()&lt;=7),"⚠ due soon",""))))</f>
        <v/>
      </c>
    </row>
    <row r="90">
      <c r="A90" s="4" t="n"/>
      <c r="B90" s="4" t="n"/>
      <c r="C90" s="4" t="n"/>
      <c r="D90" s="4" t="n"/>
      <c r="E90" s="4" t="n"/>
      <c r="F90" s="27" t="n"/>
      <c r="G90" s="4" t="n"/>
      <c r="H90" s="4" t="n"/>
      <c r="I90" s="4" t="n"/>
      <c r="J90" s="27" t="n"/>
      <c r="K90" s="4" t="n"/>
      <c r="L90">
        <f>IF($A90="","",IF($G90="Completed","",IF(AND($F90&lt;&gt;"",$F90&lt;TODAY(),$G90&lt;&gt;"Completed"),"⚠ overdue",IF(AND($F90&lt;&gt;"",$F90&gt;=TODAY(),$F90-TODAY()&lt;=7),"⚠ due soon",""))))</f>
        <v/>
      </c>
    </row>
    <row r="91">
      <c r="A91" s="4" t="n"/>
      <c r="B91" s="4" t="n"/>
      <c r="C91" s="4" t="n"/>
      <c r="D91" s="4" t="n"/>
      <c r="E91" s="4" t="n"/>
      <c r="F91" s="27" t="n"/>
      <c r="G91" s="4" t="n"/>
      <c r="H91" s="4" t="n"/>
      <c r="I91" s="4" t="n"/>
      <c r="J91" s="27" t="n"/>
      <c r="K91" s="4" t="n"/>
      <c r="L91">
        <f>IF($A91="","",IF($G91="Completed","",IF(AND($F91&lt;&gt;"",$F91&lt;TODAY(),$G91&lt;&gt;"Completed"),"⚠ overdue",IF(AND($F91&lt;&gt;"",$F91&gt;=TODAY(),$F91-TODAY()&lt;=7),"⚠ due soon",""))))</f>
        <v/>
      </c>
    </row>
    <row r="92">
      <c r="A92" s="4" t="n"/>
      <c r="B92" s="4" t="n"/>
      <c r="C92" s="4" t="n"/>
      <c r="D92" s="4" t="n"/>
      <c r="E92" s="4" t="n"/>
      <c r="F92" s="27" t="n"/>
      <c r="G92" s="4" t="n"/>
      <c r="H92" s="4" t="n"/>
      <c r="I92" s="4" t="n"/>
      <c r="J92" s="27" t="n"/>
      <c r="K92" s="4" t="n"/>
      <c r="L92">
        <f>IF($A92="","",IF($G92="Completed","",IF(AND($F92&lt;&gt;"",$F92&lt;TODAY(),$G92&lt;&gt;"Completed"),"⚠ overdue",IF(AND($F92&lt;&gt;"",$F92&gt;=TODAY(),$F92-TODAY()&lt;=7),"⚠ due soon",""))))</f>
        <v/>
      </c>
    </row>
    <row r="93">
      <c r="A93" s="4" t="n"/>
      <c r="B93" s="4" t="n"/>
      <c r="C93" s="4" t="n"/>
      <c r="D93" s="4" t="n"/>
      <c r="E93" s="4" t="n"/>
      <c r="F93" s="27" t="n"/>
      <c r="G93" s="4" t="n"/>
      <c r="H93" s="4" t="n"/>
      <c r="I93" s="4" t="n"/>
      <c r="J93" s="27" t="n"/>
      <c r="K93" s="4" t="n"/>
      <c r="L93">
        <f>IF($A93="","",IF($G93="Completed","",IF(AND($F93&lt;&gt;"",$F93&lt;TODAY(),$G93&lt;&gt;"Completed"),"⚠ overdue",IF(AND($F93&lt;&gt;"",$F93&gt;=TODAY(),$F93-TODAY()&lt;=7),"⚠ due soon",""))))</f>
        <v/>
      </c>
    </row>
    <row r="94">
      <c r="A94" s="4" t="n"/>
      <c r="B94" s="4" t="n"/>
      <c r="C94" s="4" t="n"/>
      <c r="D94" s="4" t="n"/>
      <c r="E94" s="4" t="n"/>
      <c r="F94" s="27" t="n"/>
      <c r="G94" s="4" t="n"/>
      <c r="H94" s="4" t="n"/>
      <c r="I94" s="4" t="n"/>
      <c r="J94" s="27" t="n"/>
      <c r="K94" s="4" t="n"/>
      <c r="L94">
        <f>IF($A94="","",IF($G94="Completed","",IF(AND($F94&lt;&gt;"",$F94&lt;TODAY(),$G94&lt;&gt;"Completed"),"⚠ overdue",IF(AND($F94&lt;&gt;"",$F94&gt;=TODAY(),$F94-TODAY()&lt;=7),"⚠ due soon",""))))</f>
        <v/>
      </c>
    </row>
    <row r="95">
      <c r="A95" s="4" t="n"/>
      <c r="B95" s="4" t="n"/>
      <c r="C95" s="4" t="n"/>
      <c r="D95" s="4" t="n"/>
      <c r="E95" s="4" t="n"/>
      <c r="F95" s="27" t="n"/>
      <c r="G95" s="4" t="n"/>
      <c r="H95" s="4" t="n"/>
      <c r="I95" s="4" t="n"/>
      <c r="J95" s="27" t="n"/>
      <c r="K95" s="4" t="n"/>
      <c r="L95">
        <f>IF($A95="","",IF($G95="Completed","",IF(AND($F95&lt;&gt;"",$F95&lt;TODAY(),$G95&lt;&gt;"Completed"),"⚠ overdue",IF(AND($F95&lt;&gt;"",$F95&gt;=TODAY(),$F95-TODAY()&lt;=7),"⚠ due soon",""))))</f>
        <v/>
      </c>
    </row>
    <row r="96">
      <c r="A96" s="4" t="n"/>
      <c r="B96" s="4" t="n"/>
      <c r="C96" s="4" t="n"/>
      <c r="D96" s="4" t="n"/>
      <c r="E96" s="4" t="n"/>
      <c r="F96" s="27" t="n"/>
      <c r="G96" s="4" t="n"/>
      <c r="H96" s="4" t="n"/>
      <c r="I96" s="4" t="n"/>
      <c r="J96" s="27" t="n"/>
      <c r="K96" s="4" t="n"/>
      <c r="L96">
        <f>IF($A96="","",IF($G96="Completed","",IF(AND($F96&lt;&gt;"",$F96&lt;TODAY(),$G96&lt;&gt;"Completed"),"⚠ overdue",IF(AND($F96&lt;&gt;"",$F96&gt;=TODAY(),$F96-TODAY()&lt;=7),"⚠ due soon",""))))</f>
        <v/>
      </c>
    </row>
    <row r="97">
      <c r="A97" s="4" t="n"/>
      <c r="B97" s="4" t="n"/>
      <c r="C97" s="4" t="n"/>
      <c r="D97" s="4" t="n"/>
      <c r="E97" s="4" t="n"/>
      <c r="F97" s="27" t="n"/>
      <c r="G97" s="4" t="n"/>
      <c r="H97" s="4" t="n"/>
      <c r="I97" s="4" t="n"/>
      <c r="J97" s="27" t="n"/>
      <c r="K97" s="4" t="n"/>
      <c r="L97">
        <f>IF($A97="","",IF($G97="Completed","",IF(AND($F97&lt;&gt;"",$F97&lt;TODAY(),$G97&lt;&gt;"Completed"),"⚠ overdue",IF(AND($F97&lt;&gt;"",$F97&gt;=TODAY(),$F97-TODAY()&lt;=7),"⚠ due soon",""))))</f>
        <v/>
      </c>
    </row>
    <row r="98">
      <c r="A98" s="4" t="n"/>
      <c r="B98" s="4" t="n"/>
      <c r="C98" s="4" t="n"/>
      <c r="D98" s="4" t="n"/>
      <c r="E98" s="4" t="n"/>
      <c r="F98" s="27" t="n"/>
      <c r="G98" s="4" t="n"/>
      <c r="H98" s="4" t="n"/>
      <c r="I98" s="4" t="n"/>
      <c r="J98" s="27" t="n"/>
      <c r="K98" s="4" t="n"/>
      <c r="L98">
        <f>IF($A98="","",IF($G98="Completed","",IF(AND($F98&lt;&gt;"",$F98&lt;TODAY(),$G98&lt;&gt;"Completed"),"⚠ overdue",IF(AND($F98&lt;&gt;"",$F98&gt;=TODAY(),$F98-TODAY()&lt;=7),"⚠ due soon",""))))</f>
        <v/>
      </c>
    </row>
    <row r="99">
      <c r="A99" s="4" t="n"/>
      <c r="B99" s="4" t="n"/>
      <c r="C99" s="4" t="n"/>
      <c r="D99" s="4" t="n"/>
      <c r="E99" s="4" t="n"/>
      <c r="F99" s="27" t="n"/>
      <c r="G99" s="4" t="n"/>
      <c r="H99" s="4" t="n"/>
      <c r="I99" s="4" t="n"/>
      <c r="J99" s="27" t="n"/>
      <c r="K99" s="4" t="n"/>
      <c r="L99">
        <f>IF($A99="","",IF($G99="Completed","",IF(AND($F99&lt;&gt;"",$F99&lt;TODAY(),$G99&lt;&gt;"Completed"),"⚠ overdue",IF(AND($F99&lt;&gt;"",$F99&gt;=TODAY(),$F99-TODAY()&lt;=7),"⚠ due soon",""))))</f>
        <v/>
      </c>
    </row>
    <row r="100">
      <c r="A100" s="4" t="n"/>
      <c r="B100" s="4" t="n"/>
      <c r="C100" s="4" t="n"/>
      <c r="D100" s="4" t="n"/>
      <c r="E100" s="4" t="n"/>
      <c r="F100" s="27" t="n"/>
      <c r="G100" s="4" t="n"/>
      <c r="H100" s="4" t="n"/>
      <c r="I100" s="4" t="n"/>
      <c r="J100" s="27" t="n"/>
      <c r="K100" s="4" t="n"/>
      <c r="L100">
        <f>IF($A100="","",IF($G100="Completed","",IF(AND($F100&lt;&gt;"",$F100&lt;TODAY(),$G100&lt;&gt;"Completed"),"⚠ overdue",IF(AND($F100&lt;&gt;"",$F100&gt;=TODAY(),$F100-TODAY()&lt;=7),"⚠ due soon",""))))</f>
        <v/>
      </c>
    </row>
    <row r="101">
      <c r="A101" s="4" t="n"/>
      <c r="B101" s="4" t="n"/>
      <c r="C101" s="4" t="n"/>
      <c r="D101" s="4" t="n"/>
      <c r="E101" s="4" t="n"/>
      <c r="F101" s="27" t="n"/>
      <c r="G101" s="4" t="n"/>
      <c r="H101" s="4" t="n"/>
      <c r="I101" s="4" t="n"/>
      <c r="J101" s="27" t="n"/>
      <c r="K101" s="4" t="n"/>
      <c r="L101">
        <f>IF($A101="","",IF($G101="Completed","",IF(AND($F101&lt;&gt;"",$F101&lt;TODAY(),$G101&lt;&gt;"Completed"),"⚠ overdue",IF(AND($F101&lt;&gt;"",$F101&gt;=TODAY(),$F101-TODAY()&lt;=7),"⚠ due soon",""))))</f>
        <v/>
      </c>
    </row>
    <row r="102">
      <c r="A102" s="4" t="n"/>
      <c r="B102" s="4" t="n"/>
      <c r="C102" s="4" t="n"/>
      <c r="D102" s="4" t="n"/>
      <c r="E102" s="4" t="n"/>
      <c r="F102" s="27" t="n"/>
      <c r="G102" s="4" t="n"/>
      <c r="H102" s="4" t="n"/>
      <c r="I102" s="4" t="n"/>
      <c r="J102" s="27" t="n"/>
      <c r="K102" s="4" t="n"/>
      <c r="L102">
        <f>IF($A102="","",IF($G102="Completed","",IF(AND($F102&lt;&gt;"",$F102&lt;TODAY(),$G102&lt;&gt;"Completed"),"⚠ overdue",IF(AND($F102&lt;&gt;"",$F102&gt;=TODAY(),$F102-TODAY()&lt;=7),"⚠ due soon",""))))</f>
        <v/>
      </c>
    </row>
    <row r="103">
      <c r="A103" s="4" t="n"/>
      <c r="B103" s="4" t="n"/>
      <c r="C103" s="4" t="n"/>
      <c r="D103" s="4" t="n"/>
      <c r="E103" s="4" t="n"/>
      <c r="F103" s="27" t="n"/>
      <c r="G103" s="4" t="n"/>
      <c r="H103" s="4" t="n"/>
      <c r="I103" s="4" t="n"/>
      <c r="J103" s="27" t="n"/>
      <c r="K103" s="4" t="n"/>
      <c r="L103">
        <f>IF($A103="","",IF($G103="Completed","",IF(AND($F103&lt;&gt;"",$F103&lt;TODAY(),$G103&lt;&gt;"Completed"),"⚠ overdue",IF(AND($F103&lt;&gt;"",$F103&gt;=TODAY(),$F103-TODAY()&lt;=7),"⚠ due soon",""))))</f>
        <v/>
      </c>
    </row>
    <row r="104">
      <c r="A104" s="4" t="n"/>
      <c r="B104" s="4" t="n"/>
      <c r="C104" s="4" t="n"/>
      <c r="D104" s="4" t="n"/>
      <c r="E104" s="4" t="n"/>
      <c r="F104" s="27" t="n"/>
      <c r="G104" s="4" t="n"/>
      <c r="H104" s="4" t="n"/>
      <c r="I104" s="4" t="n"/>
      <c r="J104" s="27" t="n"/>
      <c r="K104" s="4" t="n"/>
      <c r="L104">
        <f>IF($A104="","",IF($G104="Completed","",IF(AND($F104&lt;&gt;"",$F104&lt;TODAY(),$G104&lt;&gt;"Completed"),"⚠ overdue",IF(AND($F104&lt;&gt;"",$F104&gt;=TODAY(),$F104-TODAY()&lt;=7),"⚠ due soon",""))))</f>
        <v/>
      </c>
    </row>
    <row r="105">
      <c r="A105" s="4" t="n"/>
      <c r="B105" s="4" t="n"/>
      <c r="C105" s="4" t="n"/>
      <c r="D105" s="4" t="n"/>
      <c r="E105" s="4" t="n"/>
      <c r="F105" s="27" t="n"/>
      <c r="G105" s="4" t="n"/>
      <c r="H105" s="4" t="n"/>
      <c r="I105" s="4" t="n"/>
      <c r="J105" s="27" t="n"/>
      <c r="K105" s="4" t="n"/>
      <c r="L105">
        <f>IF($A105="","",IF($G105="Completed","",IF(AND($F105&lt;&gt;"",$F105&lt;TODAY(),$G105&lt;&gt;"Completed"),"⚠ overdue",IF(AND($F105&lt;&gt;"",$F105&gt;=TODAY(),$F105-TODAY()&lt;=7),"⚠ due soon",""))))</f>
        <v/>
      </c>
    </row>
    <row r="106">
      <c r="A106" s="4" t="n"/>
      <c r="B106" s="4" t="n"/>
      <c r="C106" s="4" t="n"/>
      <c r="D106" s="4" t="n"/>
      <c r="E106" s="4" t="n"/>
      <c r="F106" s="27" t="n"/>
      <c r="G106" s="4" t="n"/>
      <c r="H106" s="4" t="n"/>
      <c r="I106" s="4" t="n"/>
      <c r="J106" s="27" t="n"/>
      <c r="K106" s="4" t="n"/>
      <c r="L106">
        <f>IF($A106="","",IF($G106="Completed","",IF(AND($F106&lt;&gt;"",$F106&lt;TODAY(),$G106&lt;&gt;"Completed"),"⚠ overdue",IF(AND($F106&lt;&gt;"",$F106&gt;=TODAY(),$F106-TODAY()&lt;=7),"⚠ due soon",""))))</f>
        <v/>
      </c>
    </row>
    <row r="107">
      <c r="A107" s="4" t="n"/>
      <c r="B107" s="4" t="n"/>
      <c r="C107" s="4" t="n"/>
      <c r="D107" s="4" t="n"/>
      <c r="E107" s="4" t="n"/>
      <c r="F107" s="27" t="n"/>
      <c r="G107" s="4" t="n"/>
      <c r="H107" s="4" t="n"/>
      <c r="I107" s="4" t="n"/>
      <c r="J107" s="27" t="n"/>
      <c r="K107" s="4" t="n"/>
      <c r="L107">
        <f>IF($A107="","",IF($G107="Completed","",IF(AND($F107&lt;&gt;"",$F107&lt;TODAY(),$G107&lt;&gt;"Completed"),"⚠ overdue",IF(AND($F107&lt;&gt;"",$F107&gt;=TODAY(),$F107-TODAY()&lt;=7),"⚠ due soon",""))))</f>
        <v/>
      </c>
    </row>
    <row r="108">
      <c r="A108" s="4" t="n"/>
      <c r="B108" s="4" t="n"/>
      <c r="C108" s="4" t="n"/>
      <c r="D108" s="4" t="n"/>
      <c r="E108" s="4" t="n"/>
      <c r="F108" s="27" t="n"/>
      <c r="G108" s="4" t="n"/>
      <c r="H108" s="4" t="n"/>
      <c r="I108" s="4" t="n"/>
      <c r="J108" s="27" t="n"/>
      <c r="K108" s="4" t="n"/>
      <c r="L108">
        <f>IF($A108="","",IF($G108="Completed","",IF(AND($F108&lt;&gt;"",$F108&lt;TODAY(),$G108&lt;&gt;"Completed"),"⚠ overdue",IF(AND($F108&lt;&gt;"",$F108&gt;=TODAY(),$F108-TODAY()&lt;=7),"⚠ due soon",""))))</f>
        <v/>
      </c>
    </row>
    <row r="109">
      <c r="A109" s="4" t="n"/>
      <c r="B109" s="4" t="n"/>
      <c r="C109" s="4" t="n"/>
      <c r="D109" s="4" t="n"/>
      <c r="E109" s="4" t="n"/>
      <c r="F109" s="27" t="n"/>
      <c r="G109" s="4" t="n"/>
      <c r="H109" s="4" t="n"/>
      <c r="I109" s="4" t="n"/>
      <c r="J109" s="27" t="n"/>
      <c r="K109" s="4" t="n"/>
      <c r="L109">
        <f>IF($A109="","",IF($G109="Completed","",IF(AND($F109&lt;&gt;"",$F109&lt;TODAY(),$G109&lt;&gt;"Completed"),"⚠ overdue",IF(AND($F109&lt;&gt;"",$F109&gt;=TODAY(),$F109-TODAY()&lt;=7),"⚠ due soon",""))))</f>
        <v/>
      </c>
    </row>
    <row r="110">
      <c r="A110" s="4" t="n"/>
      <c r="B110" s="4" t="n"/>
      <c r="C110" s="4" t="n"/>
      <c r="D110" s="4" t="n"/>
      <c r="E110" s="4" t="n"/>
      <c r="F110" s="27" t="n"/>
      <c r="G110" s="4" t="n"/>
      <c r="H110" s="4" t="n"/>
      <c r="I110" s="4" t="n"/>
      <c r="J110" s="27" t="n"/>
      <c r="K110" s="4" t="n"/>
      <c r="L110">
        <f>IF($A110="","",IF($G110="Completed","",IF(AND($F110&lt;&gt;"",$F110&lt;TODAY(),$G110&lt;&gt;"Completed"),"⚠ overdue",IF(AND($F110&lt;&gt;"",$F110&gt;=TODAY(),$F110-TODAY()&lt;=7),"⚠ due soon",""))))</f>
        <v/>
      </c>
    </row>
    <row r="111">
      <c r="A111" s="4" t="n"/>
      <c r="B111" s="4" t="n"/>
      <c r="C111" s="4" t="n"/>
      <c r="D111" s="4" t="n"/>
      <c r="E111" s="4" t="n"/>
      <c r="F111" s="27" t="n"/>
      <c r="G111" s="4" t="n"/>
      <c r="H111" s="4" t="n"/>
      <c r="I111" s="4" t="n"/>
      <c r="J111" s="27" t="n"/>
      <c r="K111" s="4" t="n"/>
      <c r="L111">
        <f>IF($A111="","",IF($G111="Completed","",IF(AND($F111&lt;&gt;"",$F111&lt;TODAY(),$G111&lt;&gt;"Completed"),"⚠ overdue",IF(AND($F111&lt;&gt;"",$F111&gt;=TODAY(),$F111-TODAY()&lt;=7),"⚠ due soon",""))))</f>
        <v/>
      </c>
    </row>
    <row r="112">
      <c r="A112" s="4" t="n"/>
      <c r="B112" s="4" t="n"/>
      <c r="C112" s="4" t="n"/>
      <c r="D112" s="4" t="n"/>
      <c r="E112" s="4" t="n"/>
      <c r="F112" s="27" t="n"/>
      <c r="G112" s="4" t="n"/>
      <c r="H112" s="4" t="n"/>
      <c r="I112" s="4" t="n"/>
      <c r="J112" s="27" t="n"/>
      <c r="K112" s="4" t="n"/>
      <c r="L112">
        <f>IF($A112="","",IF($G112="Completed","",IF(AND($F112&lt;&gt;"",$F112&lt;TODAY(),$G112&lt;&gt;"Completed"),"⚠ overdue",IF(AND($F112&lt;&gt;"",$F112&gt;=TODAY(),$F112-TODAY()&lt;=7),"⚠ due soon",""))))</f>
        <v/>
      </c>
    </row>
    <row r="113">
      <c r="A113" s="4" t="n"/>
      <c r="B113" s="4" t="n"/>
      <c r="C113" s="4" t="n"/>
      <c r="D113" s="4" t="n"/>
      <c r="E113" s="4" t="n"/>
      <c r="F113" s="27" t="n"/>
      <c r="G113" s="4" t="n"/>
      <c r="H113" s="4" t="n"/>
      <c r="I113" s="4" t="n"/>
      <c r="J113" s="27" t="n"/>
      <c r="K113" s="4" t="n"/>
      <c r="L113">
        <f>IF($A113="","",IF($G113="Completed","",IF(AND($F113&lt;&gt;"",$F113&lt;TODAY(),$G113&lt;&gt;"Completed"),"⚠ overdue",IF(AND($F113&lt;&gt;"",$F113&gt;=TODAY(),$F113-TODAY()&lt;=7),"⚠ due soon",""))))</f>
        <v/>
      </c>
    </row>
    <row r="114">
      <c r="A114" s="4" t="n"/>
      <c r="B114" s="4" t="n"/>
      <c r="C114" s="4" t="n"/>
      <c r="D114" s="4" t="n"/>
      <c r="E114" s="4" t="n"/>
      <c r="F114" s="27" t="n"/>
      <c r="G114" s="4" t="n"/>
      <c r="H114" s="4" t="n"/>
      <c r="I114" s="4" t="n"/>
      <c r="J114" s="27" t="n"/>
      <c r="K114" s="4" t="n"/>
      <c r="L114">
        <f>IF($A114="","",IF($G114="Completed","",IF(AND($F114&lt;&gt;"",$F114&lt;TODAY(),$G114&lt;&gt;"Completed"),"⚠ overdue",IF(AND($F114&lt;&gt;"",$F114&gt;=TODAY(),$F114-TODAY()&lt;=7),"⚠ due soon",""))))</f>
        <v/>
      </c>
    </row>
    <row r="115">
      <c r="A115" s="4" t="n"/>
      <c r="B115" s="4" t="n"/>
      <c r="C115" s="4" t="n"/>
      <c r="D115" s="4" t="n"/>
      <c r="E115" s="4" t="n"/>
      <c r="F115" s="27" t="n"/>
      <c r="G115" s="4" t="n"/>
      <c r="H115" s="4" t="n"/>
      <c r="I115" s="4" t="n"/>
      <c r="J115" s="27" t="n"/>
      <c r="K115" s="4" t="n"/>
      <c r="L115">
        <f>IF($A115="","",IF($G115="Completed","",IF(AND($F115&lt;&gt;"",$F115&lt;TODAY(),$G115&lt;&gt;"Completed"),"⚠ overdue",IF(AND($F115&lt;&gt;"",$F115&gt;=TODAY(),$F115-TODAY()&lt;=7),"⚠ due soon",""))))</f>
        <v/>
      </c>
    </row>
    <row r="116">
      <c r="A116" s="4" t="n"/>
      <c r="B116" s="4" t="n"/>
      <c r="C116" s="4" t="n"/>
      <c r="D116" s="4" t="n"/>
      <c r="E116" s="4" t="n"/>
      <c r="F116" s="27" t="n"/>
      <c r="G116" s="4" t="n"/>
      <c r="H116" s="4" t="n"/>
      <c r="I116" s="4" t="n"/>
      <c r="J116" s="27" t="n"/>
      <c r="K116" s="4" t="n"/>
      <c r="L116">
        <f>IF($A116="","",IF($G116="Completed","",IF(AND($F116&lt;&gt;"",$F116&lt;TODAY(),$G116&lt;&gt;"Completed"),"⚠ overdue",IF(AND($F116&lt;&gt;"",$F116&gt;=TODAY(),$F116-TODAY()&lt;=7),"⚠ due soon",""))))</f>
        <v/>
      </c>
    </row>
    <row r="117">
      <c r="A117" s="4" t="n"/>
      <c r="B117" s="4" t="n"/>
      <c r="C117" s="4" t="n"/>
      <c r="D117" s="4" t="n"/>
      <c r="E117" s="4" t="n"/>
      <c r="F117" s="27" t="n"/>
      <c r="G117" s="4" t="n"/>
      <c r="H117" s="4" t="n"/>
      <c r="I117" s="4" t="n"/>
      <c r="J117" s="27" t="n"/>
      <c r="K117" s="4" t="n"/>
      <c r="L117">
        <f>IF($A117="","",IF($G117="Completed","",IF(AND($F117&lt;&gt;"",$F117&lt;TODAY(),$G117&lt;&gt;"Completed"),"⚠ overdue",IF(AND($F117&lt;&gt;"",$F117&gt;=TODAY(),$F117-TODAY()&lt;=7),"⚠ due soon",""))))</f>
        <v/>
      </c>
    </row>
    <row r="118">
      <c r="A118" s="4" t="n"/>
      <c r="B118" s="4" t="n"/>
      <c r="C118" s="4" t="n"/>
      <c r="D118" s="4" t="n"/>
      <c r="E118" s="4" t="n"/>
      <c r="F118" s="27" t="n"/>
      <c r="G118" s="4" t="n"/>
      <c r="H118" s="4" t="n"/>
      <c r="I118" s="4" t="n"/>
      <c r="J118" s="27" t="n"/>
      <c r="K118" s="4" t="n"/>
      <c r="L118">
        <f>IF($A118="","",IF($G118="Completed","",IF(AND($F118&lt;&gt;"",$F118&lt;TODAY(),$G118&lt;&gt;"Completed"),"⚠ overdue",IF(AND($F118&lt;&gt;"",$F118&gt;=TODAY(),$F118-TODAY()&lt;=7),"⚠ due soon",""))))</f>
        <v/>
      </c>
    </row>
    <row r="119">
      <c r="A119" s="4" t="n"/>
      <c r="B119" s="4" t="n"/>
      <c r="C119" s="4" t="n"/>
      <c r="D119" s="4" t="n"/>
      <c r="E119" s="4" t="n"/>
      <c r="F119" s="27" t="n"/>
      <c r="G119" s="4" t="n"/>
      <c r="H119" s="4" t="n"/>
      <c r="I119" s="4" t="n"/>
      <c r="J119" s="27" t="n"/>
      <c r="K119" s="4" t="n"/>
      <c r="L119">
        <f>IF($A119="","",IF($G119="Completed","",IF(AND($F119&lt;&gt;"",$F119&lt;TODAY(),$G119&lt;&gt;"Completed"),"⚠ overdue",IF(AND($F119&lt;&gt;"",$F119&gt;=TODAY(),$F119-TODAY()&lt;=7),"⚠ due soon",""))))</f>
        <v/>
      </c>
    </row>
    <row r="120">
      <c r="A120" s="4" t="n"/>
      <c r="B120" s="4" t="n"/>
      <c r="C120" s="4" t="n"/>
      <c r="D120" s="4" t="n"/>
      <c r="E120" s="4" t="n"/>
      <c r="F120" s="27" t="n"/>
      <c r="G120" s="4" t="n"/>
      <c r="H120" s="4" t="n"/>
      <c r="I120" s="4" t="n"/>
      <c r="J120" s="27" t="n"/>
      <c r="K120" s="4" t="n"/>
      <c r="L120">
        <f>IF($A120="","",IF($G120="Completed","",IF(AND($F120&lt;&gt;"",$F120&lt;TODAY(),$G120&lt;&gt;"Completed"),"⚠ overdue",IF(AND($F120&lt;&gt;"",$F120&gt;=TODAY(),$F120-TODAY()&lt;=7),"⚠ due soon",""))))</f>
        <v/>
      </c>
    </row>
    <row r="121">
      <c r="A121" s="4" t="n"/>
      <c r="B121" s="4" t="n"/>
      <c r="C121" s="4" t="n"/>
      <c r="D121" s="4" t="n"/>
      <c r="E121" s="4" t="n"/>
      <c r="F121" s="27" t="n"/>
      <c r="G121" s="4" t="n"/>
      <c r="H121" s="4" t="n"/>
      <c r="I121" s="4" t="n"/>
      <c r="J121" s="27" t="n"/>
      <c r="K121" s="4" t="n"/>
      <c r="L121">
        <f>IF($A121="","",IF($G121="Completed","",IF(AND($F121&lt;&gt;"",$F121&lt;TODAY(),$G121&lt;&gt;"Completed"),"⚠ overdue",IF(AND($F121&lt;&gt;"",$F121&gt;=TODAY(),$F121-TODAY()&lt;=7),"⚠ due soon",""))))</f>
        <v/>
      </c>
    </row>
    <row r="122">
      <c r="A122" s="4" t="n"/>
      <c r="B122" s="4" t="n"/>
      <c r="C122" s="4" t="n"/>
      <c r="D122" s="4" t="n"/>
      <c r="E122" s="4" t="n"/>
      <c r="F122" s="27" t="n"/>
      <c r="G122" s="4" t="n"/>
      <c r="H122" s="4" t="n"/>
      <c r="I122" s="4" t="n"/>
      <c r="J122" s="27" t="n"/>
      <c r="K122" s="4" t="n"/>
      <c r="L122">
        <f>IF($A122="","",IF($G122="Completed","",IF(AND($F122&lt;&gt;"",$F122&lt;TODAY(),$G122&lt;&gt;"Completed"),"⚠ overdue",IF(AND($F122&lt;&gt;"",$F122&gt;=TODAY(),$F122-TODAY()&lt;=7),"⚠ due soon",""))))</f>
        <v/>
      </c>
    </row>
    <row r="123">
      <c r="A123" s="4" t="n"/>
      <c r="B123" s="4" t="n"/>
      <c r="C123" s="4" t="n"/>
      <c r="D123" s="4" t="n"/>
      <c r="E123" s="4" t="n"/>
      <c r="F123" s="27" t="n"/>
      <c r="G123" s="4" t="n"/>
      <c r="H123" s="4" t="n"/>
      <c r="I123" s="4" t="n"/>
      <c r="J123" s="27" t="n"/>
      <c r="K123" s="4" t="n"/>
      <c r="L123">
        <f>IF($A123="","",IF($G123="Completed","",IF(AND($F123&lt;&gt;"",$F123&lt;TODAY(),$G123&lt;&gt;"Completed"),"⚠ overdue",IF(AND($F123&lt;&gt;"",$F123&gt;=TODAY(),$F123-TODAY()&lt;=7),"⚠ due soon",""))))</f>
        <v/>
      </c>
    </row>
    <row r="124">
      <c r="A124" s="4" t="n"/>
      <c r="B124" s="4" t="n"/>
      <c r="C124" s="4" t="n"/>
      <c r="D124" s="4" t="n"/>
      <c r="E124" s="4" t="n"/>
      <c r="F124" s="27" t="n"/>
      <c r="G124" s="4" t="n"/>
      <c r="H124" s="4" t="n"/>
      <c r="I124" s="4" t="n"/>
      <c r="J124" s="27" t="n"/>
      <c r="K124" s="4" t="n"/>
      <c r="L124">
        <f>IF($A124="","",IF($G124="Completed","",IF(AND($F124&lt;&gt;"",$F124&lt;TODAY(),$G124&lt;&gt;"Completed"),"⚠ overdue",IF(AND($F124&lt;&gt;"",$F124&gt;=TODAY(),$F124-TODAY()&lt;=7),"⚠ due soon",""))))</f>
        <v/>
      </c>
    </row>
    <row r="125">
      <c r="A125" s="4" t="n"/>
      <c r="B125" s="4" t="n"/>
      <c r="C125" s="4" t="n"/>
      <c r="D125" s="4" t="n"/>
      <c r="E125" s="4" t="n"/>
      <c r="F125" s="27" t="n"/>
      <c r="G125" s="4" t="n"/>
      <c r="H125" s="4" t="n"/>
      <c r="I125" s="4" t="n"/>
      <c r="J125" s="27" t="n"/>
      <c r="K125" s="4" t="n"/>
      <c r="L125">
        <f>IF($A125="","",IF($G125="Completed","",IF(AND($F125&lt;&gt;"",$F125&lt;TODAY(),$G125&lt;&gt;"Completed"),"⚠ overdue",IF(AND($F125&lt;&gt;"",$F125&gt;=TODAY(),$F125-TODAY()&lt;=7),"⚠ due soon",""))))</f>
        <v/>
      </c>
    </row>
    <row r="126">
      <c r="A126" s="4" t="n"/>
      <c r="B126" s="4" t="n"/>
      <c r="C126" s="4" t="n"/>
      <c r="D126" s="4" t="n"/>
      <c r="E126" s="4" t="n"/>
      <c r="F126" s="27" t="n"/>
      <c r="G126" s="4" t="n"/>
      <c r="H126" s="4" t="n"/>
      <c r="I126" s="4" t="n"/>
      <c r="J126" s="27" t="n"/>
      <c r="K126" s="4" t="n"/>
      <c r="L126">
        <f>IF($A126="","",IF($G126="Completed","",IF(AND($F126&lt;&gt;"",$F126&lt;TODAY(),$G126&lt;&gt;"Completed"),"⚠ overdue",IF(AND($F126&lt;&gt;"",$F126&gt;=TODAY(),$F126-TODAY()&lt;=7),"⚠ due soon",""))))</f>
        <v/>
      </c>
    </row>
    <row r="127">
      <c r="A127" s="4" t="n"/>
      <c r="B127" s="4" t="n"/>
      <c r="C127" s="4" t="n"/>
      <c r="D127" s="4" t="n"/>
      <c r="E127" s="4" t="n"/>
      <c r="F127" s="27" t="n"/>
      <c r="G127" s="4" t="n"/>
      <c r="H127" s="4" t="n"/>
      <c r="I127" s="4" t="n"/>
      <c r="J127" s="27" t="n"/>
      <c r="K127" s="4" t="n"/>
      <c r="L127">
        <f>IF($A127="","",IF($G127="Completed","",IF(AND($F127&lt;&gt;"",$F127&lt;TODAY(),$G127&lt;&gt;"Completed"),"⚠ overdue",IF(AND($F127&lt;&gt;"",$F127&gt;=TODAY(),$F127-TODAY()&lt;=7),"⚠ due soon",""))))</f>
        <v/>
      </c>
    </row>
    <row r="128">
      <c r="A128" s="4" t="n"/>
      <c r="B128" s="4" t="n"/>
      <c r="C128" s="4" t="n"/>
      <c r="D128" s="4" t="n"/>
      <c r="E128" s="4" t="n"/>
      <c r="F128" s="27" t="n"/>
      <c r="G128" s="4" t="n"/>
      <c r="H128" s="4" t="n"/>
      <c r="I128" s="4" t="n"/>
      <c r="J128" s="27" t="n"/>
      <c r="K128" s="4" t="n"/>
      <c r="L128">
        <f>IF($A128="","",IF($G128="Completed","",IF(AND($F128&lt;&gt;"",$F128&lt;TODAY(),$G128&lt;&gt;"Completed"),"⚠ overdue",IF(AND($F128&lt;&gt;"",$F128&gt;=TODAY(),$F128-TODAY()&lt;=7),"⚠ due soon",""))))</f>
        <v/>
      </c>
    </row>
    <row r="129">
      <c r="A129" s="4" t="n"/>
      <c r="B129" s="4" t="n"/>
      <c r="C129" s="4" t="n"/>
      <c r="D129" s="4" t="n"/>
      <c r="E129" s="4" t="n"/>
      <c r="F129" s="27" t="n"/>
      <c r="G129" s="4" t="n"/>
      <c r="H129" s="4" t="n"/>
      <c r="I129" s="4" t="n"/>
      <c r="J129" s="27" t="n"/>
      <c r="K129" s="4" t="n"/>
      <c r="L129">
        <f>IF($A129="","",IF($G129="Completed","",IF(AND($F129&lt;&gt;"",$F129&lt;TODAY(),$G129&lt;&gt;"Completed"),"⚠ overdue",IF(AND($F129&lt;&gt;"",$F129&gt;=TODAY(),$F129-TODAY()&lt;=7),"⚠ due soon",""))))</f>
        <v/>
      </c>
    </row>
    <row r="130">
      <c r="A130" s="4" t="n"/>
      <c r="B130" s="4" t="n"/>
      <c r="C130" s="4" t="n"/>
      <c r="D130" s="4" t="n"/>
      <c r="E130" s="4" t="n"/>
      <c r="F130" s="27" t="n"/>
      <c r="G130" s="4" t="n"/>
      <c r="H130" s="4" t="n"/>
      <c r="I130" s="4" t="n"/>
      <c r="J130" s="27" t="n"/>
      <c r="K130" s="4" t="n"/>
      <c r="L130">
        <f>IF($A130="","",IF($G130="Completed","",IF(AND($F130&lt;&gt;"",$F130&lt;TODAY(),$G130&lt;&gt;"Completed"),"⚠ overdue",IF(AND($F130&lt;&gt;"",$F130&gt;=TODAY(),$F130-TODAY()&lt;=7),"⚠ due soon",""))))</f>
        <v/>
      </c>
    </row>
    <row r="131">
      <c r="A131" s="4" t="n"/>
      <c r="B131" s="4" t="n"/>
      <c r="C131" s="4" t="n"/>
      <c r="D131" s="4" t="n"/>
      <c r="E131" s="4" t="n"/>
      <c r="F131" s="27" t="n"/>
      <c r="G131" s="4" t="n"/>
      <c r="H131" s="4" t="n"/>
      <c r="I131" s="4" t="n"/>
      <c r="J131" s="27" t="n"/>
      <c r="K131" s="4" t="n"/>
      <c r="L131">
        <f>IF($A131="","",IF($G131="Completed","",IF(AND($F131&lt;&gt;"",$F131&lt;TODAY(),$G131&lt;&gt;"Completed"),"⚠ overdue",IF(AND($F131&lt;&gt;"",$F131&gt;=TODAY(),$F131-TODAY()&lt;=7),"⚠ due soon",""))))</f>
        <v/>
      </c>
    </row>
    <row r="132">
      <c r="A132" s="4" t="n"/>
      <c r="B132" s="4" t="n"/>
      <c r="C132" s="4" t="n"/>
      <c r="D132" s="4" t="n"/>
      <c r="E132" s="4" t="n"/>
      <c r="F132" s="27" t="n"/>
      <c r="G132" s="4" t="n"/>
      <c r="H132" s="4" t="n"/>
      <c r="I132" s="4" t="n"/>
      <c r="J132" s="27" t="n"/>
      <c r="K132" s="4" t="n"/>
      <c r="L132">
        <f>IF($A132="","",IF($G132="Completed","",IF(AND($F132&lt;&gt;"",$F132&lt;TODAY(),$G132&lt;&gt;"Completed"),"⚠ overdue",IF(AND($F132&lt;&gt;"",$F132&gt;=TODAY(),$F132-TODAY()&lt;=7),"⚠ due soon",""))))</f>
        <v/>
      </c>
    </row>
    <row r="133">
      <c r="A133" s="4" t="n"/>
      <c r="B133" s="4" t="n"/>
      <c r="C133" s="4" t="n"/>
      <c r="D133" s="4" t="n"/>
      <c r="E133" s="4" t="n"/>
      <c r="F133" s="27" t="n"/>
      <c r="G133" s="4" t="n"/>
      <c r="H133" s="4" t="n"/>
      <c r="I133" s="4" t="n"/>
      <c r="J133" s="27" t="n"/>
      <c r="K133" s="4" t="n"/>
      <c r="L133">
        <f>IF($A133="","",IF($G133="Completed","",IF(AND($F133&lt;&gt;"",$F133&lt;TODAY(),$G133&lt;&gt;"Completed"),"⚠ overdue",IF(AND($F133&lt;&gt;"",$F133&gt;=TODAY(),$F133-TODAY()&lt;=7),"⚠ due soon",""))))</f>
        <v/>
      </c>
    </row>
    <row r="134">
      <c r="A134" s="4" t="n"/>
      <c r="B134" s="4" t="n"/>
      <c r="C134" s="4" t="n"/>
      <c r="D134" s="4" t="n"/>
      <c r="E134" s="4" t="n"/>
      <c r="F134" s="27" t="n"/>
      <c r="G134" s="4" t="n"/>
      <c r="H134" s="4" t="n"/>
      <c r="I134" s="4" t="n"/>
      <c r="J134" s="27" t="n"/>
      <c r="K134" s="4" t="n"/>
      <c r="L134">
        <f>IF($A134="","",IF($G134="Completed","",IF(AND($F134&lt;&gt;"",$F134&lt;TODAY(),$G134&lt;&gt;"Completed"),"⚠ overdue",IF(AND($F134&lt;&gt;"",$F134&gt;=TODAY(),$F134-TODAY()&lt;=7),"⚠ due soon",""))))</f>
        <v/>
      </c>
    </row>
    <row r="135">
      <c r="A135" s="4" t="n"/>
      <c r="B135" s="4" t="n"/>
      <c r="C135" s="4" t="n"/>
      <c r="D135" s="4" t="n"/>
      <c r="E135" s="4" t="n"/>
      <c r="F135" s="27" t="n"/>
      <c r="G135" s="4" t="n"/>
      <c r="H135" s="4" t="n"/>
      <c r="I135" s="4" t="n"/>
      <c r="J135" s="27" t="n"/>
      <c r="K135" s="4" t="n"/>
      <c r="L135">
        <f>IF($A135="","",IF($G135="Completed","",IF(AND($F135&lt;&gt;"",$F135&lt;TODAY(),$G135&lt;&gt;"Completed"),"⚠ overdue",IF(AND($F135&lt;&gt;"",$F135&gt;=TODAY(),$F135-TODAY()&lt;=7),"⚠ due soon",""))))</f>
        <v/>
      </c>
    </row>
    <row r="136">
      <c r="A136" s="4" t="n"/>
      <c r="B136" s="4" t="n"/>
      <c r="C136" s="4" t="n"/>
      <c r="D136" s="4" t="n"/>
      <c r="E136" s="4" t="n"/>
      <c r="F136" s="27" t="n"/>
      <c r="G136" s="4" t="n"/>
      <c r="H136" s="4" t="n"/>
      <c r="I136" s="4" t="n"/>
      <c r="J136" s="27" t="n"/>
      <c r="K136" s="4" t="n"/>
      <c r="L136">
        <f>IF($A136="","",IF($G136="Completed","",IF(AND($F136&lt;&gt;"",$F136&lt;TODAY(),$G136&lt;&gt;"Completed"),"⚠ overdue",IF(AND($F136&lt;&gt;"",$F136&gt;=TODAY(),$F136-TODAY()&lt;=7),"⚠ due soon",""))))</f>
        <v/>
      </c>
    </row>
    <row r="137">
      <c r="A137" s="4" t="n"/>
      <c r="B137" s="4" t="n"/>
      <c r="C137" s="4" t="n"/>
      <c r="D137" s="4" t="n"/>
      <c r="E137" s="4" t="n"/>
      <c r="F137" s="27" t="n"/>
      <c r="G137" s="4" t="n"/>
      <c r="H137" s="4" t="n"/>
      <c r="I137" s="4" t="n"/>
      <c r="J137" s="27" t="n"/>
      <c r="K137" s="4" t="n"/>
      <c r="L137">
        <f>IF($A137="","",IF($G137="Completed","",IF(AND($F137&lt;&gt;"",$F137&lt;TODAY(),$G137&lt;&gt;"Completed"),"⚠ overdue",IF(AND($F137&lt;&gt;"",$F137&gt;=TODAY(),$F137-TODAY()&lt;=7),"⚠ due soon",""))))</f>
        <v/>
      </c>
    </row>
    <row r="138">
      <c r="A138" s="4" t="n"/>
      <c r="B138" s="4" t="n"/>
      <c r="C138" s="4" t="n"/>
      <c r="D138" s="4" t="n"/>
      <c r="E138" s="4" t="n"/>
      <c r="F138" s="27" t="n"/>
      <c r="G138" s="4" t="n"/>
      <c r="H138" s="4" t="n"/>
      <c r="I138" s="4" t="n"/>
      <c r="J138" s="27" t="n"/>
      <c r="K138" s="4" t="n"/>
      <c r="L138">
        <f>IF($A138="","",IF($G138="Completed","",IF(AND($F138&lt;&gt;"",$F138&lt;TODAY(),$G138&lt;&gt;"Completed"),"⚠ overdue",IF(AND($F138&lt;&gt;"",$F138&gt;=TODAY(),$F138-TODAY()&lt;=7),"⚠ due soon",""))))</f>
        <v/>
      </c>
    </row>
    <row r="139">
      <c r="A139" s="4" t="n"/>
      <c r="B139" s="4" t="n"/>
      <c r="C139" s="4" t="n"/>
      <c r="D139" s="4" t="n"/>
      <c r="E139" s="4" t="n"/>
      <c r="F139" s="27" t="n"/>
      <c r="G139" s="4" t="n"/>
      <c r="H139" s="4" t="n"/>
      <c r="I139" s="4" t="n"/>
      <c r="J139" s="27" t="n"/>
      <c r="K139" s="4" t="n"/>
      <c r="L139">
        <f>IF($A139="","",IF($G139="Completed","",IF(AND($F139&lt;&gt;"",$F139&lt;TODAY(),$G139&lt;&gt;"Completed"),"⚠ overdue",IF(AND($F139&lt;&gt;"",$F139&gt;=TODAY(),$F139-TODAY()&lt;=7),"⚠ due soon",""))))</f>
        <v/>
      </c>
    </row>
    <row r="140">
      <c r="A140" s="4" t="n"/>
      <c r="B140" s="4" t="n"/>
      <c r="C140" s="4" t="n"/>
      <c r="D140" s="4" t="n"/>
      <c r="E140" s="4" t="n"/>
      <c r="F140" s="27" t="n"/>
      <c r="G140" s="4" t="n"/>
      <c r="H140" s="4" t="n"/>
      <c r="I140" s="4" t="n"/>
      <c r="J140" s="27" t="n"/>
      <c r="K140" s="4" t="n"/>
      <c r="L140">
        <f>IF($A140="","",IF($G140="Completed","",IF(AND($F140&lt;&gt;"",$F140&lt;TODAY(),$G140&lt;&gt;"Completed"),"⚠ overdue",IF(AND($F140&lt;&gt;"",$F140&gt;=TODAY(),$F140-TODAY()&lt;=7),"⚠ due soon",""))))</f>
        <v/>
      </c>
    </row>
    <row r="141">
      <c r="A141" s="4" t="n"/>
      <c r="B141" s="4" t="n"/>
      <c r="C141" s="4" t="n"/>
      <c r="D141" s="4" t="n"/>
      <c r="E141" s="4" t="n"/>
      <c r="F141" s="27" t="n"/>
      <c r="G141" s="4" t="n"/>
      <c r="H141" s="4" t="n"/>
      <c r="I141" s="4" t="n"/>
      <c r="J141" s="27" t="n"/>
      <c r="K141" s="4" t="n"/>
      <c r="L141">
        <f>IF($A141="","",IF($G141="Completed","",IF(AND($F141&lt;&gt;"",$F141&lt;TODAY(),$G141&lt;&gt;"Completed"),"⚠ overdue",IF(AND($F141&lt;&gt;"",$F141&gt;=TODAY(),$F141-TODAY()&lt;=7),"⚠ due soon",""))))</f>
        <v/>
      </c>
    </row>
    <row r="142">
      <c r="A142" s="4" t="n"/>
      <c r="B142" s="4" t="n"/>
      <c r="C142" s="4" t="n"/>
      <c r="D142" s="4" t="n"/>
      <c r="E142" s="4" t="n"/>
      <c r="F142" s="27" t="n"/>
      <c r="G142" s="4" t="n"/>
      <c r="H142" s="4" t="n"/>
      <c r="I142" s="4" t="n"/>
      <c r="J142" s="27" t="n"/>
      <c r="K142" s="4" t="n"/>
      <c r="L142">
        <f>IF($A142="","",IF($G142="Completed","",IF(AND($F142&lt;&gt;"",$F142&lt;TODAY(),$G142&lt;&gt;"Completed"),"⚠ overdue",IF(AND($F142&lt;&gt;"",$F142&gt;=TODAY(),$F142-TODAY()&lt;=7),"⚠ due soon",""))))</f>
        <v/>
      </c>
    </row>
    <row r="143">
      <c r="A143" s="4" t="n"/>
      <c r="B143" s="4" t="n"/>
      <c r="C143" s="4" t="n"/>
      <c r="D143" s="4" t="n"/>
      <c r="E143" s="4" t="n"/>
      <c r="F143" s="27" t="n"/>
      <c r="G143" s="4" t="n"/>
      <c r="H143" s="4" t="n"/>
      <c r="I143" s="4" t="n"/>
      <c r="J143" s="27" t="n"/>
      <c r="K143" s="4" t="n"/>
      <c r="L143">
        <f>IF($A143="","",IF($G143="Completed","",IF(AND($F143&lt;&gt;"",$F143&lt;TODAY(),$G143&lt;&gt;"Completed"),"⚠ overdue",IF(AND($F143&lt;&gt;"",$F143&gt;=TODAY(),$F143-TODAY()&lt;=7),"⚠ due soon",""))))</f>
        <v/>
      </c>
    </row>
    <row r="144">
      <c r="A144" s="4" t="n"/>
      <c r="B144" s="4" t="n"/>
      <c r="C144" s="4" t="n"/>
      <c r="D144" s="4" t="n"/>
      <c r="E144" s="4" t="n"/>
      <c r="F144" s="27" t="n"/>
      <c r="G144" s="4" t="n"/>
      <c r="H144" s="4" t="n"/>
      <c r="I144" s="4" t="n"/>
      <c r="J144" s="27" t="n"/>
      <c r="K144" s="4" t="n"/>
      <c r="L144">
        <f>IF($A144="","",IF($G144="Completed","",IF(AND($F144&lt;&gt;"",$F144&lt;TODAY(),$G144&lt;&gt;"Completed"),"⚠ overdue",IF(AND($F144&lt;&gt;"",$F144&gt;=TODAY(),$F144-TODAY()&lt;=7),"⚠ due soon",""))))</f>
        <v/>
      </c>
    </row>
    <row r="145">
      <c r="A145" s="4" t="n"/>
      <c r="B145" s="4" t="n"/>
      <c r="C145" s="4" t="n"/>
      <c r="D145" s="4" t="n"/>
      <c r="E145" s="4" t="n"/>
      <c r="F145" s="27" t="n"/>
      <c r="G145" s="4" t="n"/>
      <c r="H145" s="4" t="n"/>
      <c r="I145" s="4" t="n"/>
      <c r="J145" s="27" t="n"/>
      <c r="K145" s="4" t="n"/>
      <c r="L145">
        <f>IF($A145="","",IF($G145="Completed","",IF(AND($F145&lt;&gt;"",$F145&lt;TODAY(),$G145&lt;&gt;"Completed"),"⚠ overdue",IF(AND($F145&lt;&gt;"",$F145&gt;=TODAY(),$F145-TODAY()&lt;=7),"⚠ due soon",""))))</f>
        <v/>
      </c>
    </row>
    <row r="146">
      <c r="A146" s="4" t="n"/>
      <c r="B146" s="4" t="n"/>
      <c r="C146" s="4" t="n"/>
      <c r="D146" s="4" t="n"/>
      <c r="E146" s="4" t="n"/>
      <c r="F146" s="27" t="n"/>
      <c r="G146" s="4" t="n"/>
      <c r="H146" s="4" t="n"/>
      <c r="I146" s="4" t="n"/>
      <c r="J146" s="27" t="n"/>
      <c r="K146" s="4" t="n"/>
      <c r="L146">
        <f>IF($A146="","",IF($G146="Completed","",IF(AND($F146&lt;&gt;"",$F146&lt;TODAY(),$G146&lt;&gt;"Completed"),"⚠ overdue",IF(AND($F146&lt;&gt;"",$F146&gt;=TODAY(),$F146-TODAY()&lt;=7),"⚠ due soon",""))))</f>
        <v/>
      </c>
    </row>
    <row r="147">
      <c r="A147" s="4" t="n"/>
      <c r="B147" s="4" t="n"/>
      <c r="C147" s="4" t="n"/>
      <c r="D147" s="4" t="n"/>
      <c r="E147" s="4" t="n"/>
      <c r="F147" s="27" t="n"/>
      <c r="G147" s="4" t="n"/>
      <c r="H147" s="4" t="n"/>
      <c r="I147" s="4" t="n"/>
      <c r="J147" s="27" t="n"/>
      <c r="K147" s="4" t="n"/>
      <c r="L147">
        <f>IF($A147="","",IF($G147="Completed","",IF(AND($F147&lt;&gt;"",$F147&lt;TODAY(),$G147&lt;&gt;"Completed"),"⚠ overdue",IF(AND($F147&lt;&gt;"",$F147&gt;=TODAY(),$F147-TODAY()&lt;=7),"⚠ due soon",""))))</f>
        <v/>
      </c>
    </row>
    <row r="148">
      <c r="A148" s="4" t="n"/>
      <c r="B148" s="4" t="n"/>
      <c r="C148" s="4" t="n"/>
      <c r="D148" s="4" t="n"/>
      <c r="E148" s="4" t="n"/>
      <c r="F148" s="27" t="n"/>
      <c r="G148" s="4" t="n"/>
      <c r="H148" s="4" t="n"/>
      <c r="I148" s="4" t="n"/>
      <c r="J148" s="27" t="n"/>
      <c r="K148" s="4" t="n"/>
      <c r="L148">
        <f>IF($A148="","",IF($G148="Completed","",IF(AND($F148&lt;&gt;"",$F148&lt;TODAY(),$G148&lt;&gt;"Completed"),"⚠ overdue",IF(AND($F148&lt;&gt;"",$F148&gt;=TODAY(),$F148-TODAY()&lt;=7),"⚠ due soon",""))))</f>
        <v/>
      </c>
    </row>
    <row r="149">
      <c r="A149" s="4" t="n"/>
      <c r="B149" s="4" t="n"/>
      <c r="C149" s="4" t="n"/>
      <c r="D149" s="4" t="n"/>
      <c r="E149" s="4" t="n"/>
      <c r="F149" s="27" t="n"/>
      <c r="G149" s="4" t="n"/>
      <c r="H149" s="4" t="n"/>
      <c r="I149" s="4" t="n"/>
      <c r="J149" s="27" t="n"/>
      <c r="K149" s="4" t="n"/>
      <c r="L149">
        <f>IF($A149="","",IF($G149="Completed","",IF(AND($F149&lt;&gt;"",$F149&lt;TODAY(),$G149&lt;&gt;"Completed"),"⚠ overdue",IF(AND($F149&lt;&gt;"",$F149&gt;=TODAY(),$F149-TODAY()&lt;=7),"⚠ due soon",""))))</f>
        <v/>
      </c>
    </row>
    <row r="150">
      <c r="A150" s="4" t="n"/>
      <c r="B150" s="4" t="n"/>
      <c r="C150" s="4" t="n"/>
      <c r="D150" s="4" t="n"/>
      <c r="E150" s="4" t="n"/>
      <c r="F150" s="27" t="n"/>
      <c r="G150" s="4" t="n"/>
      <c r="H150" s="4" t="n"/>
      <c r="I150" s="4" t="n"/>
      <c r="J150" s="27" t="n"/>
      <c r="K150" s="4" t="n"/>
      <c r="L150">
        <f>IF($A150="","",IF($G150="Completed","",IF(AND($F150&lt;&gt;"",$F150&lt;TODAY(),$G150&lt;&gt;"Completed"),"⚠ overdue",IF(AND($F150&lt;&gt;"",$F150&gt;=TODAY(),$F150-TODAY()&lt;=7),"⚠ due soon",""))))</f>
        <v/>
      </c>
    </row>
    <row r="151">
      <c r="A151" s="4" t="n"/>
      <c r="B151" s="4" t="n"/>
      <c r="C151" s="4" t="n"/>
      <c r="D151" s="4" t="n"/>
      <c r="E151" s="4" t="n"/>
      <c r="F151" s="27" t="n"/>
      <c r="G151" s="4" t="n"/>
      <c r="H151" s="4" t="n"/>
      <c r="I151" s="4" t="n"/>
      <c r="J151" s="27" t="n"/>
      <c r="K151" s="4" t="n"/>
      <c r="L151">
        <f>IF($A151="","",IF($G151="Completed","",IF(AND($F151&lt;&gt;"",$F151&lt;TODAY(),$G151&lt;&gt;"Completed"),"⚠ overdue",IF(AND($F151&lt;&gt;"",$F151&gt;=TODAY(),$F151-TODAY()&lt;=7),"⚠ due soon",""))))</f>
        <v/>
      </c>
    </row>
    <row r="152">
      <c r="A152" s="4" t="n"/>
      <c r="B152" s="4" t="n"/>
      <c r="C152" s="4" t="n"/>
      <c r="D152" s="4" t="n"/>
      <c r="E152" s="4" t="n"/>
      <c r="F152" s="27" t="n"/>
      <c r="G152" s="4" t="n"/>
      <c r="H152" s="4" t="n"/>
      <c r="I152" s="4" t="n"/>
      <c r="J152" s="27" t="n"/>
      <c r="K152" s="4" t="n"/>
      <c r="L152">
        <f>IF($A152="","",IF($G152="Completed","",IF(AND($F152&lt;&gt;"",$F152&lt;TODAY(),$G152&lt;&gt;"Completed"),"⚠ overdue",IF(AND($F152&lt;&gt;"",$F152&gt;=TODAY(),$F152-TODAY()&lt;=7),"⚠ due soon",""))))</f>
        <v/>
      </c>
    </row>
    <row r="153">
      <c r="A153" s="4" t="n"/>
      <c r="B153" s="4" t="n"/>
      <c r="C153" s="4" t="n"/>
      <c r="D153" s="4" t="n"/>
      <c r="E153" s="4" t="n"/>
      <c r="F153" s="27" t="n"/>
      <c r="G153" s="4" t="n"/>
      <c r="H153" s="4" t="n"/>
      <c r="I153" s="4" t="n"/>
      <c r="J153" s="27" t="n"/>
      <c r="K153" s="4" t="n"/>
      <c r="L153">
        <f>IF($A153="","",IF($G153="Completed","",IF(AND($F153&lt;&gt;"",$F153&lt;TODAY(),$G153&lt;&gt;"Completed"),"⚠ overdue",IF(AND($F153&lt;&gt;"",$F153&gt;=TODAY(),$F153-TODAY()&lt;=7),"⚠ due soon",""))))</f>
        <v/>
      </c>
    </row>
    <row r="154">
      <c r="A154" s="4" t="n"/>
      <c r="B154" s="4" t="n"/>
      <c r="C154" s="4" t="n"/>
      <c r="D154" s="4" t="n"/>
      <c r="E154" s="4" t="n"/>
      <c r="F154" s="27" t="n"/>
      <c r="G154" s="4" t="n"/>
      <c r="H154" s="4" t="n"/>
      <c r="I154" s="4" t="n"/>
      <c r="J154" s="27" t="n"/>
      <c r="K154" s="4" t="n"/>
      <c r="L154">
        <f>IF($A154="","",IF($G154="Completed","",IF(AND($F154&lt;&gt;"",$F154&lt;TODAY(),$G154&lt;&gt;"Completed"),"⚠ overdue",IF(AND($F154&lt;&gt;"",$F154&gt;=TODAY(),$F154-TODAY()&lt;=7),"⚠ due soon",""))))</f>
        <v/>
      </c>
    </row>
    <row r="155">
      <c r="A155" s="4" t="n"/>
      <c r="B155" s="4" t="n"/>
      <c r="C155" s="4" t="n"/>
      <c r="D155" s="4" t="n"/>
      <c r="E155" s="4" t="n"/>
      <c r="F155" s="27" t="n"/>
      <c r="G155" s="4" t="n"/>
      <c r="H155" s="4" t="n"/>
      <c r="I155" s="4" t="n"/>
      <c r="J155" s="27" t="n"/>
      <c r="K155" s="4" t="n"/>
      <c r="L155">
        <f>IF($A155="","",IF($G155="Completed","",IF(AND($F155&lt;&gt;"",$F155&lt;TODAY(),$G155&lt;&gt;"Completed"),"⚠ overdue",IF(AND($F155&lt;&gt;"",$F155&gt;=TODAY(),$F155-TODAY()&lt;=7),"⚠ due soon",""))))</f>
        <v/>
      </c>
    </row>
    <row r="156">
      <c r="A156" s="4" t="n"/>
      <c r="B156" s="4" t="n"/>
      <c r="C156" s="4" t="n"/>
      <c r="D156" s="4" t="n"/>
      <c r="E156" s="4" t="n"/>
      <c r="F156" s="27" t="n"/>
      <c r="G156" s="4" t="n"/>
      <c r="H156" s="4" t="n"/>
      <c r="I156" s="4" t="n"/>
      <c r="J156" s="27" t="n"/>
      <c r="K156" s="4" t="n"/>
      <c r="L156">
        <f>IF($A156="","",IF($G156="Completed","",IF(AND($F156&lt;&gt;"",$F156&lt;TODAY(),$G156&lt;&gt;"Completed"),"⚠ overdue",IF(AND($F156&lt;&gt;"",$F156&gt;=TODAY(),$F156-TODAY()&lt;=7),"⚠ due soon",""))))</f>
        <v/>
      </c>
    </row>
    <row r="157">
      <c r="A157" s="4" t="n"/>
      <c r="B157" s="4" t="n"/>
      <c r="C157" s="4" t="n"/>
      <c r="D157" s="4" t="n"/>
      <c r="E157" s="4" t="n"/>
      <c r="F157" s="27" t="n"/>
      <c r="G157" s="4" t="n"/>
      <c r="H157" s="4" t="n"/>
      <c r="I157" s="4" t="n"/>
      <c r="J157" s="27" t="n"/>
      <c r="K157" s="4" t="n"/>
      <c r="L157">
        <f>IF($A157="","",IF($G157="Completed","",IF(AND($F157&lt;&gt;"",$F157&lt;TODAY(),$G157&lt;&gt;"Completed"),"⚠ overdue",IF(AND($F157&lt;&gt;"",$F157&gt;=TODAY(),$F157-TODAY()&lt;=7),"⚠ due soon",""))))</f>
        <v/>
      </c>
    </row>
    <row r="158">
      <c r="A158" s="4" t="n"/>
      <c r="B158" s="4" t="n"/>
      <c r="C158" s="4" t="n"/>
      <c r="D158" s="4" t="n"/>
      <c r="E158" s="4" t="n"/>
      <c r="F158" s="27" t="n"/>
      <c r="G158" s="4" t="n"/>
      <c r="H158" s="4" t="n"/>
      <c r="I158" s="4" t="n"/>
      <c r="J158" s="27" t="n"/>
      <c r="K158" s="4" t="n"/>
      <c r="L158">
        <f>IF($A158="","",IF($G158="Completed","",IF(AND($F158&lt;&gt;"",$F158&lt;TODAY(),$G158&lt;&gt;"Completed"),"⚠ overdue",IF(AND($F158&lt;&gt;"",$F158&gt;=TODAY(),$F158-TODAY()&lt;=7),"⚠ due soon",""))))</f>
        <v/>
      </c>
    </row>
    <row r="159">
      <c r="A159" s="4" t="n"/>
      <c r="B159" s="4" t="n"/>
      <c r="C159" s="4" t="n"/>
      <c r="D159" s="4" t="n"/>
      <c r="E159" s="4" t="n"/>
      <c r="F159" s="27" t="n"/>
      <c r="G159" s="4" t="n"/>
      <c r="H159" s="4" t="n"/>
      <c r="I159" s="4" t="n"/>
      <c r="J159" s="27" t="n"/>
      <c r="K159" s="4" t="n"/>
      <c r="L159">
        <f>IF($A159="","",IF($G159="Completed","",IF(AND($F159&lt;&gt;"",$F159&lt;TODAY(),$G159&lt;&gt;"Completed"),"⚠ overdue",IF(AND($F159&lt;&gt;"",$F159&gt;=TODAY(),$F159-TODAY()&lt;=7),"⚠ due soon",""))))</f>
        <v/>
      </c>
    </row>
    <row r="160">
      <c r="A160" s="4" t="n"/>
      <c r="B160" s="4" t="n"/>
      <c r="C160" s="4" t="n"/>
      <c r="D160" s="4" t="n"/>
      <c r="E160" s="4" t="n"/>
      <c r="F160" s="27" t="n"/>
      <c r="G160" s="4" t="n"/>
      <c r="H160" s="4" t="n"/>
      <c r="I160" s="4" t="n"/>
      <c r="J160" s="27" t="n"/>
      <c r="K160" s="4" t="n"/>
      <c r="L160">
        <f>IF($A160="","",IF($G160="Completed","",IF(AND($F160&lt;&gt;"",$F160&lt;TODAY(),$G160&lt;&gt;"Completed"),"⚠ overdue",IF(AND($F160&lt;&gt;"",$F160&gt;=TODAY(),$F160-TODAY()&lt;=7),"⚠ due soon",""))))</f>
        <v/>
      </c>
    </row>
    <row r="161">
      <c r="A161" s="4" t="n"/>
      <c r="B161" s="4" t="n"/>
      <c r="C161" s="4" t="n"/>
      <c r="D161" s="4" t="n"/>
      <c r="E161" s="4" t="n"/>
      <c r="F161" s="27" t="n"/>
      <c r="G161" s="4" t="n"/>
      <c r="H161" s="4" t="n"/>
      <c r="I161" s="4" t="n"/>
      <c r="J161" s="27" t="n"/>
      <c r="K161" s="4" t="n"/>
      <c r="L161">
        <f>IF($A161="","",IF($G161="Completed","",IF(AND($F161&lt;&gt;"",$F161&lt;TODAY(),$G161&lt;&gt;"Completed"),"⚠ overdue",IF(AND($F161&lt;&gt;"",$F161&gt;=TODAY(),$F161-TODAY()&lt;=7),"⚠ due soon",""))))</f>
        <v/>
      </c>
    </row>
    <row r="162">
      <c r="A162" s="4" t="n"/>
      <c r="B162" s="4" t="n"/>
      <c r="C162" s="4" t="n"/>
      <c r="D162" s="4" t="n"/>
      <c r="E162" s="4" t="n"/>
      <c r="F162" s="27" t="n"/>
      <c r="G162" s="4" t="n"/>
      <c r="H162" s="4" t="n"/>
      <c r="I162" s="4" t="n"/>
      <c r="J162" s="27" t="n"/>
      <c r="K162" s="4" t="n"/>
      <c r="L162">
        <f>IF($A162="","",IF($G162="Completed","",IF(AND($F162&lt;&gt;"",$F162&lt;TODAY(),$G162&lt;&gt;"Completed"),"⚠ overdue",IF(AND($F162&lt;&gt;"",$F162&gt;=TODAY(),$F162-TODAY()&lt;=7),"⚠ due soon",""))))</f>
        <v/>
      </c>
    </row>
    <row r="163">
      <c r="A163" s="4" t="n"/>
      <c r="B163" s="4" t="n"/>
      <c r="C163" s="4" t="n"/>
      <c r="D163" s="4" t="n"/>
      <c r="E163" s="4" t="n"/>
      <c r="F163" s="27" t="n"/>
      <c r="G163" s="4" t="n"/>
      <c r="H163" s="4" t="n"/>
      <c r="I163" s="4" t="n"/>
      <c r="J163" s="27" t="n"/>
      <c r="K163" s="4" t="n"/>
      <c r="L163">
        <f>IF($A163="","",IF($G163="Completed","",IF(AND($F163&lt;&gt;"",$F163&lt;TODAY(),$G163&lt;&gt;"Completed"),"⚠ overdue",IF(AND($F163&lt;&gt;"",$F163&gt;=TODAY(),$F163-TODAY()&lt;=7),"⚠ due soon",""))))</f>
        <v/>
      </c>
    </row>
    <row r="164">
      <c r="A164" s="4" t="n"/>
      <c r="B164" s="4" t="n"/>
      <c r="C164" s="4" t="n"/>
      <c r="D164" s="4" t="n"/>
      <c r="E164" s="4" t="n"/>
      <c r="F164" s="27" t="n"/>
      <c r="G164" s="4" t="n"/>
      <c r="H164" s="4" t="n"/>
      <c r="I164" s="4" t="n"/>
      <c r="J164" s="27" t="n"/>
      <c r="K164" s="4" t="n"/>
      <c r="L164">
        <f>IF($A164="","",IF($G164="Completed","",IF(AND($F164&lt;&gt;"",$F164&lt;TODAY(),$G164&lt;&gt;"Completed"),"⚠ overdue",IF(AND($F164&lt;&gt;"",$F164&gt;=TODAY(),$F164-TODAY()&lt;=7),"⚠ due soon",""))))</f>
        <v/>
      </c>
    </row>
    <row r="165">
      <c r="A165" s="4" t="n"/>
      <c r="B165" s="4" t="n"/>
      <c r="C165" s="4" t="n"/>
      <c r="D165" s="4" t="n"/>
      <c r="E165" s="4" t="n"/>
      <c r="F165" s="27" t="n"/>
      <c r="G165" s="4" t="n"/>
      <c r="H165" s="4" t="n"/>
      <c r="I165" s="4" t="n"/>
      <c r="J165" s="27" t="n"/>
      <c r="K165" s="4" t="n"/>
      <c r="L165">
        <f>IF($A165="","",IF($G165="Completed","",IF(AND($F165&lt;&gt;"",$F165&lt;TODAY(),$G165&lt;&gt;"Completed"),"⚠ overdue",IF(AND($F165&lt;&gt;"",$F165&gt;=TODAY(),$F165-TODAY()&lt;=7),"⚠ due soon",""))))</f>
        <v/>
      </c>
    </row>
    <row r="166">
      <c r="A166" s="4" t="n"/>
      <c r="B166" s="4" t="n"/>
      <c r="C166" s="4" t="n"/>
      <c r="D166" s="4" t="n"/>
      <c r="E166" s="4" t="n"/>
      <c r="F166" s="27" t="n"/>
      <c r="G166" s="4" t="n"/>
      <c r="H166" s="4" t="n"/>
      <c r="I166" s="4" t="n"/>
      <c r="J166" s="27" t="n"/>
      <c r="K166" s="4" t="n"/>
      <c r="L166">
        <f>IF($A166="","",IF($G166="Completed","",IF(AND($F166&lt;&gt;"",$F166&lt;TODAY(),$G166&lt;&gt;"Completed"),"⚠ overdue",IF(AND($F166&lt;&gt;"",$F166&gt;=TODAY(),$F166-TODAY()&lt;=7),"⚠ due soon",""))))</f>
        <v/>
      </c>
    </row>
    <row r="167">
      <c r="A167" s="4" t="n"/>
      <c r="B167" s="4" t="n"/>
      <c r="C167" s="4" t="n"/>
      <c r="D167" s="4" t="n"/>
      <c r="E167" s="4" t="n"/>
      <c r="F167" s="27" t="n"/>
      <c r="G167" s="4" t="n"/>
      <c r="H167" s="4" t="n"/>
      <c r="I167" s="4" t="n"/>
      <c r="J167" s="27" t="n"/>
      <c r="K167" s="4" t="n"/>
      <c r="L167">
        <f>IF($A167="","",IF($G167="Completed","",IF(AND($F167&lt;&gt;"",$F167&lt;TODAY(),$G167&lt;&gt;"Completed"),"⚠ overdue",IF(AND($F167&lt;&gt;"",$F167&gt;=TODAY(),$F167-TODAY()&lt;=7),"⚠ due soon",""))))</f>
        <v/>
      </c>
    </row>
    <row r="168">
      <c r="A168" s="4" t="n"/>
      <c r="B168" s="4" t="n"/>
      <c r="C168" s="4" t="n"/>
      <c r="D168" s="4" t="n"/>
      <c r="E168" s="4" t="n"/>
      <c r="F168" s="27" t="n"/>
      <c r="G168" s="4" t="n"/>
      <c r="H168" s="4" t="n"/>
      <c r="I168" s="4" t="n"/>
      <c r="J168" s="27" t="n"/>
      <c r="K168" s="4" t="n"/>
      <c r="L168">
        <f>IF($A168="","",IF($G168="Completed","",IF(AND($F168&lt;&gt;"",$F168&lt;TODAY(),$G168&lt;&gt;"Completed"),"⚠ overdue",IF(AND($F168&lt;&gt;"",$F168&gt;=TODAY(),$F168-TODAY()&lt;=7),"⚠ due soon",""))))</f>
        <v/>
      </c>
    </row>
    <row r="169">
      <c r="A169" s="4" t="n"/>
      <c r="B169" s="4" t="n"/>
      <c r="C169" s="4" t="n"/>
      <c r="D169" s="4" t="n"/>
      <c r="E169" s="4" t="n"/>
      <c r="F169" s="27" t="n"/>
      <c r="G169" s="4" t="n"/>
      <c r="H169" s="4" t="n"/>
      <c r="I169" s="4" t="n"/>
      <c r="J169" s="27" t="n"/>
      <c r="K169" s="4" t="n"/>
      <c r="L169">
        <f>IF($A169="","",IF($G169="Completed","",IF(AND($F169&lt;&gt;"",$F169&lt;TODAY(),$G169&lt;&gt;"Completed"),"⚠ overdue",IF(AND($F169&lt;&gt;"",$F169&gt;=TODAY(),$F169-TODAY()&lt;=7),"⚠ due soon",""))))</f>
        <v/>
      </c>
    </row>
    <row r="170">
      <c r="A170" s="4" t="n"/>
      <c r="B170" s="4" t="n"/>
      <c r="C170" s="4" t="n"/>
      <c r="D170" s="4" t="n"/>
      <c r="E170" s="4" t="n"/>
      <c r="F170" s="27" t="n"/>
      <c r="G170" s="4" t="n"/>
      <c r="H170" s="4" t="n"/>
      <c r="I170" s="4" t="n"/>
      <c r="J170" s="27" t="n"/>
      <c r="K170" s="4" t="n"/>
      <c r="L170">
        <f>IF($A170="","",IF($G170="Completed","",IF(AND($F170&lt;&gt;"",$F170&lt;TODAY(),$G170&lt;&gt;"Completed"),"⚠ overdue",IF(AND($F170&lt;&gt;"",$F170&gt;=TODAY(),$F170-TODAY()&lt;=7),"⚠ due soon",""))))</f>
        <v/>
      </c>
    </row>
    <row r="171">
      <c r="A171" s="4" t="n"/>
      <c r="B171" s="4" t="n"/>
      <c r="C171" s="4" t="n"/>
      <c r="D171" s="4" t="n"/>
      <c r="E171" s="4" t="n"/>
      <c r="F171" s="27" t="n"/>
      <c r="G171" s="4" t="n"/>
      <c r="H171" s="4" t="n"/>
      <c r="I171" s="4" t="n"/>
      <c r="J171" s="27" t="n"/>
      <c r="K171" s="4" t="n"/>
      <c r="L171">
        <f>IF($A171="","",IF($G171="Completed","",IF(AND($F171&lt;&gt;"",$F171&lt;TODAY(),$G171&lt;&gt;"Completed"),"⚠ overdue",IF(AND($F171&lt;&gt;"",$F171&gt;=TODAY(),$F171-TODAY()&lt;=7),"⚠ due soon",""))))</f>
        <v/>
      </c>
    </row>
    <row r="172">
      <c r="A172" s="4" t="n"/>
      <c r="B172" s="4" t="n"/>
      <c r="C172" s="4" t="n"/>
      <c r="D172" s="4" t="n"/>
      <c r="E172" s="4" t="n"/>
      <c r="F172" s="27" t="n"/>
      <c r="G172" s="4" t="n"/>
      <c r="H172" s="4" t="n"/>
      <c r="I172" s="4" t="n"/>
      <c r="J172" s="27" t="n"/>
      <c r="K172" s="4" t="n"/>
      <c r="L172">
        <f>IF($A172="","",IF($G172="Completed","",IF(AND($F172&lt;&gt;"",$F172&lt;TODAY(),$G172&lt;&gt;"Completed"),"⚠ overdue",IF(AND($F172&lt;&gt;"",$F172&gt;=TODAY(),$F172-TODAY()&lt;=7),"⚠ due soon",""))))</f>
        <v/>
      </c>
    </row>
    <row r="173">
      <c r="A173" s="4" t="n"/>
      <c r="B173" s="4" t="n"/>
      <c r="C173" s="4" t="n"/>
      <c r="D173" s="4" t="n"/>
      <c r="E173" s="4" t="n"/>
      <c r="F173" s="27" t="n"/>
      <c r="G173" s="4" t="n"/>
      <c r="H173" s="4" t="n"/>
      <c r="I173" s="4" t="n"/>
      <c r="J173" s="27" t="n"/>
      <c r="K173" s="4" t="n"/>
      <c r="L173">
        <f>IF($A173="","",IF($G173="Completed","",IF(AND($F173&lt;&gt;"",$F173&lt;TODAY(),$G173&lt;&gt;"Completed"),"⚠ overdue",IF(AND($F173&lt;&gt;"",$F173&gt;=TODAY(),$F173-TODAY()&lt;=7),"⚠ due soon",""))))</f>
        <v/>
      </c>
    </row>
    <row r="174">
      <c r="A174" s="4" t="n"/>
      <c r="B174" s="4" t="n"/>
      <c r="C174" s="4" t="n"/>
      <c r="D174" s="4" t="n"/>
      <c r="E174" s="4" t="n"/>
      <c r="F174" s="27" t="n"/>
      <c r="G174" s="4" t="n"/>
      <c r="H174" s="4" t="n"/>
      <c r="I174" s="4" t="n"/>
      <c r="J174" s="27" t="n"/>
      <c r="K174" s="4" t="n"/>
      <c r="L174">
        <f>IF($A174="","",IF($G174="Completed","",IF(AND($F174&lt;&gt;"",$F174&lt;TODAY(),$G174&lt;&gt;"Completed"),"⚠ overdue",IF(AND($F174&lt;&gt;"",$F174&gt;=TODAY(),$F174-TODAY()&lt;=7),"⚠ due soon",""))))</f>
        <v/>
      </c>
    </row>
    <row r="175">
      <c r="A175" s="4" t="n"/>
      <c r="B175" s="4" t="n"/>
      <c r="C175" s="4" t="n"/>
      <c r="D175" s="4" t="n"/>
      <c r="E175" s="4" t="n"/>
      <c r="F175" s="27" t="n"/>
      <c r="G175" s="4" t="n"/>
      <c r="H175" s="4" t="n"/>
      <c r="I175" s="4" t="n"/>
      <c r="J175" s="27" t="n"/>
      <c r="K175" s="4" t="n"/>
      <c r="L175">
        <f>IF($A175="","",IF($G175="Completed","",IF(AND($F175&lt;&gt;"",$F175&lt;TODAY(),$G175&lt;&gt;"Completed"),"⚠ overdue",IF(AND($F175&lt;&gt;"",$F175&gt;=TODAY(),$F175-TODAY()&lt;=7),"⚠ due soon",""))))</f>
        <v/>
      </c>
    </row>
    <row r="176">
      <c r="A176" s="4" t="n"/>
      <c r="B176" s="4" t="n"/>
      <c r="C176" s="4" t="n"/>
      <c r="D176" s="4" t="n"/>
      <c r="E176" s="4" t="n"/>
      <c r="F176" s="27" t="n"/>
      <c r="G176" s="4" t="n"/>
      <c r="H176" s="4" t="n"/>
      <c r="I176" s="4" t="n"/>
      <c r="J176" s="27" t="n"/>
      <c r="K176" s="4" t="n"/>
      <c r="L176">
        <f>IF($A176="","",IF($G176="Completed","",IF(AND($F176&lt;&gt;"",$F176&lt;TODAY(),$G176&lt;&gt;"Completed"),"⚠ overdue",IF(AND($F176&lt;&gt;"",$F176&gt;=TODAY(),$F176-TODAY()&lt;=7),"⚠ due soon",""))))</f>
        <v/>
      </c>
    </row>
    <row r="177">
      <c r="A177" s="4" t="n"/>
      <c r="B177" s="4" t="n"/>
      <c r="C177" s="4" t="n"/>
      <c r="D177" s="4" t="n"/>
      <c r="E177" s="4" t="n"/>
      <c r="F177" s="27" t="n"/>
      <c r="G177" s="4" t="n"/>
      <c r="H177" s="4" t="n"/>
      <c r="I177" s="4" t="n"/>
      <c r="J177" s="27" t="n"/>
      <c r="K177" s="4" t="n"/>
      <c r="L177">
        <f>IF($A177="","",IF($G177="Completed","",IF(AND($F177&lt;&gt;"",$F177&lt;TODAY(),$G177&lt;&gt;"Completed"),"⚠ overdue",IF(AND($F177&lt;&gt;"",$F177&gt;=TODAY(),$F177-TODAY()&lt;=7),"⚠ due soon",""))))</f>
        <v/>
      </c>
    </row>
    <row r="178">
      <c r="A178" s="4" t="n"/>
      <c r="B178" s="4" t="n"/>
      <c r="C178" s="4" t="n"/>
      <c r="D178" s="4" t="n"/>
      <c r="E178" s="4" t="n"/>
      <c r="F178" s="27" t="n"/>
      <c r="G178" s="4" t="n"/>
      <c r="H178" s="4" t="n"/>
      <c r="I178" s="4" t="n"/>
      <c r="J178" s="27" t="n"/>
      <c r="K178" s="4" t="n"/>
      <c r="L178">
        <f>IF($A178="","",IF($G178="Completed","",IF(AND($F178&lt;&gt;"",$F178&lt;TODAY(),$G178&lt;&gt;"Completed"),"⚠ overdue",IF(AND($F178&lt;&gt;"",$F178&gt;=TODAY(),$F178-TODAY()&lt;=7),"⚠ due soon",""))))</f>
        <v/>
      </c>
    </row>
    <row r="179">
      <c r="A179" s="4" t="n"/>
      <c r="B179" s="4" t="n"/>
      <c r="C179" s="4" t="n"/>
      <c r="D179" s="4" t="n"/>
      <c r="E179" s="4" t="n"/>
      <c r="F179" s="27" t="n"/>
      <c r="G179" s="4" t="n"/>
      <c r="H179" s="4" t="n"/>
      <c r="I179" s="4" t="n"/>
      <c r="J179" s="27" t="n"/>
      <c r="K179" s="4" t="n"/>
      <c r="L179">
        <f>IF($A179="","",IF($G179="Completed","",IF(AND($F179&lt;&gt;"",$F179&lt;TODAY(),$G179&lt;&gt;"Completed"),"⚠ overdue",IF(AND($F179&lt;&gt;"",$F179&gt;=TODAY(),$F179-TODAY()&lt;=7),"⚠ due soon",""))))</f>
        <v/>
      </c>
    </row>
    <row r="180">
      <c r="A180" s="4" t="n"/>
      <c r="B180" s="4" t="n"/>
      <c r="C180" s="4" t="n"/>
      <c r="D180" s="4" t="n"/>
      <c r="E180" s="4" t="n"/>
      <c r="F180" s="27" t="n"/>
      <c r="G180" s="4" t="n"/>
      <c r="H180" s="4" t="n"/>
      <c r="I180" s="4" t="n"/>
      <c r="J180" s="27" t="n"/>
      <c r="K180" s="4" t="n"/>
      <c r="L180">
        <f>IF($A180="","",IF($G180="Completed","",IF(AND($F180&lt;&gt;"",$F180&lt;TODAY(),$G180&lt;&gt;"Completed"),"⚠ overdue",IF(AND($F180&lt;&gt;"",$F180&gt;=TODAY(),$F180-TODAY()&lt;=7),"⚠ due soon",""))))</f>
        <v/>
      </c>
    </row>
    <row r="181">
      <c r="A181" s="4" t="n"/>
      <c r="B181" s="4" t="n"/>
      <c r="C181" s="4" t="n"/>
      <c r="D181" s="4" t="n"/>
      <c r="E181" s="4" t="n"/>
      <c r="F181" s="27" t="n"/>
      <c r="G181" s="4" t="n"/>
      <c r="H181" s="4" t="n"/>
      <c r="I181" s="4" t="n"/>
      <c r="J181" s="27" t="n"/>
      <c r="K181" s="4" t="n"/>
      <c r="L181">
        <f>IF($A181="","",IF($G181="Completed","",IF(AND($F181&lt;&gt;"",$F181&lt;TODAY(),$G181&lt;&gt;"Completed"),"⚠ overdue",IF(AND($F181&lt;&gt;"",$F181&gt;=TODAY(),$F181-TODAY()&lt;=7),"⚠ due soon",""))))</f>
        <v/>
      </c>
    </row>
    <row r="182">
      <c r="A182" s="4" t="n"/>
      <c r="B182" s="4" t="n"/>
      <c r="C182" s="4" t="n"/>
      <c r="D182" s="4" t="n"/>
      <c r="E182" s="4" t="n"/>
      <c r="F182" s="27" t="n"/>
      <c r="G182" s="4" t="n"/>
      <c r="H182" s="4" t="n"/>
      <c r="I182" s="4" t="n"/>
      <c r="J182" s="27" t="n"/>
      <c r="K182" s="4" t="n"/>
      <c r="L182">
        <f>IF($A182="","",IF($G182="Completed","",IF(AND($F182&lt;&gt;"",$F182&lt;TODAY(),$G182&lt;&gt;"Completed"),"⚠ overdue",IF(AND($F182&lt;&gt;"",$F182&gt;=TODAY(),$F182-TODAY()&lt;=7),"⚠ due soon",""))))</f>
        <v/>
      </c>
    </row>
    <row r="183">
      <c r="A183" s="4" t="n"/>
      <c r="B183" s="4" t="n"/>
      <c r="C183" s="4" t="n"/>
      <c r="D183" s="4" t="n"/>
      <c r="E183" s="4" t="n"/>
      <c r="F183" s="27" t="n"/>
      <c r="G183" s="4" t="n"/>
      <c r="H183" s="4" t="n"/>
      <c r="I183" s="4" t="n"/>
      <c r="J183" s="27" t="n"/>
      <c r="K183" s="4" t="n"/>
      <c r="L183">
        <f>IF($A183="","",IF($G183="Completed","",IF(AND($F183&lt;&gt;"",$F183&lt;TODAY(),$G183&lt;&gt;"Completed"),"⚠ overdue",IF(AND($F183&lt;&gt;"",$F183&gt;=TODAY(),$F183-TODAY()&lt;=7),"⚠ due soon",""))))</f>
        <v/>
      </c>
    </row>
    <row r="184">
      <c r="A184" s="4" t="n"/>
      <c r="B184" s="4" t="n"/>
      <c r="C184" s="4" t="n"/>
      <c r="D184" s="4" t="n"/>
      <c r="E184" s="4" t="n"/>
      <c r="F184" s="27" t="n"/>
      <c r="G184" s="4" t="n"/>
      <c r="H184" s="4" t="n"/>
      <c r="I184" s="4" t="n"/>
      <c r="J184" s="27" t="n"/>
      <c r="K184" s="4" t="n"/>
      <c r="L184">
        <f>IF($A184="","",IF($G184="Completed","",IF(AND($F184&lt;&gt;"",$F184&lt;TODAY(),$G184&lt;&gt;"Completed"),"⚠ overdue",IF(AND($F184&lt;&gt;"",$F184&gt;=TODAY(),$F184-TODAY()&lt;=7),"⚠ due soon",""))))</f>
        <v/>
      </c>
    </row>
    <row r="185">
      <c r="A185" s="4" t="n"/>
      <c r="B185" s="4" t="n"/>
      <c r="C185" s="4" t="n"/>
      <c r="D185" s="4" t="n"/>
      <c r="E185" s="4" t="n"/>
      <c r="F185" s="27" t="n"/>
      <c r="G185" s="4" t="n"/>
      <c r="H185" s="4" t="n"/>
      <c r="I185" s="4" t="n"/>
      <c r="J185" s="27" t="n"/>
      <c r="K185" s="4" t="n"/>
      <c r="L185">
        <f>IF($A185="","",IF($G185="Completed","",IF(AND($F185&lt;&gt;"",$F185&lt;TODAY(),$G185&lt;&gt;"Completed"),"⚠ overdue",IF(AND($F185&lt;&gt;"",$F185&gt;=TODAY(),$F185-TODAY()&lt;=7),"⚠ due soon",""))))</f>
        <v/>
      </c>
    </row>
    <row r="186">
      <c r="A186" s="4" t="n"/>
      <c r="B186" s="4" t="n"/>
      <c r="C186" s="4" t="n"/>
      <c r="D186" s="4" t="n"/>
      <c r="E186" s="4" t="n"/>
      <c r="F186" s="27" t="n"/>
      <c r="G186" s="4" t="n"/>
      <c r="H186" s="4" t="n"/>
      <c r="I186" s="4" t="n"/>
      <c r="J186" s="27" t="n"/>
      <c r="K186" s="4" t="n"/>
      <c r="L186">
        <f>IF($A186="","",IF($G186="Completed","",IF(AND($F186&lt;&gt;"",$F186&lt;TODAY(),$G186&lt;&gt;"Completed"),"⚠ overdue",IF(AND($F186&lt;&gt;"",$F186&gt;=TODAY(),$F186-TODAY()&lt;=7),"⚠ due soon",""))))</f>
        <v/>
      </c>
    </row>
    <row r="187">
      <c r="A187" s="4" t="n"/>
      <c r="B187" s="4" t="n"/>
      <c r="C187" s="4" t="n"/>
      <c r="D187" s="4" t="n"/>
      <c r="E187" s="4" t="n"/>
      <c r="F187" s="27" t="n"/>
      <c r="G187" s="4" t="n"/>
      <c r="H187" s="4" t="n"/>
      <c r="I187" s="4" t="n"/>
      <c r="J187" s="27" t="n"/>
      <c r="K187" s="4" t="n"/>
      <c r="L187">
        <f>IF($A187="","",IF($G187="Completed","",IF(AND($F187&lt;&gt;"",$F187&lt;TODAY(),$G187&lt;&gt;"Completed"),"⚠ overdue",IF(AND($F187&lt;&gt;"",$F187&gt;=TODAY(),$F187-TODAY()&lt;=7),"⚠ due soon",""))))</f>
        <v/>
      </c>
    </row>
    <row r="188">
      <c r="A188" s="4" t="n"/>
      <c r="B188" s="4" t="n"/>
      <c r="C188" s="4" t="n"/>
      <c r="D188" s="4" t="n"/>
      <c r="E188" s="4" t="n"/>
      <c r="F188" s="27" t="n"/>
      <c r="G188" s="4" t="n"/>
      <c r="H188" s="4" t="n"/>
      <c r="I188" s="4" t="n"/>
      <c r="J188" s="27" t="n"/>
      <c r="K188" s="4" t="n"/>
      <c r="L188">
        <f>IF($A188="","",IF($G188="Completed","",IF(AND($F188&lt;&gt;"",$F188&lt;TODAY(),$G188&lt;&gt;"Completed"),"⚠ overdue",IF(AND($F188&lt;&gt;"",$F188&gt;=TODAY(),$F188-TODAY()&lt;=7),"⚠ due soon",""))))</f>
        <v/>
      </c>
    </row>
    <row r="189">
      <c r="A189" s="4" t="n"/>
      <c r="B189" s="4" t="n"/>
      <c r="C189" s="4" t="n"/>
      <c r="D189" s="4" t="n"/>
      <c r="E189" s="4" t="n"/>
      <c r="F189" s="27" t="n"/>
      <c r="G189" s="4" t="n"/>
      <c r="H189" s="4" t="n"/>
      <c r="I189" s="4" t="n"/>
      <c r="J189" s="27" t="n"/>
      <c r="K189" s="4" t="n"/>
      <c r="L189">
        <f>IF($A189="","",IF($G189="Completed","",IF(AND($F189&lt;&gt;"",$F189&lt;TODAY(),$G189&lt;&gt;"Completed"),"⚠ overdue",IF(AND($F189&lt;&gt;"",$F189&gt;=TODAY(),$F189-TODAY()&lt;=7),"⚠ due soon",""))))</f>
        <v/>
      </c>
    </row>
    <row r="190">
      <c r="A190" s="4" t="n"/>
      <c r="B190" s="4" t="n"/>
      <c r="C190" s="4" t="n"/>
      <c r="D190" s="4" t="n"/>
      <c r="E190" s="4" t="n"/>
      <c r="F190" s="27" t="n"/>
      <c r="G190" s="4" t="n"/>
      <c r="H190" s="4" t="n"/>
      <c r="I190" s="4" t="n"/>
      <c r="J190" s="27" t="n"/>
      <c r="K190" s="4" t="n"/>
      <c r="L190">
        <f>IF($A190="","",IF($G190="Completed","",IF(AND($F190&lt;&gt;"",$F190&lt;TODAY(),$G190&lt;&gt;"Completed"),"⚠ overdue",IF(AND($F190&lt;&gt;"",$F190&gt;=TODAY(),$F190-TODAY()&lt;=7),"⚠ due soon",""))))</f>
        <v/>
      </c>
    </row>
    <row r="191">
      <c r="A191" s="4" t="n"/>
      <c r="B191" s="4" t="n"/>
      <c r="C191" s="4" t="n"/>
      <c r="D191" s="4" t="n"/>
      <c r="E191" s="4" t="n"/>
      <c r="F191" s="27" t="n"/>
      <c r="G191" s="4" t="n"/>
      <c r="H191" s="4" t="n"/>
      <c r="I191" s="4" t="n"/>
      <c r="J191" s="27" t="n"/>
      <c r="K191" s="4" t="n"/>
      <c r="L191">
        <f>IF($A191="","",IF($G191="Completed","",IF(AND($F191&lt;&gt;"",$F191&lt;TODAY(),$G191&lt;&gt;"Completed"),"⚠ overdue",IF(AND($F191&lt;&gt;"",$F191&gt;=TODAY(),$F191-TODAY()&lt;=7),"⚠ due soon",""))))</f>
        <v/>
      </c>
    </row>
    <row r="192">
      <c r="A192" s="4" t="n"/>
      <c r="B192" s="4" t="n"/>
      <c r="C192" s="4" t="n"/>
      <c r="D192" s="4" t="n"/>
      <c r="E192" s="4" t="n"/>
      <c r="F192" s="27" t="n"/>
      <c r="G192" s="4" t="n"/>
      <c r="H192" s="4" t="n"/>
      <c r="I192" s="4" t="n"/>
      <c r="J192" s="27" t="n"/>
      <c r="K192" s="4" t="n"/>
      <c r="L192">
        <f>IF($A192="","",IF($G192="Completed","",IF(AND($F192&lt;&gt;"",$F192&lt;TODAY(),$G192&lt;&gt;"Completed"),"⚠ overdue",IF(AND($F192&lt;&gt;"",$F192&gt;=TODAY(),$F192-TODAY()&lt;=7),"⚠ due soon",""))))</f>
        <v/>
      </c>
    </row>
    <row r="193">
      <c r="A193" s="4" t="n"/>
      <c r="B193" s="4" t="n"/>
      <c r="C193" s="4" t="n"/>
      <c r="D193" s="4" t="n"/>
      <c r="E193" s="4" t="n"/>
      <c r="F193" s="27" t="n"/>
      <c r="G193" s="4" t="n"/>
      <c r="H193" s="4" t="n"/>
      <c r="I193" s="4" t="n"/>
      <c r="J193" s="27" t="n"/>
      <c r="K193" s="4" t="n"/>
      <c r="L193">
        <f>IF($A193="","",IF($G193="Completed","",IF(AND($F193&lt;&gt;"",$F193&lt;TODAY(),$G193&lt;&gt;"Completed"),"⚠ overdue",IF(AND($F193&lt;&gt;"",$F193&gt;=TODAY(),$F193-TODAY()&lt;=7),"⚠ due soon",""))))</f>
        <v/>
      </c>
    </row>
    <row r="194">
      <c r="A194" s="4" t="n"/>
      <c r="B194" s="4" t="n"/>
      <c r="C194" s="4" t="n"/>
      <c r="D194" s="4" t="n"/>
      <c r="E194" s="4" t="n"/>
      <c r="F194" s="27" t="n"/>
      <c r="G194" s="4" t="n"/>
      <c r="H194" s="4" t="n"/>
      <c r="I194" s="4" t="n"/>
      <c r="J194" s="27" t="n"/>
      <c r="K194" s="4" t="n"/>
      <c r="L194">
        <f>IF($A194="","",IF($G194="Completed","",IF(AND($F194&lt;&gt;"",$F194&lt;TODAY(),$G194&lt;&gt;"Completed"),"⚠ overdue",IF(AND($F194&lt;&gt;"",$F194&gt;=TODAY(),$F194-TODAY()&lt;=7),"⚠ due soon",""))))</f>
        <v/>
      </c>
    </row>
    <row r="195">
      <c r="A195" s="4" t="n"/>
      <c r="B195" s="4" t="n"/>
      <c r="C195" s="4" t="n"/>
      <c r="D195" s="4" t="n"/>
      <c r="E195" s="4" t="n"/>
      <c r="F195" s="27" t="n"/>
      <c r="G195" s="4" t="n"/>
      <c r="H195" s="4" t="n"/>
      <c r="I195" s="4" t="n"/>
      <c r="J195" s="27" t="n"/>
      <c r="K195" s="4" t="n"/>
      <c r="L195">
        <f>IF($A195="","",IF($G195="Completed","",IF(AND($F195&lt;&gt;"",$F195&lt;TODAY(),$G195&lt;&gt;"Completed"),"⚠ overdue",IF(AND($F195&lt;&gt;"",$F195&gt;=TODAY(),$F195-TODAY()&lt;=7),"⚠ due soon",""))))</f>
        <v/>
      </c>
    </row>
    <row r="196">
      <c r="A196" s="4" t="n"/>
      <c r="B196" s="4" t="n"/>
      <c r="C196" s="4" t="n"/>
      <c r="D196" s="4" t="n"/>
      <c r="E196" s="4" t="n"/>
      <c r="F196" s="27" t="n"/>
      <c r="G196" s="4" t="n"/>
      <c r="H196" s="4" t="n"/>
      <c r="I196" s="4" t="n"/>
      <c r="J196" s="27" t="n"/>
      <c r="K196" s="4" t="n"/>
      <c r="L196">
        <f>IF($A196="","",IF($G196="Completed","",IF(AND($F196&lt;&gt;"",$F196&lt;TODAY(),$G196&lt;&gt;"Completed"),"⚠ overdue",IF(AND($F196&lt;&gt;"",$F196&gt;=TODAY(),$F196-TODAY()&lt;=7),"⚠ due soon",""))))</f>
        <v/>
      </c>
    </row>
    <row r="197">
      <c r="A197" s="4" t="n"/>
      <c r="B197" s="4" t="n"/>
      <c r="C197" s="4" t="n"/>
      <c r="D197" s="4" t="n"/>
      <c r="E197" s="4" t="n"/>
      <c r="F197" s="27" t="n"/>
      <c r="G197" s="4" t="n"/>
      <c r="H197" s="4" t="n"/>
      <c r="I197" s="4" t="n"/>
      <c r="J197" s="27" t="n"/>
      <c r="K197" s="4" t="n"/>
      <c r="L197">
        <f>IF($A197="","",IF($G197="Completed","",IF(AND($F197&lt;&gt;"",$F197&lt;TODAY(),$G197&lt;&gt;"Completed"),"⚠ overdue",IF(AND($F197&lt;&gt;"",$F197&gt;=TODAY(),$F197-TODAY()&lt;=7),"⚠ due soon",""))))</f>
        <v/>
      </c>
    </row>
    <row r="198">
      <c r="A198" s="4" t="n"/>
      <c r="B198" s="4" t="n"/>
      <c r="C198" s="4" t="n"/>
      <c r="D198" s="4" t="n"/>
      <c r="E198" s="4" t="n"/>
      <c r="F198" s="27" t="n"/>
      <c r="G198" s="4" t="n"/>
      <c r="H198" s="4" t="n"/>
      <c r="I198" s="4" t="n"/>
      <c r="J198" s="27" t="n"/>
      <c r="K198" s="4" t="n"/>
      <c r="L198">
        <f>IF($A198="","",IF($G198="Completed","",IF(AND($F198&lt;&gt;"",$F198&lt;TODAY(),$G198&lt;&gt;"Completed"),"⚠ overdue",IF(AND($F198&lt;&gt;"",$F198&gt;=TODAY(),$F198-TODAY()&lt;=7),"⚠ due soon",""))))</f>
        <v/>
      </c>
    </row>
    <row r="199">
      <c r="A199" s="4" t="n"/>
      <c r="B199" s="4" t="n"/>
      <c r="C199" s="4" t="n"/>
      <c r="D199" s="4" t="n"/>
      <c r="E199" s="4" t="n"/>
      <c r="F199" s="27" t="n"/>
      <c r="G199" s="4" t="n"/>
      <c r="H199" s="4" t="n"/>
      <c r="I199" s="4" t="n"/>
      <c r="J199" s="27" t="n"/>
      <c r="K199" s="4" t="n"/>
      <c r="L199">
        <f>IF($A199="","",IF($G199="Completed","",IF(AND($F199&lt;&gt;"",$F199&lt;TODAY(),$G199&lt;&gt;"Completed"),"⚠ overdue",IF(AND($F199&lt;&gt;"",$F199&gt;=TODAY(),$F199-TODAY()&lt;=7),"⚠ due soon",""))))</f>
        <v/>
      </c>
    </row>
    <row r="200">
      <c r="A200" s="4" t="n"/>
      <c r="B200" s="4" t="n"/>
      <c r="C200" s="4" t="n"/>
      <c r="D200" s="4" t="n"/>
      <c r="E200" s="4" t="n"/>
      <c r="F200" s="27" t="n"/>
      <c r="G200" s="4" t="n"/>
      <c r="H200" s="4" t="n"/>
      <c r="I200" s="4" t="n"/>
      <c r="J200" s="27" t="n"/>
      <c r="K200" s="4" t="n"/>
      <c r="L200">
        <f>IF($A200="","",IF($G200="Completed","",IF(AND($F200&lt;&gt;"",$F200&lt;TODAY(),$G200&lt;&gt;"Completed"),"⚠ overdue",IF(AND($F200&lt;&gt;"",$F200&gt;=TODAY(),$F200-TODAY()&lt;=7),"⚠ due soon",""))))</f>
        <v/>
      </c>
    </row>
    <row r="201">
      <c r="A201" s="4" t="n"/>
      <c r="B201" s="4" t="n"/>
      <c r="C201" s="4" t="n"/>
      <c r="D201" s="4" t="n"/>
      <c r="E201" s="4" t="n"/>
      <c r="F201" s="27" t="n"/>
      <c r="G201" s="4" t="n"/>
      <c r="H201" s="4" t="n"/>
      <c r="I201" s="4" t="n"/>
      <c r="J201" s="27" t="n"/>
      <c r="K201" s="4" t="n"/>
      <c r="L201">
        <f>IF($A201="","",IF($G201="Completed","",IF(AND($F201&lt;&gt;"",$F201&lt;TODAY(),$G201&lt;&gt;"Completed"),"⚠ overdue",IF(AND($F201&lt;&gt;"",$F201&gt;=TODAY(),$F201-TODAY()&lt;=7),"⚠ due soon",""))))</f>
        <v/>
      </c>
    </row>
    <row r="202">
      <c r="A202" s="4" t="n"/>
      <c r="B202" s="4" t="n"/>
      <c r="C202" s="4" t="n"/>
      <c r="D202" s="4" t="n"/>
      <c r="E202" s="4" t="n"/>
      <c r="F202" s="27" t="n"/>
      <c r="G202" s="4" t="n"/>
      <c r="H202" s="4" t="n"/>
      <c r="I202" s="4" t="n"/>
      <c r="J202" s="27" t="n"/>
      <c r="K202" s="4" t="n"/>
      <c r="L202">
        <f>IF($A202="","",IF($G202="Completed","",IF(AND($F202&lt;&gt;"",$F202&lt;TODAY(),$G202&lt;&gt;"Completed"),"⚠ overdue",IF(AND($F202&lt;&gt;"",$F202&gt;=TODAY(),$F202-TODAY()&lt;=7),"⚠ due soon",""))))</f>
        <v/>
      </c>
    </row>
    <row r="203">
      <c r="A203" s="4" t="n"/>
      <c r="B203" s="4" t="n"/>
      <c r="C203" s="4" t="n"/>
      <c r="D203" s="4" t="n"/>
      <c r="E203" s="4" t="n"/>
      <c r="F203" s="27" t="n"/>
      <c r="G203" s="4" t="n"/>
      <c r="H203" s="4" t="n"/>
      <c r="I203" s="4" t="n"/>
      <c r="J203" s="27" t="n"/>
      <c r="K203" s="4" t="n"/>
      <c r="L203">
        <f>IF($A203="","",IF($G203="Completed","",IF(AND($F203&lt;&gt;"",$F203&lt;TODAY(),$G203&lt;&gt;"Completed"),"⚠ overdue",IF(AND($F203&lt;&gt;"",$F203&gt;=TODAY(),$F203-TODAY()&lt;=7),"⚠ due soon",""))))</f>
        <v/>
      </c>
    </row>
  </sheetData>
  <sheetProtection selectLockedCells="0" selectUnlockedCells="0" sheet="1" objects="0" insertRows="1" insertHyperlinks="1" autoFilter="0" scenarios="0" formatColumns="0" deleteColumns="1" insertColumns="1" pivotTables="1" deleteRows="1" formatCells="1" formatRows="0" sort="0"/>
  <autoFilter ref="A3:L3"/>
  <dataValidations count="4">
    <dataValidation sqref="B4:B203" showDropDown="0" showInputMessage="0" showErrorMessage="0" allowBlank="1" type="list">
      <formula1>"First 30 Days,30-60 Days,60-90 Days,Closeout"</formula1>
    </dataValidation>
    <dataValidation sqref="D4:D203" showDropDown="0" showInputMessage="0" showErrorMessage="0" allowBlank="1" type="list">
      <formula1>"Administrative,Financial,Legal,Assets,Liabilities,Distributions,Other"</formula1>
    </dataValidation>
    <dataValidation sqref="G4:G203" showDropDown="0" showInputMessage="0" showErrorMessage="0" allowBlank="1" type="list">
      <formula1>"Open,Waiting,Completed,Blocked"</formula1>
    </dataValidation>
    <dataValidation sqref="H4:H203"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3.8"/>
  <cols>
    <col width="8" customWidth="1" style="21" min="1" max="1"/>
    <col width="20" customWidth="1" style="21" min="2" max="2"/>
    <col width="26" customWidth="1" style="21" min="3" max="3"/>
    <col width="22" customWidth="1" style="21" min="4" max="4"/>
    <col width="13" customWidth="1" style="21" min="5" max="6"/>
    <col width="12" customWidth="1" style="21" min="7" max="7"/>
    <col width="9" customWidth="1" style="21" min="8" max="8"/>
    <col width="16" customWidth="1" style="21" min="9" max="9"/>
    <col width="18" customWidth="1" style="21" min="10" max="10"/>
    <col width="15" customWidth="1" style="21" min="11" max="11"/>
    <col width="14" customWidth="1" style="21" min="12" max="12"/>
  </cols>
  <sheetData>
    <row r="1" ht="17.4" customHeight="1" s="21">
      <c r="A1" s="16" t="inlineStr">
        <is>
          <t>ASSET REGISTER</t>
        </is>
      </c>
    </row>
    <row r="2" ht="303.6" customHeight="1" s="21">
      <c r="A2" s="20" t="inlineStr">
        <is>
          <t>Not every asset is automatically "collected" — disposition differs by asset type. The Warning column flags what still needs attention.</t>
        </is>
      </c>
    </row>
    <row r="3" ht="15.6" customHeight="1" s="21">
      <c r="A3" s="1" t="inlineStr">
        <is>
          <t>Asset ID</t>
        </is>
      </c>
      <c r="B3" s="1" t="inlineStr">
        <is>
          <t>Asset Type</t>
        </is>
      </c>
      <c r="C3" s="1" t="inlineStr">
        <is>
          <t>Institution / Description</t>
        </is>
      </c>
      <c r="D3" s="1" t="inlineStr">
        <is>
          <t>Ownership/Title Notes</t>
        </is>
      </c>
      <c r="E3" s="1" t="inlineStr">
        <is>
          <t>Estimated Value</t>
        </is>
      </c>
      <c r="F3" s="1" t="inlineStr">
        <is>
          <t>Valuation Date</t>
        </is>
      </c>
      <c r="G3" s="1" t="inlineStr">
        <is>
          <t>Reference Suffix</t>
        </is>
      </c>
      <c r="H3" s="1" t="inlineStr">
        <is>
          <t>Located?</t>
        </is>
      </c>
      <c r="I3" s="1" t="inlineStr">
        <is>
          <t>Documentation Status</t>
        </is>
      </c>
      <c r="J3" s="1" t="inlineStr">
        <is>
          <t>Disposition/Collection Status</t>
        </is>
      </c>
      <c r="K3" s="1" t="inlineStr">
        <is>
          <t>Actual Amount Received</t>
        </is>
      </c>
      <c r="L3" s="1" t="inlineStr">
        <is>
          <t>Date Received</t>
        </is>
      </c>
      <c r="M3" s="1" t="inlineStr">
        <is>
          <t>Warning (auto)</t>
        </is>
      </c>
    </row>
    <row r="4">
      <c r="A4" s="4" t="inlineStr">
        <is>
          <t>A1</t>
        </is>
      </c>
      <c r="B4" s="4" t="inlineStr">
        <is>
          <t>Checking Account</t>
        </is>
      </c>
      <c r="C4" s="4" t="inlineStr">
        <is>
          <t>First National Bank</t>
        </is>
      </c>
      <c r="D4" s="4" t="inlineStr">
        <is>
          <t>Individual, sole owner</t>
        </is>
      </c>
      <c r="E4" s="28" t="n">
        <v>6250</v>
      </c>
      <c r="F4" s="27" t="n">
        <v>46199</v>
      </c>
      <c r="G4" s="4" t="inlineStr">
        <is>
          <t>...3391</t>
        </is>
      </c>
      <c r="H4" s="4" t="inlineStr">
        <is>
          <t>Yes</t>
        </is>
      </c>
      <c r="I4" s="4" t="inlineStr">
        <is>
          <t>Complete</t>
        </is>
      </c>
      <c r="J4" s="4" t="inlineStr">
        <is>
          <t>Collected</t>
        </is>
      </c>
      <c r="K4" s="28" t="n">
        <v>6250</v>
      </c>
      <c r="L4" s="27" t="n">
        <v>46217</v>
      </c>
      <c r="M4">
        <f>IF($A4="","",IF($H4="No","⚠ not located",IF($J4="Unresolved","⚠ unresolved disposition",IF($I4="Missing","⚠ documentation missing",""))))</f>
        <v/>
      </c>
    </row>
    <row r="5">
      <c r="A5" s="4" t="inlineStr">
        <is>
          <t>A2</t>
        </is>
      </c>
      <c r="B5" s="4" t="inlineStr">
        <is>
          <t>Home -- 214 Larkspur Ave</t>
        </is>
      </c>
      <c r="C5" s="4" t="inlineStr">
        <is>
          <t>Primary residence</t>
        </is>
      </c>
      <c r="D5" s="4" t="inlineStr">
        <is>
          <t>Sole owner, no mortgage</t>
        </is>
      </c>
      <c r="E5" s="28" t="n">
        <v>385000</v>
      </c>
      <c r="F5" s="27" t="n">
        <v>46237</v>
      </c>
      <c r="G5" s="4" t="n"/>
      <c r="H5" s="4" t="inlineStr">
        <is>
          <t>Yes</t>
        </is>
      </c>
      <c r="I5" s="4" t="inlineStr">
        <is>
          <t>Pending Appraisal</t>
        </is>
      </c>
      <c r="J5" s="4" t="inlineStr">
        <is>
          <t>Not Yet Disposed</t>
        </is>
      </c>
      <c r="K5" s="28" t="n">
        <v>0</v>
      </c>
      <c r="L5" s="4" t="n"/>
      <c r="M5">
        <f>IF($A5="","",IF($H5="No","⚠ not located",IF($J5="Unresolved","⚠ unresolved disposition",IF($I5="Missing","⚠ documentation missing",""))))</f>
        <v/>
      </c>
    </row>
    <row r="6">
      <c r="A6" s="4" t="inlineStr">
        <is>
          <t>A3</t>
        </is>
      </c>
      <c r="B6" s="4" t="inlineStr">
        <is>
          <t>Life Insurance Policy</t>
        </is>
      </c>
      <c r="C6" s="4" t="inlineStr">
        <is>
          <t>Meridian Life</t>
        </is>
      </c>
      <c r="D6" s="4" t="inlineStr">
        <is>
          <t>Estate named as backup beneficiary</t>
        </is>
      </c>
      <c r="E6" s="28" t="n">
        <v>15000</v>
      </c>
      <c r="F6" s="27" t="n">
        <v>46212</v>
      </c>
      <c r="G6" s="4" t="inlineStr">
        <is>
          <t>Policy ...8820</t>
        </is>
      </c>
      <c r="H6" s="4" t="inlineStr">
        <is>
          <t>Yes</t>
        </is>
      </c>
      <c r="I6" s="4" t="inlineStr">
        <is>
          <t>Complete</t>
        </is>
      </c>
      <c r="J6" s="4" t="inlineStr">
        <is>
          <t>Collected</t>
        </is>
      </c>
      <c r="K6" s="28" t="n">
        <v>15000</v>
      </c>
      <c r="L6" s="27" t="n">
        <v>46227</v>
      </c>
      <c r="M6">
        <f>IF($A6="","",IF($H6="No","⚠ not located",IF($J6="Unresolved","⚠ unresolved disposition",IF($I6="Missing","⚠ documentation missing",""))))</f>
        <v/>
      </c>
    </row>
    <row r="7">
      <c r="A7" s="4" t="inlineStr">
        <is>
          <t>A4</t>
        </is>
      </c>
      <c r="B7" s="4" t="inlineStr">
        <is>
          <t>Vehicle -- 2019 Sedan</t>
        </is>
      </c>
      <c r="C7" s="4" t="inlineStr">
        <is>
          <t>Personal property</t>
        </is>
      </c>
      <c r="D7" s="4" t="inlineStr">
        <is>
          <t>Sole owner</t>
        </is>
      </c>
      <c r="E7" s="28" t="n">
        <v>11500</v>
      </c>
      <c r="F7" s="27" t="n">
        <v>46207</v>
      </c>
      <c r="G7" s="4" t="inlineStr">
        <is>
          <t>VIN ...4471</t>
        </is>
      </c>
      <c r="H7" s="4" t="inlineStr">
        <is>
          <t>Yes</t>
        </is>
      </c>
      <c r="I7" s="4" t="inlineStr">
        <is>
          <t>Complete</t>
        </is>
      </c>
      <c r="J7" s="4" t="inlineStr">
        <is>
          <t>Not Yet Disposed</t>
        </is>
      </c>
      <c r="K7" s="28" t="n">
        <v>0</v>
      </c>
      <c r="L7" s="4" t="n"/>
      <c r="M7">
        <f>IF($A7="","",IF($H7="No","⚠ not located",IF($J7="Unresolved","⚠ unresolved disposition",IF($I7="Missing","⚠ documentation missing",""))))</f>
        <v/>
      </c>
    </row>
    <row r="8">
      <c r="A8" s="4" t="inlineStr">
        <is>
          <t>A5</t>
        </is>
      </c>
      <c r="B8" s="4" t="inlineStr">
        <is>
          <t>Safe Deposit Box Contents</t>
        </is>
      </c>
      <c r="C8" s="4" t="inlineStr">
        <is>
          <t>First National Bank</t>
        </is>
      </c>
      <c r="D8" s="4" t="inlineStr">
        <is>
          <t>Contents not yet fully valued</t>
        </is>
      </c>
      <c r="E8" s="28" t="n">
        <v>0</v>
      </c>
      <c r="F8" s="4" t="n"/>
      <c r="G8" s="4" t="n"/>
      <c r="H8" s="4" t="inlineStr">
        <is>
          <t>No</t>
        </is>
      </c>
      <c r="I8" s="4" t="inlineStr">
        <is>
          <t>Missing</t>
        </is>
      </c>
      <c r="J8" s="4" t="inlineStr">
        <is>
          <t>Unresolved</t>
        </is>
      </c>
      <c r="K8" s="28" t="n">
        <v>0</v>
      </c>
      <c r="L8" s="4" t="n"/>
      <c r="M8">
        <f>IF($A8="","",IF($H8="No","⚠ not located",IF($J8="Unresolved","⚠ unresolved disposition",IF($I8="Missing","⚠ documentation missing",""))))</f>
        <v/>
      </c>
    </row>
    <row r="9">
      <c r="A9" s="4" t="inlineStr">
        <is>
          <t>A6</t>
        </is>
      </c>
      <c r="B9" s="4" t="inlineStr">
        <is>
          <t>Brokerage Account</t>
        </is>
      </c>
      <c r="C9" s="4" t="inlineStr">
        <is>
          <t>Vantage Investments</t>
        </is>
      </c>
      <c r="D9" s="4" t="inlineStr">
        <is>
          <t>Individual, sole owner</t>
        </is>
      </c>
      <c r="E9" s="28" t="n">
        <v>22400</v>
      </c>
      <c r="F9" s="27" t="n">
        <v>46205</v>
      </c>
      <c r="G9" s="4" t="inlineStr">
        <is>
          <t>...5510</t>
        </is>
      </c>
      <c r="H9" s="4" t="inlineStr">
        <is>
          <t>Yes</t>
        </is>
      </c>
      <c r="I9" s="4" t="inlineStr">
        <is>
          <t>Complete</t>
        </is>
      </c>
      <c r="J9" s="4" t="inlineStr">
        <is>
          <t>Collected</t>
        </is>
      </c>
      <c r="K9" s="28" t="n">
        <v>22400</v>
      </c>
      <c r="L9" s="27" t="n">
        <v>46232</v>
      </c>
      <c r="M9">
        <f>IF($A9="","",IF($H9="No","⚠ not located",IF($J9="Unresolved","⚠ unresolved disposition",IF($I9="Missing","⚠ documentation missing",""))))</f>
        <v/>
      </c>
    </row>
    <row r="10">
      <c r="A10" s="4" t="n"/>
      <c r="B10" s="4" t="n"/>
      <c r="C10" s="4" t="n"/>
      <c r="D10" s="4" t="n"/>
      <c r="E10" s="4" t="n"/>
      <c r="F10" s="4" t="n"/>
      <c r="G10" s="4" t="n"/>
      <c r="H10" s="4" t="n"/>
      <c r="I10" s="4" t="n"/>
      <c r="J10" s="4" t="n"/>
      <c r="K10" s="4" t="n"/>
      <c r="L10" s="4" t="n"/>
      <c r="M10">
        <f>IF($A10="","",IF($H10="No","⚠ not located",IF($J10="Unresolved","⚠ unresolved disposition",IF($I10="Missing","⚠ documentation missing",""))))</f>
        <v/>
      </c>
    </row>
    <row r="11">
      <c r="A11" s="4" t="n"/>
      <c r="B11" s="4" t="n"/>
      <c r="C11" s="4" t="n"/>
      <c r="D11" s="4" t="n"/>
      <c r="E11" s="28" t="n"/>
      <c r="F11" s="27" t="n"/>
      <c r="G11" s="4" t="n"/>
      <c r="H11" s="4" t="n"/>
      <c r="I11" s="4" t="n"/>
      <c r="J11" s="4" t="n"/>
      <c r="K11" s="28" t="n"/>
      <c r="L11" s="27" t="n"/>
      <c r="M11">
        <f>IF($A11="","",IF($H11="No","⚠ not located",IF($J11="Unresolved","⚠ unresolved disposition",IF($I11="Missing","⚠ documentation missing",""))))</f>
        <v/>
      </c>
    </row>
    <row r="12">
      <c r="A12" s="4" t="n"/>
      <c r="B12" s="4" t="n"/>
      <c r="C12" s="4" t="n"/>
      <c r="D12" s="4" t="n"/>
      <c r="E12" s="28" t="n"/>
      <c r="F12" s="27" t="n"/>
      <c r="G12" s="4" t="n"/>
      <c r="H12" s="4" t="n"/>
      <c r="I12" s="4" t="n"/>
      <c r="J12" s="4" t="n"/>
      <c r="K12" s="28" t="n"/>
      <c r="L12" s="27" t="n"/>
      <c r="M12">
        <f>IF($A12="","",IF($H12="No","⚠ not located",IF($J12="Unresolved","⚠ unresolved disposition",IF($I12="Missing","⚠ documentation missing",""))))</f>
        <v/>
      </c>
    </row>
    <row r="13">
      <c r="A13" s="4" t="n"/>
      <c r="B13" s="4" t="n"/>
      <c r="C13" s="4" t="n"/>
      <c r="D13" s="4" t="n"/>
      <c r="E13" s="28" t="n"/>
      <c r="F13" s="27" t="n"/>
      <c r="G13" s="4" t="n"/>
      <c r="H13" s="4" t="n"/>
      <c r="I13" s="4" t="n"/>
      <c r="J13" s="4" t="n"/>
      <c r="K13" s="28" t="n"/>
      <c r="L13" s="27" t="n"/>
      <c r="M13">
        <f>IF($A13="","",IF($H13="No","⚠ not located",IF($J13="Unresolved","⚠ unresolved disposition",IF($I13="Missing","⚠ documentation missing",""))))</f>
        <v/>
      </c>
    </row>
    <row r="14">
      <c r="A14" s="4" t="n"/>
      <c r="B14" s="4" t="n"/>
      <c r="C14" s="4" t="n"/>
      <c r="D14" s="4" t="n"/>
      <c r="E14" s="28" t="n"/>
      <c r="F14" s="27" t="n"/>
      <c r="G14" s="4" t="n"/>
      <c r="H14" s="4" t="n"/>
      <c r="I14" s="4" t="n"/>
      <c r="J14" s="4" t="n"/>
      <c r="K14" s="28" t="n"/>
      <c r="L14" s="27" t="n"/>
      <c r="M14">
        <f>IF($A14="","",IF($H14="No","⚠ not located",IF($J14="Unresolved","⚠ unresolved disposition",IF($I14="Missing","⚠ documentation missing",""))))</f>
        <v/>
      </c>
    </row>
    <row r="15">
      <c r="A15" s="4" t="n"/>
      <c r="B15" s="4" t="n"/>
      <c r="C15" s="4" t="n"/>
      <c r="D15" s="4" t="n"/>
      <c r="E15" s="28" t="n"/>
      <c r="F15" s="27" t="n"/>
      <c r="G15" s="4" t="n"/>
      <c r="H15" s="4" t="n"/>
      <c r="I15" s="4" t="n"/>
      <c r="J15" s="4" t="n"/>
      <c r="K15" s="28" t="n"/>
      <c r="L15" s="27" t="n"/>
      <c r="M15">
        <f>IF($A15="","",IF($H15="No","⚠ not located",IF($J15="Unresolved","⚠ unresolved disposition",IF($I15="Missing","⚠ documentation missing",""))))</f>
        <v/>
      </c>
    </row>
    <row r="16">
      <c r="A16" s="4" t="n"/>
      <c r="B16" s="4" t="n"/>
      <c r="C16" s="4" t="n"/>
      <c r="D16" s="4" t="n"/>
      <c r="E16" s="28" t="n"/>
      <c r="F16" s="27" t="n"/>
      <c r="G16" s="4" t="n"/>
      <c r="H16" s="4" t="n"/>
      <c r="I16" s="4" t="n"/>
      <c r="J16" s="4" t="n"/>
      <c r="K16" s="28" t="n"/>
      <c r="L16" s="27" t="n"/>
      <c r="M16">
        <f>IF($A16="","",IF($H16="No","⚠ not located",IF($J16="Unresolved","⚠ unresolved disposition",IF($I16="Missing","⚠ documentation missing",""))))</f>
        <v/>
      </c>
    </row>
    <row r="17">
      <c r="A17" s="4" t="n"/>
      <c r="B17" s="4" t="n"/>
      <c r="C17" s="4" t="n"/>
      <c r="D17" s="4" t="n"/>
      <c r="E17" s="28" t="n"/>
      <c r="F17" s="27" t="n"/>
      <c r="G17" s="4" t="n"/>
      <c r="H17" s="4" t="n"/>
      <c r="I17" s="4" t="n"/>
      <c r="J17" s="4" t="n"/>
      <c r="K17" s="28" t="n"/>
      <c r="L17" s="27" t="n"/>
      <c r="M17">
        <f>IF($A17="","",IF($H17="No","⚠ not located",IF($J17="Unresolved","⚠ unresolved disposition",IF($I17="Missing","⚠ documentation missing",""))))</f>
        <v/>
      </c>
    </row>
    <row r="18">
      <c r="A18" s="4" t="n"/>
      <c r="B18" s="4" t="n"/>
      <c r="C18" s="4" t="n"/>
      <c r="D18" s="4" t="n"/>
      <c r="E18" s="28" t="n"/>
      <c r="F18" s="27" t="n"/>
      <c r="G18" s="4" t="n"/>
      <c r="H18" s="4" t="n"/>
      <c r="I18" s="4" t="n"/>
      <c r="J18" s="4" t="n"/>
      <c r="K18" s="28" t="n"/>
      <c r="L18" s="27" t="n"/>
      <c r="M18">
        <f>IF($A18="","",IF($H18="No","⚠ not located",IF($J18="Unresolved","⚠ unresolved disposition",IF($I18="Missing","⚠ documentation missing",""))))</f>
        <v/>
      </c>
    </row>
    <row r="19">
      <c r="A19" s="4" t="n"/>
      <c r="B19" s="4" t="n"/>
      <c r="C19" s="4" t="n"/>
      <c r="D19" s="4" t="n"/>
      <c r="E19" s="28" t="n"/>
      <c r="F19" s="27" t="n"/>
      <c r="G19" s="4" t="n"/>
      <c r="H19" s="4" t="n"/>
      <c r="I19" s="4" t="n"/>
      <c r="J19" s="4" t="n"/>
      <c r="K19" s="28" t="n"/>
      <c r="L19" s="27" t="n"/>
      <c r="M19">
        <f>IF($A19="","",IF($H19="No","⚠ not located",IF($J19="Unresolved","⚠ unresolved disposition",IF($I19="Missing","⚠ documentation missing",""))))</f>
        <v/>
      </c>
    </row>
    <row r="20">
      <c r="A20" s="4" t="n"/>
      <c r="B20" s="4" t="n"/>
      <c r="C20" s="4" t="n"/>
      <c r="D20" s="4" t="n"/>
      <c r="E20" s="28" t="n"/>
      <c r="F20" s="27" t="n"/>
      <c r="G20" s="4" t="n"/>
      <c r="H20" s="4" t="n"/>
      <c r="I20" s="4" t="n"/>
      <c r="J20" s="4" t="n"/>
      <c r="K20" s="28" t="n"/>
      <c r="L20" s="27" t="n"/>
      <c r="M20">
        <f>IF($A20="","",IF($H20="No","⚠ not located",IF($J20="Unresolved","⚠ unresolved disposition",IF($I20="Missing","⚠ documentation missing",""))))</f>
        <v/>
      </c>
    </row>
    <row r="21">
      <c r="A21" s="4" t="n"/>
      <c r="B21" s="4" t="n"/>
      <c r="C21" s="4" t="n"/>
      <c r="D21" s="4" t="n"/>
      <c r="E21" s="28" t="n"/>
      <c r="F21" s="27" t="n"/>
      <c r="G21" s="4" t="n"/>
      <c r="H21" s="4" t="n"/>
      <c r="I21" s="4" t="n"/>
      <c r="J21" s="4" t="n"/>
      <c r="K21" s="28" t="n"/>
      <c r="L21" s="27" t="n"/>
      <c r="M21">
        <f>IF($A21="","",IF($H21="No","⚠ not located",IF($J21="Unresolved","⚠ unresolved disposition",IF($I21="Missing","⚠ documentation missing",""))))</f>
        <v/>
      </c>
    </row>
    <row r="22">
      <c r="A22" s="4" t="n"/>
      <c r="B22" s="4" t="n"/>
      <c r="C22" s="4" t="n"/>
      <c r="D22" s="4" t="n"/>
      <c r="E22" s="28" t="n"/>
      <c r="F22" s="27" t="n"/>
      <c r="G22" s="4" t="n"/>
      <c r="H22" s="4" t="n"/>
      <c r="I22" s="4" t="n"/>
      <c r="J22" s="4" t="n"/>
      <c r="K22" s="28" t="n"/>
      <c r="L22" s="27" t="n"/>
      <c r="M22">
        <f>IF($A22="","",IF($H22="No","⚠ not located",IF($J22="Unresolved","⚠ unresolved disposition",IF($I22="Missing","⚠ documentation missing",""))))</f>
        <v/>
      </c>
    </row>
    <row r="23">
      <c r="A23" s="4" t="n"/>
      <c r="B23" s="4" t="n"/>
      <c r="C23" s="4" t="n"/>
      <c r="D23" s="4" t="n"/>
      <c r="E23" s="28" t="n"/>
      <c r="F23" s="27" t="n"/>
      <c r="G23" s="4" t="n"/>
      <c r="H23" s="4" t="n"/>
      <c r="I23" s="4" t="n"/>
      <c r="J23" s="4" t="n"/>
      <c r="K23" s="28" t="n"/>
      <c r="L23" s="27" t="n"/>
      <c r="M23">
        <f>IF($A23="","",IF($H23="No","⚠ not located",IF($J23="Unresolved","⚠ unresolved disposition",IF($I23="Missing","⚠ documentation missing",""))))</f>
        <v/>
      </c>
    </row>
    <row r="24">
      <c r="A24" s="4" t="n"/>
      <c r="B24" s="4" t="n"/>
      <c r="C24" s="4" t="n"/>
      <c r="D24" s="4" t="n"/>
      <c r="E24" s="28" t="n"/>
      <c r="F24" s="27" t="n"/>
      <c r="G24" s="4" t="n"/>
      <c r="H24" s="4" t="n"/>
      <c r="I24" s="4" t="n"/>
      <c r="J24" s="4" t="n"/>
      <c r="K24" s="28" t="n"/>
      <c r="L24" s="27" t="n"/>
      <c r="M24">
        <f>IF($A24="","",IF($H24="No","⚠ not located",IF($J24="Unresolved","⚠ unresolved disposition",IF($I24="Missing","⚠ documentation missing",""))))</f>
        <v/>
      </c>
    </row>
    <row r="25">
      <c r="A25" s="4" t="n"/>
      <c r="B25" s="4" t="n"/>
      <c r="C25" s="4" t="n"/>
      <c r="D25" s="4" t="n"/>
      <c r="E25" s="28" t="n"/>
      <c r="F25" s="27" t="n"/>
      <c r="G25" s="4" t="n"/>
      <c r="H25" s="4" t="n"/>
      <c r="I25" s="4" t="n"/>
      <c r="J25" s="4" t="n"/>
      <c r="K25" s="28" t="n"/>
      <c r="L25" s="27" t="n"/>
      <c r="M25">
        <f>IF($A25="","",IF($H25="No","⚠ not located",IF($J25="Unresolved","⚠ unresolved disposition",IF($I25="Missing","⚠ documentation missing",""))))</f>
        <v/>
      </c>
    </row>
    <row r="26">
      <c r="A26" s="4" t="n"/>
      <c r="B26" s="4" t="n"/>
      <c r="C26" s="4" t="n"/>
      <c r="D26" s="4" t="n"/>
      <c r="E26" s="28" t="n"/>
      <c r="F26" s="27" t="n"/>
      <c r="G26" s="4" t="n"/>
      <c r="H26" s="4" t="n"/>
      <c r="I26" s="4" t="n"/>
      <c r="J26" s="4" t="n"/>
      <c r="K26" s="28" t="n"/>
      <c r="L26" s="27" t="n"/>
      <c r="M26">
        <f>IF($A26="","",IF($H26="No","⚠ not located",IF($J26="Unresolved","⚠ unresolved disposition",IF($I26="Missing","⚠ documentation missing",""))))</f>
        <v/>
      </c>
    </row>
    <row r="27">
      <c r="A27" s="4" t="n"/>
      <c r="B27" s="4" t="n"/>
      <c r="C27" s="4" t="n"/>
      <c r="D27" s="4" t="n"/>
      <c r="E27" s="28" t="n"/>
      <c r="F27" s="27" t="n"/>
      <c r="G27" s="4" t="n"/>
      <c r="H27" s="4" t="n"/>
      <c r="I27" s="4" t="n"/>
      <c r="J27" s="4" t="n"/>
      <c r="K27" s="28" t="n"/>
      <c r="L27" s="27" t="n"/>
      <c r="M27">
        <f>IF($A27="","",IF($H27="No","⚠ not located",IF($J27="Unresolved","⚠ unresolved disposition",IF($I27="Missing","⚠ documentation missing",""))))</f>
        <v/>
      </c>
    </row>
    <row r="28">
      <c r="A28" s="4" t="n"/>
      <c r="B28" s="4" t="n"/>
      <c r="C28" s="4" t="n"/>
      <c r="D28" s="4" t="n"/>
      <c r="E28" s="28" t="n"/>
      <c r="F28" s="27" t="n"/>
      <c r="G28" s="4" t="n"/>
      <c r="H28" s="4" t="n"/>
      <c r="I28" s="4" t="n"/>
      <c r="J28" s="4" t="n"/>
      <c r="K28" s="28" t="n"/>
      <c r="L28" s="27" t="n"/>
      <c r="M28">
        <f>IF($A28="","",IF($H28="No","⚠ not located",IF($J28="Unresolved","⚠ unresolved disposition",IF($I28="Missing","⚠ documentation missing",""))))</f>
        <v/>
      </c>
    </row>
    <row r="29">
      <c r="A29" s="4" t="n"/>
      <c r="B29" s="4" t="n"/>
      <c r="C29" s="4" t="n"/>
      <c r="D29" s="4" t="n"/>
      <c r="E29" s="28" t="n"/>
      <c r="F29" s="27" t="n"/>
      <c r="G29" s="4" t="n"/>
      <c r="H29" s="4" t="n"/>
      <c r="I29" s="4" t="n"/>
      <c r="J29" s="4" t="n"/>
      <c r="K29" s="28" t="n"/>
      <c r="L29" s="27" t="n"/>
      <c r="M29">
        <f>IF($A29="","",IF($H29="No","⚠ not located",IF($J29="Unresolved","⚠ unresolved disposition",IF($I29="Missing","⚠ documentation missing",""))))</f>
        <v/>
      </c>
    </row>
    <row r="30">
      <c r="A30" s="4" t="n"/>
      <c r="B30" s="4" t="n"/>
      <c r="C30" s="4" t="n"/>
      <c r="D30" s="4" t="n"/>
      <c r="E30" s="28" t="n"/>
      <c r="F30" s="27" t="n"/>
      <c r="G30" s="4" t="n"/>
      <c r="H30" s="4" t="n"/>
      <c r="I30" s="4" t="n"/>
      <c r="J30" s="4" t="n"/>
      <c r="K30" s="28" t="n"/>
      <c r="L30" s="27" t="n"/>
      <c r="M30">
        <f>IF($A30="","",IF($H30="No","⚠ not located",IF($J30="Unresolved","⚠ unresolved disposition",IF($I30="Missing","⚠ documentation missing",""))))</f>
        <v/>
      </c>
    </row>
    <row r="31">
      <c r="A31" s="4" t="n"/>
      <c r="B31" s="4" t="n"/>
      <c r="C31" s="4" t="n"/>
      <c r="D31" s="4" t="n"/>
      <c r="E31" s="28" t="n"/>
      <c r="F31" s="27" t="n"/>
      <c r="G31" s="4" t="n"/>
      <c r="H31" s="4" t="n"/>
      <c r="I31" s="4" t="n"/>
      <c r="J31" s="4" t="n"/>
      <c r="K31" s="28" t="n"/>
      <c r="L31" s="27" t="n"/>
      <c r="M31">
        <f>IF($A31="","",IF($H31="No","⚠ not located",IF($J31="Unresolved","⚠ unresolved disposition",IF($I31="Missing","⚠ documentation missing",""))))</f>
        <v/>
      </c>
    </row>
    <row r="32">
      <c r="A32" s="4" t="n"/>
      <c r="B32" s="4" t="n"/>
      <c r="C32" s="4" t="n"/>
      <c r="D32" s="4" t="n"/>
      <c r="E32" s="28" t="n"/>
      <c r="F32" s="27" t="n"/>
      <c r="G32" s="4" t="n"/>
      <c r="H32" s="4" t="n"/>
      <c r="I32" s="4" t="n"/>
      <c r="J32" s="4" t="n"/>
      <c r="K32" s="28" t="n"/>
      <c r="L32" s="27" t="n"/>
      <c r="M32">
        <f>IF($A32="","",IF($H32="No","⚠ not located",IF($J32="Unresolved","⚠ unresolved disposition",IF($I32="Missing","⚠ documentation missing",""))))</f>
        <v/>
      </c>
    </row>
    <row r="33">
      <c r="A33" s="4" t="n"/>
      <c r="B33" s="4" t="n"/>
      <c r="C33" s="4" t="n"/>
      <c r="D33" s="4" t="n"/>
      <c r="E33" s="28" t="n"/>
      <c r="F33" s="27" t="n"/>
      <c r="G33" s="4" t="n"/>
      <c r="H33" s="4" t="n"/>
      <c r="I33" s="4" t="n"/>
      <c r="J33" s="4" t="n"/>
      <c r="K33" s="28" t="n"/>
      <c r="L33" s="27" t="n"/>
      <c r="M33">
        <f>IF($A33="","",IF($H33="No","⚠ not located",IF($J33="Unresolved","⚠ unresolved disposition",IF($I33="Missing","⚠ documentation missing",""))))</f>
        <v/>
      </c>
    </row>
    <row r="34">
      <c r="A34" s="4" t="n"/>
      <c r="B34" s="4" t="n"/>
      <c r="C34" s="4" t="n"/>
      <c r="D34" s="4" t="n"/>
      <c r="E34" s="28" t="n"/>
      <c r="F34" s="27" t="n"/>
      <c r="G34" s="4" t="n"/>
      <c r="H34" s="4" t="n"/>
      <c r="I34" s="4" t="n"/>
      <c r="J34" s="4" t="n"/>
      <c r="K34" s="28" t="n"/>
      <c r="L34" s="27" t="n"/>
      <c r="M34">
        <f>IF($A34="","",IF($H34="No","⚠ not located",IF($J34="Unresolved","⚠ unresolved disposition",IF($I34="Missing","⚠ documentation missing",""))))</f>
        <v/>
      </c>
    </row>
    <row r="35">
      <c r="A35" s="4" t="n"/>
      <c r="B35" s="4" t="n"/>
      <c r="C35" s="4" t="n"/>
      <c r="D35" s="4" t="n"/>
      <c r="E35" s="28" t="n"/>
      <c r="F35" s="27" t="n"/>
      <c r="G35" s="4" t="n"/>
      <c r="H35" s="4" t="n"/>
      <c r="I35" s="4" t="n"/>
      <c r="J35" s="4" t="n"/>
      <c r="K35" s="28" t="n"/>
      <c r="L35" s="27" t="n"/>
      <c r="M35">
        <f>IF($A35="","",IF($H35="No","⚠ not located",IF($J35="Unresolved","⚠ unresolved disposition",IF($I35="Missing","⚠ documentation missing",""))))</f>
        <v/>
      </c>
    </row>
    <row r="36">
      <c r="A36" s="4" t="n"/>
      <c r="B36" s="4" t="n"/>
      <c r="C36" s="4" t="n"/>
      <c r="D36" s="4" t="n"/>
      <c r="E36" s="28" t="n"/>
      <c r="F36" s="27" t="n"/>
      <c r="G36" s="4" t="n"/>
      <c r="H36" s="4" t="n"/>
      <c r="I36" s="4" t="n"/>
      <c r="J36" s="4" t="n"/>
      <c r="K36" s="28" t="n"/>
      <c r="L36" s="27" t="n"/>
      <c r="M36">
        <f>IF($A36="","",IF($H36="No","⚠ not located",IF($J36="Unresolved","⚠ unresolved disposition",IF($I36="Missing","⚠ documentation missing",""))))</f>
        <v/>
      </c>
    </row>
    <row r="37">
      <c r="A37" s="4" t="n"/>
      <c r="B37" s="4" t="n"/>
      <c r="C37" s="4" t="n"/>
      <c r="D37" s="4" t="n"/>
      <c r="E37" s="28" t="n"/>
      <c r="F37" s="27" t="n"/>
      <c r="G37" s="4" t="n"/>
      <c r="H37" s="4" t="n"/>
      <c r="I37" s="4" t="n"/>
      <c r="J37" s="4" t="n"/>
      <c r="K37" s="28" t="n"/>
      <c r="L37" s="27" t="n"/>
      <c r="M37">
        <f>IF($A37="","",IF($H37="No","⚠ not located",IF($J37="Unresolved","⚠ unresolved disposition",IF($I37="Missing","⚠ documentation missing",""))))</f>
        <v/>
      </c>
    </row>
    <row r="38">
      <c r="A38" s="4" t="n"/>
      <c r="B38" s="4" t="n"/>
      <c r="C38" s="4" t="n"/>
      <c r="D38" s="4" t="n"/>
      <c r="E38" s="28" t="n"/>
      <c r="F38" s="27" t="n"/>
      <c r="G38" s="4" t="n"/>
      <c r="H38" s="4" t="n"/>
      <c r="I38" s="4" t="n"/>
      <c r="J38" s="4" t="n"/>
      <c r="K38" s="28" t="n"/>
      <c r="L38" s="27" t="n"/>
      <c r="M38">
        <f>IF($A38="","",IF($H38="No","⚠ not located",IF($J38="Unresolved","⚠ unresolved disposition",IF($I38="Missing","⚠ documentation missing",""))))</f>
        <v/>
      </c>
    </row>
    <row r="39">
      <c r="A39" s="4" t="n"/>
      <c r="B39" s="4" t="n"/>
      <c r="C39" s="4" t="n"/>
      <c r="D39" s="4" t="n"/>
      <c r="E39" s="28" t="n"/>
      <c r="F39" s="27" t="n"/>
      <c r="G39" s="4" t="n"/>
      <c r="H39" s="4" t="n"/>
      <c r="I39" s="4" t="n"/>
      <c r="J39" s="4" t="n"/>
      <c r="K39" s="28" t="n"/>
      <c r="L39" s="27" t="n"/>
      <c r="M39">
        <f>IF($A39="","",IF($H39="No","⚠ not located",IF($J39="Unresolved","⚠ unresolved disposition",IF($I39="Missing","⚠ documentation missing",""))))</f>
        <v/>
      </c>
    </row>
    <row r="40">
      <c r="A40" s="4" t="n"/>
      <c r="B40" s="4" t="n"/>
      <c r="C40" s="4" t="n"/>
      <c r="D40" s="4" t="n"/>
      <c r="E40" s="28" t="n"/>
      <c r="F40" s="27" t="n"/>
      <c r="G40" s="4" t="n"/>
      <c r="H40" s="4" t="n"/>
      <c r="I40" s="4" t="n"/>
      <c r="J40" s="4" t="n"/>
      <c r="K40" s="28" t="n"/>
      <c r="L40" s="27" t="n"/>
      <c r="M40">
        <f>IF($A40="","",IF($H40="No","⚠ not located",IF($J40="Unresolved","⚠ unresolved disposition",IF($I40="Missing","⚠ documentation missing",""))))</f>
        <v/>
      </c>
    </row>
    <row r="41">
      <c r="A41" s="4" t="n"/>
      <c r="B41" s="4" t="n"/>
      <c r="C41" s="4" t="n"/>
      <c r="D41" s="4" t="n"/>
      <c r="E41" s="28" t="n"/>
      <c r="F41" s="27" t="n"/>
      <c r="G41" s="4" t="n"/>
      <c r="H41" s="4" t="n"/>
      <c r="I41" s="4" t="n"/>
      <c r="J41" s="4" t="n"/>
      <c r="K41" s="28" t="n"/>
      <c r="L41" s="27" t="n"/>
      <c r="M41">
        <f>IF($A41="","",IF($H41="No","⚠ not located",IF($J41="Unresolved","⚠ unresolved disposition",IF($I41="Missing","⚠ documentation missing",""))))</f>
        <v/>
      </c>
    </row>
    <row r="42">
      <c r="A42" s="4" t="n"/>
      <c r="B42" s="4" t="n"/>
      <c r="C42" s="4" t="n"/>
      <c r="D42" s="4" t="n"/>
      <c r="E42" s="28" t="n"/>
      <c r="F42" s="27" t="n"/>
      <c r="G42" s="4" t="n"/>
      <c r="H42" s="4" t="n"/>
      <c r="I42" s="4" t="n"/>
      <c r="J42" s="4" t="n"/>
      <c r="K42" s="28" t="n"/>
      <c r="L42" s="27" t="n"/>
      <c r="M42">
        <f>IF($A42="","",IF($H42="No","⚠ not located",IF($J42="Unresolved","⚠ unresolved disposition",IF($I42="Missing","⚠ documentation missing",""))))</f>
        <v/>
      </c>
    </row>
    <row r="43">
      <c r="A43" s="4" t="n"/>
      <c r="B43" s="4" t="n"/>
      <c r="C43" s="4" t="n"/>
      <c r="D43" s="4" t="n"/>
      <c r="E43" s="28" t="n"/>
      <c r="F43" s="27" t="n"/>
      <c r="G43" s="4" t="n"/>
      <c r="H43" s="4" t="n"/>
      <c r="I43" s="4" t="n"/>
      <c r="J43" s="4" t="n"/>
      <c r="K43" s="28" t="n"/>
      <c r="L43" s="27" t="n"/>
      <c r="M43">
        <f>IF($A43="","",IF($H43="No","⚠ not located",IF($J43="Unresolved","⚠ unresolved disposition",IF($I43="Missing","⚠ documentation missing",""))))</f>
        <v/>
      </c>
    </row>
    <row r="44">
      <c r="A44" s="4" t="n"/>
      <c r="B44" s="4" t="n"/>
      <c r="C44" s="4" t="n"/>
      <c r="D44" s="4" t="n"/>
      <c r="E44" s="28" t="n"/>
      <c r="F44" s="27" t="n"/>
      <c r="G44" s="4" t="n"/>
      <c r="H44" s="4" t="n"/>
      <c r="I44" s="4" t="n"/>
      <c r="J44" s="4" t="n"/>
      <c r="K44" s="28" t="n"/>
      <c r="L44" s="27" t="n"/>
      <c r="M44">
        <f>IF($A44="","",IF($H44="No","⚠ not located",IF($J44="Unresolved","⚠ unresolved disposition",IF($I44="Missing","⚠ documentation missing",""))))</f>
        <v/>
      </c>
    </row>
    <row r="45">
      <c r="A45" s="4" t="n"/>
      <c r="B45" s="4" t="n"/>
      <c r="C45" s="4" t="n"/>
      <c r="D45" s="4" t="n"/>
      <c r="E45" s="28" t="n"/>
      <c r="F45" s="27" t="n"/>
      <c r="G45" s="4" t="n"/>
      <c r="H45" s="4" t="n"/>
      <c r="I45" s="4" t="n"/>
      <c r="J45" s="4" t="n"/>
      <c r="K45" s="28" t="n"/>
      <c r="L45" s="27" t="n"/>
      <c r="M45">
        <f>IF($A45="","",IF($H45="No","⚠ not located",IF($J45="Unresolved","⚠ unresolved disposition",IF($I45="Missing","⚠ documentation missing",""))))</f>
        <v/>
      </c>
    </row>
    <row r="46">
      <c r="A46" s="4" t="n"/>
      <c r="B46" s="4" t="n"/>
      <c r="C46" s="4" t="n"/>
      <c r="D46" s="4" t="n"/>
      <c r="E46" s="28" t="n"/>
      <c r="F46" s="27" t="n"/>
      <c r="G46" s="4" t="n"/>
      <c r="H46" s="4" t="n"/>
      <c r="I46" s="4" t="n"/>
      <c r="J46" s="4" t="n"/>
      <c r="K46" s="28" t="n"/>
      <c r="L46" s="27" t="n"/>
      <c r="M46">
        <f>IF($A46="","",IF($H46="No","⚠ not located",IF($J46="Unresolved","⚠ unresolved disposition",IF($I46="Missing","⚠ documentation missing",""))))</f>
        <v/>
      </c>
    </row>
    <row r="47">
      <c r="A47" s="4" t="n"/>
      <c r="B47" s="4" t="n"/>
      <c r="C47" s="4" t="n"/>
      <c r="D47" s="4" t="n"/>
      <c r="E47" s="28" t="n"/>
      <c r="F47" s="27" t="n"/>
      <c r="G47" s="4" t="n"/>
      <c r="H47" s="4" t="n"/>
      <c r="I47" s="4" t="n"/>
      <c r="J47" s="4" t="n"/>
      <c r="K47" s="28" t="n"/>
      <c r="L47" s="27" t="n"/>
      <c r="M47">
        <f>IF($A47="","",IF($H47="No","⚠ not located",IF($J47="Unresolved","⚠ unresolved disposition",IF($I47="Missing","⚠ documentation missing",""))))</f>
        <v/>
      </c>
    </row>
    <row r="48">
      <c r="A48" s="4" t="n"/>
      <c r="B48" s="4" t="n"/>
      <c r="C48" s="4" t="n"/>
      <c r="D48" s="4" t="n"/>
      <c r="E48" s="28" t="n"/>
      <c r="F48" s="27" t="n"/>
      <c r="G48" s="4" t="n"/>
      <c r="H48" s="4" t="n"/>
      <c r="I48" s="4" t="n"/>
      <c r="J48" s="4" t="n"/>
      <c r="K48" s="28" t="n"/>
      <c r="L48" s="27" t="n"/>
      <c r="M48">
        <f>IF($A48="","",IF($H48="No","⚠ not located",IF($J48="Unresolved","⚠ unresolved disposition",IF($I48="Missing","⚠ documentation missing",""))))</f>
        <v/>
      </c>
    </row>
    <row r="49">
      <c r="A49" s="4" t="n"/>
      <c r="B49" s="4" t="n"/>
      <c r="C49" s="4" t="n"/>
      <c r="D49" s="4" t="n"/>
      <c r="E49" s="28" t="n"/>
      <c r="F49" s="27" t="n"/>
      <c r="G49" s="4" t="n"/>
      <c r="H49" s="4" t="n"/>
      <c r="I49" s="4" t="n"/>
      <c r="J49" s="4" t="n"/>
      <c r="K49" s="28" t="n"/>
      <c r="L49" s="27" t="n"/>
      <c r="M49">
        <f>IF($A49="","",IF($H49="No","⚠ not located",IF($J49="Unresolved","⚠ unresolved disposition",IF($I49="Missing","⚠ documentation missing",""))))</f>
        <v/>
      </c>
    </row>
    <row r="50">
      <c r="A50" s="4" t="n"/>
      <c r="B50" s="4" t="n"/>
      <c r="C50" s="4" t="n"/>
      <c r="D50" s="4" t="n"/>
      <c r="E50" s="28" t="n"/>
      <c r="F50" s="27" t="n"/>
      <c r="G50" s="4" t="n"/>
      <c r="H50" s="4" t="n"/>
      <c r="I50" s="4" t="n"/>
      <c r="J50" s="4" t="n"/>
      <c r="K50" s="28" t="n"/>
      <c r="L50" s="27" t="n"/>
      <c r="M50">
        <f>IF($A50="","",IF($H50="No","⚠ not located",IF($J50="Unresolved","⚠ unresolved disposition",IF($I50="Missing","⚠ documentation missing",""))))</f>
        <v/>
      </c>
    </row>
    <row r="51">
      <c r="A51" s="4" t="n"/>
      <c r="B51" s="4" t="n"/>
      <c r="C51" s="4" t="n"/>
      <c r="D51" s="4" t="n"/>
      <c r="E51" s="28" t="n"/>
      <c r="F51" s="27" t="n"/>
      <c r="G51" s="4" t="n"/>
      <c r="H51" s="4" t="n"/>
      <c r="I51" s="4" t="n"/>
      <c r="J51" s="4" t="n"/>
      <c r="K51" s="28" t="n"/>
      <c r="L51" s="27" t="n"/>
      <c r="M51">
        <f>IF($A51="","",IF($H51="No","⚠ not located",IF($J51="Unresolved","⚠ unresolved disposition",IF($I51="Missing","⚠ documentation missing",""))))</f>
        <v/>
      </c>
    </row>
    <row r="52">
      <c r="A52" s="4" t="n"/>
      <c r="B52" s="4" t="n"/>
      <c r="C52" s="4" t="n"/>
      <c r="D52" s="4" t="n"/>
      <c r="E52" s="28" t="n"/>
      <c r="F52" s="27" t="n"/>
      <c r="G52" s="4" t="n"/>
      <c r="H52" s="4" t="n"/>
      <c r="I52" s="4" t="n"/>
      <c r="J52" s="4" t="n"/>
      <c r="K52" s="28" t="n"/>
      <c r="L52" s="27" t="n"/>
      <c r="M52">
        <f>IF($A52="","",IF($H52="No","⚠ not located",IF($J52="Unresolved","⚠ unresolved disposition",IF($I52="Missing","⚠ documentation missing",""))))</f>
        <v/>
      </c>
    </row>
    <row r="53">
      <c r="A53" s="4" t="n"/>
      <c r="B53" s="4" t="n"/>
      <c r="C53" s="4" t="n"/>
      <c r="D53" s="4" t="n"/>
      <c r="E53" s="28" t="n"/>
      <c r="F53" s="27" t="n"/>
      <c r="G53" s="4" t="n"/>
      <c r="H53" s="4" t="n"/>
      <c r="I53" s="4" t="n"/>
      <c r="J53" s="4" t="n"/>
      <c r="K53" s="28" t="n"/>
      <c r="L53" s="27" t="n"/>
      <c r="M53">
        <f>IF($A53="","",IF($H53="No","⚠ not located",IF($J53="Unresolved","⚠ unresolved disposition",IF($I53="Missing","⚠ documentation missing",""))))</f>
        <v/>
      </c>
    </row>
    <row r="54">
      <c r="A54" s="4" t="n"/>
      <c r="B54" s="4" t="n"/>
      <c r="C54" s="4" t="n"/>
      <c r="D54" s="4" t="n"/>
      <c r="E54" s="28" t="n"/>
      <c r="F54" s="27" t="n"/>
      <c r="G54" s="4" t="n"/>
      <c r="H54" s="4" t="n"/>
      <c r="I54" s="4" t="n"/>
      <c r="J54" s="4" t="n"/>
      <c r="K54" s="28" t="n"/>
      <c r="L54" s="27" t="n"/>
      <c r="M54">
        <f>IF($A54="","",IF($H54="No","⚠ not located",IF($J54="Unresolved","⚠ unresolved disposition",IF($I54="Missing","⚠ documentation missing",""))))</f>
        <v/>
      </c>
    </row>
    <row r="55">
      <c r="A55" s="4" t="n"/>
      <c r="B55" s="4" t="n"/>
      <c r="C55" s="4" t="n"/>
      <c r="D55" s="4" t="n"/>
      <c r="E55" s="28" t="n"/>
      <c r="F55" s="27" t="n"/>
      <c r="G55" s="4" t="n"/>
      <c r="H55" s="4" t="n"/>
      <c r="I55" s="4" t="n"/>
      <c r="J55" s="4" t="n"/>
      <c r="K55" s="28" t="n"/>
      <c r="L55" s="27" t="n"/>
      <c r="M55">
        <f>IF($A55="","",IF($H55="No","⚠ not located",IF($J55="Unresolved","⚠ unresolved disposition",IF($I55="Missing","⚠ documentation missing",""))))</f>
        <v/>
      </c>
    </row>
    <row r="56">
      <c r="A56" s="4" t="n"/>
      <c r="B56" s="4" t="n"/>
      <c r="C56" s="4" t="n"/>
      <c r="D56" s="4" t="n"/>
      <c r="E56" s="28" t="n"/>
      <c r="F56" s="27" t="n"/>
      <c r="G56" s="4" t="n"/>
      <c r="H56" s="4" t="n"/>
      <c r="I56" s="4" t="n"/>
      <c r="J56" s="4" t="n"/>
      <c r="K56" s="28" t="n"/>
      <c r="L56" s="27" t="n"/>
      <c r="M56">
        <f>IF($A56="","",IF($H56="No","⚠ not located",IF($J56="Unresolved","⚠ unresolved disposition",IF($I56="Missing","⚠ documentation missing",""))))</f>
        <v/>
      </c>
    </row>
    <row r="57">
      <c r="A57" s="4" t="n"/>
      <c r="B57" s="4" t="n"/>
      <c r="C57" s="4" t="n"/>
      <c r="D57" s="4" t="n"/>
      <c r="E57" s="28" t="n"/>
      <c r="F57" s="27" t="n"/>
      <c r="G57" s="4" t="n"/>
      <c r="H57" s="4" t="n"/>
      <c r="I57" s="4" t="n"/>
      <c r="J57" s="4" t="n"/>
      <c r="K57" s="28" t="n"/>
      <c r="L57" s="27" t="n"/>
      <c r="M57">
        <f>IF($A57="","",IF($H57="No","⚠ not located",IF($J57="Unresolved","⚠ unresolved disposition",IF($I57="Missing","⚠ documentation missing",""))))</f>
        <v/>
      </c>
    </row>
    <row r="58">
      <c r="A58" s="4" t="n"/>
      <c r="B58" s="4" t="n"/>
      <c r="C58" s="4" t="n"/>
      <c r="D58" s="4" t="n"/>
      <c r="E58" s="28" t="n"/>
      <c r="F58" s="27" t="n"/>
      <c r="G58" s="4" t="n"/>
      <c r="H58" s="4" t="n"/>
      <c r="I58" s="4" t="n"/>
      <c r="J58" s="4" t="n"/>
      <c r="K58" s="28" t="n"/>
      <c r="L58" s="27" t="n"/>
      <c r="M58">
        <f>IF($A58="","",IF($H58="No","⚠ not located",IF($J58="Unresolved","⚠ unresolved disposition",IF($I58="Missing","⚠ documentation missing",""))))</f>
        <v/>
      </c>
    </row>
    <row r="59">
      <c r="A59" s="4" t="n"/>
      <c r="B59" s="4" t="n"/>
      <c r="C59" s="4" t="n"/>
      <c r="D59" s="4" t="n"/>
      <c r="E59" s="28" t="n"/>
      <c r="F59" s="27" t="n"/>
      <c r="G59" s="4" t="n"/>
      <c r="H59" s="4" t="n"/>
      <c r="I59" s="4" t="n"/>
      <c r="J59" s="4" t="n"/>
      <c r="K59" s="28" t="n"/>
      <c r="L59" s="27" t="n"/>
      <c r="M59">
        <f>IF($A59="","",IF($H59="No","⚠ not located",IF($J59="Unresolved","⚠ unresolved disposition",IF($I59="Missing","⚠ documentation missing",""))))</f>
        <v/>
      </c>
    </row>
    <row r="60">
      <c r="A60" s="4" t="n"/>
      <c r="B60" s="4" t="n"/>
      <c r="C60" s="4" t="n"/>
      <c r="D60" s="4" t="n"/>
      <c r="E60" s="28" t="n"/>
      <c r="F60" s="27" t="n"/>
      <c r="G60" s="4" t="n"/>
      <c r="H60" s="4" t="n"/>
      <c r="I60" s="4" t="n"/>
      <c r="J60" s="4" t="n"/>
      <c r="K60" s="28" t="n"/>
      <c r="L60" s="27" t="n"/>
      <c r="M60">
        <f>IF($A60="","",IF($H60="No","⚠ not located",IF($J60="Unresolved","⚠ unresolved disposition",IF($I60="Missing","⚠ documentation missing",""))))</f>
        <v/>
      </c>
    </row>
    <row r="61">
      <c r="A61" s="4" t="n"/>
      <c r="B61" s="4" t="n"/>
      <c r="C61" s="4" t="n"/>
      <c r="D61" s="4" t="n"/>
      <c r="E61" s="28" t="n"/>
      <c r="F61" s="27" t="n"/>
      <c r="G61" s="4" t="n"/>
      <c r="H61" s="4" t="n"/>
      <c r="I61" s="4" t="n"/>
      <c r="J61" s="4" t="n"/>
      <c r="K61" s="28" t="n"/>
      <c r="L61" s="27" t="n"/>
      <c r="M61">
        <f>IF($A61="","",IF($H61="No","⚠ not located",IF($J61="Unresolved","⚠ unresolved disposition",IF($I61="Missing","⚠ documentation missing",""))))</f>
        <v/>
      </c>
    </row>
    <row r="62">
      <c r="A62" s="4" t="n"/>
      <c r="B62" s="4" t="n"/>
      <c r="C62" s="4" t="n"/>
      <c r="D62" s="4" t="n"/>
      <c r="E62" s="28" t="n"/>
      <c r="F62" s="27" t="n"/>
      <c r="G62" s="4" t="n"/>
      <c r="H62" s="4" t="n"/>
      <c r="I62" s="4" t="n"/>
      <c r="J62" s="4" t="n"/>
      <c r="K62" s="28" t="n"/>
      <c r="L62" s="27" t="n"/>
      <c r="M62">
        <f>IF($A62="","",IF($H62="No","⚠ not located",IF($J62="Unresolved","⚠ unresolved disposition",IF($I62="Missing","⚠ documentation missing",""))))</f>
        <v/>
      </c>
    </row>
    <row r="63">
      <c r="A63" s="4" t="n"/>
      <c r="B63" s="4" t="n"/>
      <c r="C63" s="4" t="n"/>
      <c r="D63" s="4" t="n"/>
      <c r="E63" s="28" t="n"/>
      <c r="F63" s="27" t="n"/>
      <c r="G63" s="4" t="n"/>
      <c r="H63" s="4" t="n"/>
      <c r="I63" s="4" t="n"/>
      <c r="J63" s="4" t="n"/>
      <c r="K63" s="28" t="n"/>
      <c r="L63" s="27" t="n"/>
      <c r="M63">
        <f>IF($A63="","",IF($H63="No","⚠ not located",IF($J63="Unresolved","⚠ unresolved disposition",IF($I63="Missing","⚠ documentation missing",""))))</f>
        <v/>
      </c>
    </row>
    <row r="64">
      <c r="A64" s="4" t="n"/>
      <c r="B64" s="4" t="n"/>
      <c r="C64" s="4" t="n"/>
      <c r="D64" s="4" t="n"/>
      <c r="E64" s="28" t="n"/>
      <c r="F64" s="27" t="n"/>
      <c r="G64" s="4" t="n"/>
      <c r="H64" s="4" t="n"/>
      <c r="I64" s="4" t="n"/>
      <c r="J64" s="4" t="n"/>
      <c r="K64" s="28" t="n"/>
      <c r="L64" s="27" t="n"/>
      <c r="M64">
        <f>IF($A64="","",IF($H64="No","⚠ not located",IF($J64="Unresolved","⚠ unresolved disposition",IF($I64="Missing","⚠ documentation missing",""))))</f>
        <v/>
      </c>
    </row>
    <row r="65">
      <c r="A65" s="4" t="n"/>
      <c r="B65" s="4" t="n"/>
      <c r="C65" s="4" t="n"/>
      <c r="D65" s="4" t="n"/>
      <c r="E65" s="28" t="n"/>
      <c r="F65" s="27" t="n"/>
      <c r="G65" s="4" t="n"/>
      <c r="H65" s="4" t="n"/>
      <c r="I65" s="4" t="n"/>
      <c r="J65" s="4" t="n"/>
      <c r="K65" s="28" t="n"/>
      <c r="L65" s="27" t="n"/>
      <c r="M65">
        <f>IF($A65="","",IF($H65="No","⚠ not located",IF($J65="Unresolved","⚠ unresolved disposition",IF($I65="Missing","⚠ documentation missing",""))))</f>
        <v/>
      </c>
    </row>
    <row r="66">
      <c r="A66" s="4" t="n"/>
      <c r="B66" s="4" t="n"/>
      <c r="C66" s="4" t="n"/>
      <c r="D66" s="4" t="n"/>
      <c r="E66" s="28" t="n"/>
      <c r="F66" s="27" t="n"/>
      <c r="G66" s="4" t="n"/>
      <c r="H66" s="4" t="n"/>
      <c r="I66" s="4" t="n"/>
      <c r="J66" s="4" t="n"/>
      <c r="K66" s="28" t="n"/>
      <c r="L66" s="27" t="n"/>
      <c r="M66">
        <f>IF($A66="","",IF($H66="No","⚠ not located",IF($J66="Unresolved","⚠ unresolved disposition",IF($I66="Missing","⚠ documentation missing",""))))</f>
        <v/>
      </c>
    </row>
    <row r="67">
      <c r="A67" s="4" t="n"/>
      <c r="B67" s="4" t="n"/>
      <c r="C67" s="4" t="n"/>
      <c r="D67" s="4" t="n"/>
      <c r="E67" s="28" t="n"/>
      <c r="F67" s="27" t="n"/>
      <c r="G67" s="4" t="n"/>
      <c r="H67" s="4" t="n"/>
      <c r="I67" s="4" t="n"/>
      <c r="J67" s="4" t="n"/>
      <c r="K67" s="28" t="n"/>
      <c r="L67" s="27" t="n"/>
      <c r="M67">
        <f>IF($A67="","",IF($H67="No","⚠ not located",IF($J67="Unresolved","⚠ unresolved disposition",IF($I67="Missing","⚠ documentation missing",""))))</f>
        <v/>
      </c>
    </row>
    <row r="68">
      <c r="A68" s="4" t="n"/>
      <c r="B68" s="4" t="n"/>
      <c r="C68" s="4" t="n"/>
      <c r="D68" s="4" t="n"/>
      <c r="E68" s="28" t="n"/>
      <c r="F68" s="27" t="n"/>
      <c r="G68" s="4" t="n"/>
      <c r="H68" s="4" t="n"/>
      <c r="I68" s="4" t="n"/>
      <c r="J68" s="4" t="n"/>
      <c r="K68" s="28" t="n"/>
      <c r="L68" s="27" t="n"/>
      <c r="M68">
        <f>IF($A68="","",IF($H68="No","⚠ not located",IF($J68="Unresolved","⚠ unresolved disposition",IF($I68="Missing","⚠ documentation missing",""))))</f>
        <v/>
      </c>
    </row>
    <row r="69">
      <c r="A69" s="4" t="n"/>
      <c r="B69" s="4" t="n"/>
      <c r="C69" s="4" t="n"/>
      <c r="D69" s="4" t="n"/>
      <c r="E69" s="28" t="n"/>
      <c r="F69" s="27" t="n"/>
      <c r="G69" s="4" t="n"/>
      <c r="H69" s="4" t="n"/>
      <c r="I69" s="4" t="n"/>
      <c r="J69" s="4" t="n"/>
      <c r="K69" s="28" t="n"/>
      <c r="L69" s="27" t="n"/>
      <c r="M69">
        <f>IF($A69="","",IF($H69="No","⚠ not located",IF($J69="Unresolved","⚠ unresolved disposition",IF($I69="Missing","⚠ documentation missing",""))))</f>
        <v/>
      </c>
    </row>
    <row r="70">
      <c r="A70" s="4" t="n"/>
      <c r="B70" s="4" t="n"/>
      <c r="C70" s="4" t="n"/>
      <c r="D70" s="4" t="n"/>
      <c r="E70" s="28" t="n"/>
      <c r="F70" s="27" t="n"/>
      <c r="G70" s="4" t="n"/>
      <c r="H70" s="4" t="n"/>
      <c r="I70" s="4" t="n"/>
      <c r="J70" s="4" t="n"/>
      <c r="K70" s="28" t="n"/>
      <c r="L70" s="27" t="n"/>
      <c r="M70">
        <f>IF($A70="","",IF($H70="No","⚠ not located",IF($J70="Unresolved","⚠ unresolved disposition",IF($I70="Missing","⚠ documentation missing",""))))</f>
        <v/>
      </c>
    </row>
    <row r="71">
      <c r="A71" s="4" t="n"/>
      <c r="B71" s="4" t="n"/>
      <c r="C71" s="4" t="n"/>
      <c r="D71" s="4" t="n"/>
      <c r="E71" s="28" t="n"/>
      <c r="F71" s="27" t="n"/>
      <c r="G71" s="4" t="n"/>
      <c r="H71" s="4" t="n"/>
      <c r="I71" s="4" t="n"/>
      <c r="J71" s="4" t="n"/>
      <c r="K71" s="28" t="n"/>
      <c r="L71" s="27" t="n"/>
      <c r="M71">
        <f>IF($A71="","",IF($H71="No","⚠ not located",IF($J71="Unresolved","⚠ unresolved disposition",IF($I71="Missing","⚠ documentation missing",""))))</f>
        <v/>
      </c>
    </row>
    <row r="72">
      <c r="A72" s="4" t="n"/>
      <c r="B72" s="4" t="n"/>
      <c r="C72" s="4" t="n"/>
      <c r="D72" s="4" t="n"/>
      <c r="E72" s="28" t="n"/>
      <c r="F72" s="27" t="n"/>
      <c r="G72" s="4" t="n"/>
      <c r="H72" s="4" t="n"/>
      <c r="I72" s="4" t="n"/>
      <c r="J72" s="4" t="n"/>
      <c r="K72" s="28" t="n"/>
      <c r="L72" s="27" t="n"/>
      <c r="M72">
        <f>IF($A72="","",IF($H72="No","⚠ not located",IF($J72="Unresolved","⚠ unresolved disposition",IF($I72="Missing","⚠ documentation missing",""))))</f>
        <v/>
      </c>
    </row>
    <row r="73">
      <c r="A73" s="4" t="n"/>
      <c r="B73" s="4" t="n"/>
      <c r="C73" s="4" t="n"/>
      <c r="D73" s="4" t="n"/>
      <c r="E73" s="28" t="n"/>
      <c r="F73" s="27" t="n"/>
      <c r="G73" s="4" t="n"/>
      <c r="H73" s="4" t="n"/>
      <c r="I73" s="4" t="n"/>
      <c r="J73" s="4" t="n"/>
      <c r="K73" s="28" t="n"/>
      <c r="L73" s="27" t="n"/>
      <c r="M73">
        <f>IF($A73="","",IF($H73="No","⚠ not located",IF($J73="Unresolved","⚠ unresolved disposition",IF($I73="Missing","⚠ documentation missing",""))))</f>
        <v/>
      </c>
    </row>
    <row r="74">
      <c r="A74" s="4" t="n"/>
      <c r="B74" s="4" t="n"/>
      <c r="C74" s="4" t="n"/>
      <c r="D74" s="4" t="n"/>
      <c r="E74" s="28" t="n"/>
      <c r="F74" s="27" t="n"/>
      <c r="G74" s="4" t="n"/>
      <c r="H74" s="4" t="n"/>
      <c r="I74" s="4" t="n"/>
      <c r="J74" s="4" t="n"/>
      <c r="K74" s="28" t="n"/>
      <c r="L74" s="27" t="n"/>
      <c r="M74">
        <f>IF($A74="","",IF($H74="No","⚠ not located",IF($J74="Unresolved","⚠ unresolved disposition",IF($I74="Missing","⚠ documentation missing",""))))</f>
        <v/>
      </c>
    </row>
    <row r="75">
      <c r="A75" s="4" t="n"/>
      <c r="B75" s="4" t="n"/>
      <c r="C75" s="4" t="n"/>
      <c r="D75" s="4" t="n"/>
      <c r="E75" s="28" t="n"/>
      <c r="F75" s="27" t="n"/>
      <c r="G75" s="4" t="n"/>
      <c r="H75" s="4" t="n"/>
      <c r="I75" s="4" t="n"/>
      <c r="J75" s="4" t="n"/>
      <c r="K75" s="28" t="n"/>
      <c r="L75" s="27" t="n"/>
      <c r="M75">
        <f>IF($A75="","",IF($H75="No","⚠ not located",IF($J75="Unresolved","⚠ unresolved disposition",IF($I75="Missing","⚠ documentation missing",""))))</f>
        <v/>
      </c>
    </row>
    <row r="76">
      <c r="A76" s="4" t="n"/>
      <c r="B76" s="4" t="n"/>
      <c r="C76" s="4" t="n"/>
      <c r="D76" s="4" t="n"/>
      <c r="E76" s="28" t="n"/>
      <c r="F76" s="27" t="n"/>
      <c r="G76" s="4" t="n"/>
      <c r="H76" s="4" t="n"/>
      <c r="I76" s="4" t="n"/>
      <c r="J76" s="4" t="n"/>
      <c r="K76" s="28" t="n"/>
      <c r="L76" s="27" t="n"/>
      <c r="M76">
        <f>IF($A76="","",IF($H76="No","⚠ not located",IF($J76="Unresolved","⚠ unresolved disposition",IF($I76="Missing","⚠ documentation missing",""))))</f>
        <v/>
      </c>
    </row>
    <row r="77">
      <c r="A77" s="4" t="n"/>
      <c r="B77" s="4" t="n"/>
      <c r="C77" s="4" t="n"/>
      <c r="D77" s="4" t="n"/>
      <c r="E77" s="28" t="n"/>
      <c r="F77" s="27" t="n"/>
      <c r="G77" s="4" t="n"/>
      <c r="H77" s="4" t="n"/>
      <c r="I77" s="4" t="n"/>
      <c r="J77" s="4" t="n"/>
      <c r="K77" s="28" t="n"/>
      <c r="L77" s="27" t="n"/>
      <c r="M77">
        <f>IF($A77="","",IF($H77="No","⚠ not located",IF($J77="Unresolved","⚠ unresolved disposition",IF($I77="Missing","⚠ documentation missing",""))))</f>
        <v/>
      </c>
    </row>
    <row r="78">
      <c r="A78" s="4" t="n"/>
      <c r="B78" s="4" t="n"/>
      <c r="C78" s="4" t="n"/>
      <c r="D78" s="4" t="n"/>
      <c r="E78" s="28" t="n"/>
      <c r="F78" s="27" t="n"/>
      <c r="G78" s="4" t="n"/>
      <c r="H78" s="4" t="n"/>
      <c r="I78" s="4" t="n"/>
      <c r="J78" s="4" t="n"/>
      <c r="K78" s="28" t="n"/>
      <c r="L78" s="27" t="n"/>
      <c r="M78">
        <f>IF($A78="","",IF($H78="No","⚠ not located",IF($J78="Unresolved","⚠ unresolved disposition",IF($I78="Missing","⚠ documentation missing",""))))</f>
        <v/>
      </c>
    </row>
    <row r="79">
      <c r="A79" s="4" t="n"/>
      <c r="B79" s="4" t="n"/>
      <c r="C79" s="4" t="n"/>
      <c r="D79" s="4" t="n"/>
      <c r="E79" s="28" t="n"/>
      <c r="F79" s="27" t="n"/>
      <c r="G79" s="4" t="n"/>
      <c r="H79" s="4" t="n"/>
      <c r="I79" s="4" t="n"/>
      <c r="J79" s="4" t="n"/>
      <c r="K79" s="28" t="n"/>
      <c r="L79" s="27" t="n"/>
      <c r="M79">
        <f>IF($A79="","",IF($H79="No","⚠ not located",IF($J79="Unresolved","⚠ unresolved disposition",IF($I79="Missing","⚠ documentation missing",""))))</f>
        <v/>
      </c>
    </row>
    <row r="80">
      <c r="A80" s="4" t="n"/>
      <c r="B80" s="4" t="n"/>
      <c r="C80" s="4" t="n"/>
      <c r="D80" s="4" t="n"/>
      <c r="E80" s="28" t="n"/>
      <c r="F80" s="27" t="n"/>
      <c r="G80" s="4" t="n"/>
      <c r="H80" s="4" t="n"/>
      <c r="I80" s="4" t="n"/>
      <c r="J80" s="4" t="n"/>
      <c r="K80" s="28" t="n"/>
      <c r="L80" s="27" t="n"/>
      <c r="M80">
        <f>IF($A80="","",IF($H80="No","⚠ not located",IF($J80="Unresolved","⚠ unresolved disposition",IF($I80="Missing","⚠ documentation missing",""))))</f>
        <v/>
      </c>
    </row>
    <row r="81">
      <c r="A81" s="4" t="n"/>
      <c r="B81" s="4" t="n"/>
      <c r="C81" s="4" t="n"/>
      <c r="D81" s="4" t="n"/>
      <c r="E81" s="28" t="n"/>
      <c r="F81" s="27" t="n"/>
      <c r="G81" s="4" t="n"/>
      <c r="H81" s="4" t="n"/>
      <c r="I81" s="4" t="n"/>
      <c r="J81" s="4" t="n"/>
      <c r="K81" s="28" t="n"/>
      <c r="L81" s="27" t="n"/>
      <c r="M81">
        <f>IF($A81="","",IF($H81="No","⚠ not located",IF($J81="Unresolved","⚠ unresolved disposition",IF($I81="Missing","⚠ documentation missing",""))))</f>
        <v/>
      </c>
    </row>
    <row r="82">
      <c r="A82" s="4" t="n"/>
      <c r="B82" s="4" t="n"/>
      <c r="C82" s="4" t="n"/>
      <c r="D82" s="4" t="n"/>
      <c r="E82" s="28" t="n"/>
      <c r="F82" s="27" t="n"/>
      <c r="G82" s="4" t="n"/>
      <c r="H82" s="4" t="n"/>
      <c r="I82" s="4" t="n"/>
      <c r="J82" s="4" t="n"/>
      <c r="K82" s="28" t="n"/>
      <c r="L82" s="27" t="n"/>
      <c r="M82">
        <f>IF($A82="","",IF($H82="No","⚠ not located",IF($J82="Unresolved","⚠ unresolved disposition",IF($I82="Missing","⚠ documentation missing",""))))</f>
        <v/>
      </c>
    </row>
    <row r="83">
      <c r="A83" s="4" t="n"/>
      <c r="B83" s="4" t="n"/>
      <c r="C83" s="4" t="n"/>
      <c r="D83" s="4" t="n"/>
      <c r="E83" s="28" t="n"/>
      <c r="F83" s="27" t="n"/>
      <c r="G83" s="4" t="n"/>
      <c r="H83" s="4" t="n"/>
      <c r="I83" s="4" t="n"/>
      <c r="J83" s="4" t="n"/>
      <c r="K83" s="28" t="n"/>
      <c r="L83" s="27" t="n"/>
      <c r="M83">
        <f>IF($A83="","",IF($H83="No","⚠ not located",IF($J83="Unresolved","⚠ unresolved disposition",IF($I83="Missing","⚠ documentation missing",""))))</f>
        <v/>
      </c>
    </row>
    <row r="84">
      <c r="A84" s="4" t="n"/>
      <c r="B84" s="4" t="n"/>
      <c r="C84" s="4" t="n"/>
      <c r="D84" s="4" t="n"/>
      <c r="E84" s="28" t="n"/>
      <c r="F84" s="27" t="n"/>
      <c r="G84" s="4" t="n"/>
      <c r="H84" s="4" t="n"/>
      <c r="I84" s="4" t="n"/>
      <c r="J84" s="4" t="n"/>
      <c r="K84" s="28" t="n"/>
      <c r="L84" s="27" t="n"/>
      <c r="M84">
        <f>IF($A84="","",IF($H84="No","⚠ not located",IF($J84="Unresolved","⚠ unresolved disposition",IF($I84="Missing","⚠ documentation missing",""))))</f>
        <v/>
      </c>
    </row>
    <row r="85">
      <c r="A85" s="4" t="n"/>
      <c r="B85" s="4" t="n"/>
      <c r="C85" s="4" t="n"/>
      <c r="D85" s="4" t="n"/>
      <c r="E85" s="28" t="n"/>
      <c r="F85" s="27" t="n"/>
      <c r="G85" s="4" t="n"/>
      <c r="H85" s="4" t="n"/>
      <c r="I85" s="4" t="n"/>
      <c r="J85" s="4" t="n"/>
      <c r="K85" s="28" t="n"/>
      <c r="L85" s="27" t="n"/>
      <c r="M85">
        <f>IF($A85="","",IF($H85="No","⚠ not located",IF($J85="Unresolved","⚠ unresolved disposition",IF($I85="Missing","⚠ documentation missing",""))))</f>
        <v/>
      </c>
    </row>
    <row r="86">
      <c r="A86" s="4" t="n"/>
      <c r="B86" s="4" t="n"/>
      <c r="C86" s="4" t="n"/>
      <c r="D86" s="4" t="n"/>
      <c r="E86" s="28" t="n"/>
      <c r="F86" s="27" t="n"/>
      <c r="G86" s="4" t="n"/>
      <c r="H86" s="4" t="n"/>
      <c r="I86" s="4" t="n"/>
      <c r="J86" s="4" t="n"/>
      <c r="K86" s="28" t="n"/>
      <c r="L86" s="27" t="n"/>
      <c r="M86">
        <f>IF($A86="","",IF($H86="No","⚠ not located",IF($J86="Unresolved","⚠ unresolved disposition",IF($I86="Missing","⚠ documentation missing",""))))</f>
        <v/>
      </c>
    </row>
    <row r="87">
      <c r="A87" s="4" t="n"/>
      <c r="B87" s="4" t="n"/>
      <c r="C87" s="4" t="n"/>
      <c r="D87" s="4" t="n"/>
      <c r="E87" s="28" t="n"/>
      <c r="F87" s="27" t="n"/>
      <c r="G87" s="4" t="n"/>
      <c r="H87" s="4" t="n"/>
      <c r="I87" s="4" t="n"/>
      <c r="J87" s="4" t="n"/>
      <c r="K87" s="28" t="n"/>
      <c r="L87" s="27" t="n"/>
      <c r="M87">
        <f>IF($A87="","",IF($H87="No","⚠ not located",IF($J87="Unresolved","⚠ unresolved disposition",IF($I87="Missing","⚠ documentation missing",""))))</f>
        <v/>
      </c>
    </row>
    <row r="88">
      <c r="A88" s="4" t="n"/>
      <c r="B88" s="4" t="n"/>
      <c r="C88" s="4" t="n"/>
      <c r="D88" s="4" t="n"/>
      <c r="E88" s="28" t="n"/>
      <c r="F88" s="27" t="n"/>
      <c r="G88" s="4" t="n"/>
      <c r="H88" s="4" t="n"/>
      <c r="I88" s="4" t="n"/>
      <c r="J88" s="4" t="n"/>
      <c r="K88" s="28" t="n"/>
      <c r="L88" s="27" t="n"/>
      <c r="M88">
        <f>IF($A88="","",IF($H88="No","⚠ not located",IF($J88="Unresolved","⚠ unresolved disposition",IF($I88="Missing","⚠ documentation missing",""))))</f>
        <v/>
      </c>
    </row>
    <row r="89">
      <c r="A89" s="4" t="n"/>
      <c r="B89" s="4" t="n"/>
      <c r="C89" s="4" t="n"/>
      <c r="D89" s="4" t="n"/>
      <c r="E89" s="28" t="n"/>
      <c r="F89" s="27" t="n"/>
      <c r="G89" s="4" t="n"/>
      <c r="H89" s="4" t="n"/>
      <c r="I89" s="4" t="n"/>
      <c r="J89" s="4" t="n"/>
      <c r="K89" s="28" t="n"/>
      <c r="L89" s="27" t="n"/>
      <c r="M89">
        <f>IF($A89="","",IF($H89="No","⚠ not located",IF($J89="Unresolved","⚠ unresolved disposition",IF($I89="Missing","⚠ documentation missing",""))))</f>
        <v/>
      </c>
    </row>
    <row r="90">
      <c r="A90" s="4" t="n"/>
      <c r="B90" s="4" t="n"/>
      <c r="C90" s="4" t="n"/>
      <c r="D90" s="4" t="n"/>
      <c r="E90" s="28" t="n"/>
      <c r="F90" s="27" t="n"/>
      <c r="G90" s="4" t="n"/>
      <c r="H90" s="4" t="n"/>
      <c r="I90" s="4" t="n"/>
      <c r="J90" s="4" t="n"/>
      <c r="K90" s="28" t="n"/>
      <c r="L90" s="27" t="n"/>
      <c r="M90">
        <f>IF($A90="","",IF($H90="No","⚠ not located",IF($J90="Unresolved","⚠ unresolved disposition",IF($I90="Missing","⚠ documentation missing",""))))</f>
        <v/>
      </c>
    </row>
    <row r="91">
      <c r="A91" s="4" t="n"/>
      <c r="B91" s="4" t="n"/>
      <c r="C91" s="4" t="n"/>
      <c r="D91" s="4" t="n"/>
      <c r="E91" s="28" t="n"/>
      <c r="F91" s="27" t="n"/>
      <c r="G91" s="4" t="n"/>
      <c r="H91" s="4" t="n"/>
      <c r="I91" s="4" t="n"/>
      <c r="J91" s="4" t="n"/>
      <c r="K91" s="28" t="n"/>
      <c r="L91" s="27" t="n"/>
      <c r="M91">
        <f>IF($A91="","",IF($H91="No","⚠ not located",IF($J91="Unresolved","⚠ unresolved disposition",IF($I91="Missing","⚠ documentation missing",""))))</f>
        <v/>
      </c>
    </row>
    <row r="92">
      <c r="A92" s="4" t="n"/>
      <c r="B92" s="4" t="n"/>
      <c r="C92" s="4" t="n"/>
      <c r="D92" s="4" t="n"/>
      <c r="E92" s="28" t="n"/>
      <c r="F92" s="27" t="n"/>
      <c r="G92" s="4" t="n"/>
      <c r="H92" s="4" t="n"/>
      <c r="I92" s="4" t="n"/>
      <c r="J92" s="4" t="n"/>
      <c r="K92" s="28" t="n"/>
      <c r="L92" s="27" t="n"/>
      <c r="M92">
        <f>IF($A92="","",IF($H92="No","⚠ not located",IF($J92="Unresolved","⚠ unresolved disposition",IF($I92="Missing","⚠ documentation missing",""))))</f>
        <v/>
      </c>
    </row>
    <row r="93">
      <c r="A93" s="4" t="n"/>
      <c r="B93" s="4" t="n"/>
      <c r="C93" s="4" t="n"/>
      <c r="D93" s="4" t="n"/>
      <c r="E93" s="28" t="n"/>
      <c r="F93" s="27" t="n"/>
      <c r="G93" s="4" t="n"/>
      <c r="H93" s="4" t="n"/>
      <c r="I93" s="4" t="n"/>
      <c r="J93" s="4" t="n"/>
      <c r="K93" s="28" t="n"/>
      <c r="L93" s="27" t="n"/>
      <c r="M93">
        <f>IF($A93="","",IF($H93="No","⚠ not located",IF($J93="Unresolved","⚠ unresolved disposition",IF($I93="Missing","⚠ documentation missing",""))))</f>
        <v/>
      </c>
    </row>
    <row r="94">
      <c r="A94" s="4" t="n"/>
      <c r="B94" s="4" t="n"/>
      <c r="C94" s="4" t="n"/>
      <c r="D94" s="4" t="n"/>
      <c r="E94" s="28" t="n"/>
      <c r="F94" s="27" t="n"/>
      <c r="G94" s="4" t="n"/>
      <c r="H94" s="4" t="n"/>
      <c r="I94" s="4" t="n"/>
      <c r="J94" s="4" t="n"/>
      <c r="K94" s="28" t="n"/>
      <c r="L94" s="27" t="n"/>
      <c r="M94">
        <f>IF($A94="","",IF($H94="No","⚠ not located",IF($J94="Unresolved","⚠ unresolved disposition",IF($I94="Missing","⚠ documentation missing",""))))</f>
        <v/>
      </c>
    </row>
    <row r="95">
      <c r="A95" s="4" t="n"/>
      <c r="B95" s="4" t="n"/>
      <c r="C95" s="4" t="n"/>
      <c r="D95" s="4" t="n"/>
      <c r="E95" s="28" t="n"/>
      <c r="F95" s="27" t="n"/>
      <c r="G95" s="4" t="n"/>
      <c r="H95" s="4" t="n"/>
      <c r="I95" s="4" t="n"/>
      <c r="J95" s="4" t="n"/>
      <c r="K95" s="28" t="n"/>
      <c r="L95" s="27" t="n"/>
      <c r="M95">
        <f>IF($A95="","",IF($H95="No","⚠ not located",IF($J95="Unresolved","⚠ unresolved disposition",IF($I95="Missing","⚠ documentation missing",""))))</f>
        <v/>
      </c>
    </row>
    <row r="96">
      <c r="A96" s="4" t="n"/>
      <c r="B96" s="4" t="n"/>
      <c r="C96" s="4" t="n"/>
      <c r="D96" s="4" t="n"/>
      <c r="E96" s="28" t="n"/>
      <c r="F96" s="27" t="n"/>
      <c r="G96" s="4" t="n"/>
      <c r="H96" s="4" t="n"/>
      <c r="I96" s="4" t="n"/>
      <c r="J96" s="4" t="n"/>
      <c r="K96" s="28" t="n"/>
      <c r="L96" s="27" t="n"/>
      <c r="M96">
        <f>IF($A96="","",IF($H96="No","⚠ not located",IF($J96="Unresolved","⚠ unresolved disposition",IF($I96="Missing","⚠ documentation missing",""))))</f>
        <v/>
      </c>
    </row>
    <row r="97">
      <c r="A97" s="4" t="n"/>
      <c r="B97" s="4" t="n"/>
      <c r="C97" s="4" t="n"/>
      <c r="D97" s="4" t="n"/>
      <c r="E97" s="28" t="n"/>
      <c r="F97" s="27" t="n"/>
      <c r="G97" s="4" t="n"/>
      <c r="H97" s="4" t="n"/>
      <c r="I97" s="4" t="n"/>
      <c r="J97" s="4" t="n"/>
      <c r="K97" s="28" t="n"/>
      <c r="L97" s="27" t="n"/>
      <c r="M97">
        <f>IF($A97="","",IF($H97="No","⚠ not located",IF($J97="Unresolved","⚠ unresolved disposition",IF($I97="Missing","⚠ documentation missing",""))))</f>
        <v/>
      </c>
    </row>
    <row r="98">
      <c r="A98" s="4" t="n"/>
      <c r="B98" s="4" t="n"/>
      <c r="C98" s="4" t="n"/>
      <c r="D98" s="4" t="n"/>
      <c r="E98" s="28" t="n"/>
      <c r="F98" s="27" t="n"/>
      <c r="G98" s="4" t="n"/>
      <c r="H98" s="4" t="n"/>
      <c r="I98" s="4" t="n"/>
      <c r="J98" s="4" t="n"/>
      <c r="K98" s="28" t="n"/>
      <c r="L98" s="27" t="n"/>
      <c r="M98">
        <f>IF($A98="","",IF($H98="No","⚠ not located",IF($J98="Unresolved","⚠ unresolved disposition",IF($I98="Missing","⚠ documentation missing",""))))</f>
        <v/>
      </c>
    </row>
    <row r="99">
      <c r="A99" s="4" t="n"/>
      <c r="B99" s="4" t="n"/>
      <c r="C99" s="4" t="n"/>
      <c r="D99" s="4" t="n"/>
      <c r="E99" s="28" t="n"/>
      <c r="F99" s="27" t="n"/>
      <c r="G99" s="4" t="n"/>
      <c r="H99" s="4" t="n"/>
      <c r="I99" s="4" t="n"/>
      <c r="J99" s="4" t="n"/>
      <c r="K99" s="28" t="n"/>
      <c r="L99" s="27" t="n"/>
      <c r="M99">
        <f>IF($A99="","",IF($H99="No","⚠ not located",IF($J99="Unresolved","⚠ unresolved disposition",IF($I99="Missing","⚠ documentation missing",""))))</f>
        <v/>
      </c>
    </row>
    <row r="100">
      <c r="A100" s="4" t="n"/>
      <c r="B100" s="4" t="n"/>
      <c r="C100" s="4" t="n"/>
      <c r="D100" s="4" t="n"/>
      <c r="E100" s="28" t="n"/>
      <c r="F100" s="27" t="n"/>
      <c r="G100" s="4" t="n"/>
      <c r="H100" s="4" t="n"/>
      <c r="I100" s="4" t="n"/>
      <c r="J100" s="4" t="n"/>
      <c r="K100" s="28" t="n"/>
      <c r="L100" s="27" t="n"/>
      <c r="M100">
        <f>IF($A100="","",IF($H100="No","⚠ not located",IF($J100="Unresolved","⚠ unresolved disposition",IF($I100="Missing","⚠ documentation missing",""))))</f>
        <v/>
      </c>
    </row>
    <row r="101">
      <c r="A101" s="4" t="n"/>
      <c r="B101" s="4" t="n"/>
      <c r="C101" s="4" t="n"/>
      <c r="D101" s="4" t="n"/>
      <c r="E101" s="28" t="n"/>
      <c r="F101" s="27" t="n"/>
      <c r="G101" s="4" t="n"/>
      <c r="H101" s="4" t="n"/>
      <c r="I101" s="4" t="n"/>
      <c r="J101" s="4" t="n"/>
      <c r="K101" s="28" t="n"/>
      <c r="L101" s="27" t="n"/>
      <c r="M101">
        <f>IF($A101="","",IF($H101="No","⚠ not located",IF($J101="Unresolved","⚠ unresolved disposition",IF($I101="Missing","⚠ documentation missing",""))))</f>
        <v/>
      </c>
    </row>
    <row r="102">
      <c r="A102" s="4" t="n"/>
      <c r="B102" s="4" t="n"/>
      <c r="C102" s="4" t="n"/>
      <c r="D102" s="4" t="n"/>
      <c r="E102" s="28" t="n"/>
      <c r="F102" s="27" t="n"/>
      <c r="G102" s="4" t="n"/>
      <c r="H102" s="4" t="n"/>
      <c r="I102" s="4" t="n"/>
      <c r="J102" s="4" t="n"/>
      <c r="K102" s="28" t="n"/>
      <c r="L102" s="27" t="n"/>
      <c r="M102">
        <f>IF($A102="","",IF($H102="No","⚠ not located",IF($J102="Unresolved","⚠ unresolved disposition",IF($I102="Missing","⚠ documentation missing",""))))</f>
        <v/>
      </c>
    </row>
    <row r="103">
      <c r="A103" s="4" t="n"/>
      <c r="B103" s="4" t="n"/>
      <c r="C103" s="4" t="n"/>
      <c r="D103" s="4" t="n"/>
      <c r="E103" s="28" t="n"/>
      <c r="F103" s="27" t="n"/>
      <c r="G103" s="4" t="n"/>
      <c r="H103" s="4" t="n"/>
      <c r="I103" s="4" t="n"/>
      <c r="J103" s="4" t="n"/>
      <c r="K103" s="28" t="n"/>
      <c r="L103" s="27" t="n"/>
      <c r="M103">
        <f>IF($A103="","",IF($H103="No","⚠ not located",IF($J103="Unresolved","⚠ unresolved disposition",IF($I103="Missing","⚠ documentation missing",""))))</f>
        <v/>
      </c>
    </row>
  </sheetData>
  <sheetProtection selectLockedCells="0" selectUnlockedCells="0" sheet="1" objects="0" insertRows="1" insertHyperlinks="1" autoFilter="0" scenarios="0" formatColumns="0" deleteColumns="1" insertColumns="1" pivotTables="1" deleteRows="1" formatCells="1" formatRows="0" sort="0"/>
  <autoFilter ref="A3:M3"/>
  <conditionalFormatting sqref="M4:M103">
    <cfRule type="expression" priority="1" dxfId="0">
      <formula>LEFT($M4,1)="⚠"</formula>
    </cfRule>
  </conditionalFormatting>
  <dataValidations count="5">
    <dataValidation sqref="B4:B103" showDropDown="0" showInputMessage="0" showErrorMessage="0" allowBlank="1" type="list">
      <formula1>"Bank Account,Investment/Brokerage,Real Estate,Vehicle,Life Insurance,Personal Property,Safe Deposit Box,Business Interest,Other"</formula1>
    </dataValidation>
    <dataValidation sqref="H4:H103" showDropDown="0" showInputMessage="0" showErrorMessage="0" allowBlank="1" type="list">
      <formula1>"Yes,No"</formula1>
    </dataValidation>
    <dataValidation sqref="I4:I103" showDropDown="0" showInputMessage="0" showErrorMessage="0" allowBlank="1" type="list">
      <formula1>"Complete,Pending,Missing"</formula1>
    </dataValidation>
    <dataValidation sqref="J4:J103" showDropDown="0" showInputMessage="0" showErrorMessage="0" allowBlank="1" type="list">
      <formula1>"Collected,Sold,Distributed In-Kind,Not Yet Disposed,Unresolved"</formula1>
    </dataValidation>
    <dataValidation sqref="E4:E103 K4:K1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K103"/>
  <sheetViews>
    <sheetView workbookViewId="0">
      <selection activeCell="A1" sqref="A1"/>
    </sheetView>
  </sheetViews>
  <sheetFormatPr baseColWidth="8" defaultRowHeight="13.8"/>
  <cols>
    <col width="14" customWidth="1" style="21" min="1" max="1"/>
    <col width="22" customWidth="1" style="21" min="2" max="2"/>
    <col width="20" customWidth="1" style="21" min="3" max="3"/>
    <col width="21" customWidth="1" style="21" min="4" max="5"/>
    <col width="20" customWidth="1" style="21" min="5" max="5"/>
    <col width="13" customWidth="1" style="21" min="6" max="6"/>
    <col width="14" customWidth="1" style="21" min="7" max="7"/>
    <col width="16" customWidth="1" style="21" min="8" max="8"/>
    <col width="17" customWidth="1" style="21" min="9" max="9"/>
    <col width="18" customWidth="1" style="21" min="10" max="10"/>
    <col width="27" customWidth="1" style="21" min="11" max="11"/>
  </cols>
  <sheetData>
    <row r="1" ht="17.4" customHeight="1" s="21">
      <c r="A1" s="16" t="inlineStr">
        <is>
          <t>LIABILITY REGISTER</t>
        </is>
      </c>
    </row>
    <row r="2" ht="331.2" customHeight="1" s="21">
      <c r="A2" s="20" t="inlineStr">
        <is>
          <t>This workbook does not determine creditor priority or whether a debt is legally owed — it tracks what's claimed, verified, and paid, for your own organization.</t>
        </is>
      </c>
    </row>
    <row r="3" ht="15.6" customHeight="1" s="21">
      <c r="A3" s="1" t="inlineStr">
        <is>
          <t>Liability ID</t>
        </is>
      </c>
      <c r="B3" s="1" t="inlineStr">
        <is>
          <t>Creditor</t>
        </is>
      </c>
      <c r="C3" s="1" t="inlineStr">
        <is>
          <t>Category</t>
        </is>
      </c>
      <c r="D3" s="1" t="inlineStr">
        <is>
          <t>Amount Claimed</t>
        </is>
      </c>
      <c r="E3" s="1" t="inlineStr">
        <is>
          <t>Amount Verified</t>
        </is>
      </c>
      <c r="F3" s="1" t="inlineStr">
        <is>
          <t>Due Date</t>
        </is>
      </c>
      <c r="G3" s="1" t="inlineStr">
        <is>
          <t>Disputed?</t>
        </is>
      </c>
      <c r="H3" s="1" t="inlineStr">
        <is>
          <t>Status</t>
        </is>
      </c>
      <c r="I3" s="1" t="inlineStr">
        <is>
          <t>Amount Paid</t>
        </is>
      </c>
      <c r="J3" s="1" t="inlineStr">
        <is>
          <t>Payment Date</t>
        </is>
      </c>
      <c r="K3" s="1" t="inlineStr">
        <is>
          <t>Warning (auto)</t>
        </is>
      </c>
    </row>
    <row r="4">
      <c r="A4" s="4" t="inlineStr">
        <is>
          <t>L1</t>
        </is>
      </c>
      <c r="B4" s="4" t="inlineStr">
        <is>
          <t>First National Bank</t>
        </is>
      </c>
      <c r="C4" s="4" t="inlineStr">
        <is>
          <t>Final Utility/Bank Fees</t>
        </is>
      </c>
      <c r="D4" s="28" t="n">
        <v>180</v>
      </c>
      <c r="E4" s="28" t="n">
        <v>180</v>
      </c>
      <c r="F4" s="27" t="n">
        <v>46257</v>
      </c>
      <c r="G4" s="4" t="inlineStr">
        <is>
          <t>No</t>
        </is>
      </c>
      <c r="H4" s="4" t="inlineStr">
        <is>
          <t>Paid</t>
        </is>
      </c>
      <c r="I4" s="28" t="n">
        <v>180</v>
      </c>
      <c r="J4" s="27" t="n">
        <v>46262</v>
      </c>
      <c r="K4">
        <f>IF($A4="","",IF($H4="Disputed","⚠ disputed item",IF(AND($H4="Verified, Unpaid",IF(ISNUMBER($E4),$E4,0)&gt;IF(ISNUMBER($I4),$I4,0)),"⚠ unpaid verified balance","")))</f>
        <v/>
      </c>
    </row>
    <row r="5">
      <c r="A5" s="4" t="inlineStr">
        <is>
          <t>L2</t>
        </is>
      </c>
      <c r="B5" s="4" t="inlineStr">
        <is>
          <t>Meridian Card Services</t>
        </is>
      </c>
      <c r="C5" s="4" t="inlineStr">
        <is>
          <t>Credit Card</t>
        </is>
      </c>
      <c r="D5" s="28" t="n">
        <v>3400</v>
      </c>
      <c r="E5" s="28" t="n">
        <v>0</v>
      </c>
      <c r="F5" s="27" t="n">
        <v>46302</v>
      </c>
      <c r="G5" s="4" t="inlineStr">
        <is>
          <t>Yes</t>
        </is>
      </c>
      <c r="H5" s="4" t="inlineStr">
        <is>
          <t>Disputed</t>
        </is>
      </c>
      <c r="I5" s="28" t="n">
        <v>0</v>
      </c>
      <c r="J5" s="4" t="n"/>
      <c r="K5">
        <f>IF($A5="","",IF($H5="Disputed","⚠ disputed item",IF(AND($H5="Verified, Unpaid",IF(ISNUMBER($E5),$E5,0)&gt;IF(ISNUMBER($I5),$I5,0)),"⚠ unpaid verified balance","")))</f>
        <v/>
      </c>
    </row>
    <row r="6">
      <c r="A6" s="4" t="inlineStr">
        <is>
          <t>L3</t>
        </is>
      </c>
      <c r="B6" s="4" t="inlineStr">
        <is>
          <t>Lakeside Funeral Home</t>
        </is>
      </c>
      <c r="C6" s="4" t="inlineStr">
        <is>
          <t>Funeral Expenses</t>
        </is>
      </c>
      <c r="D6" s="28" t="n">
        <v>8900</v>
      </c>
      <c r="E6" s="28" t="n">
        <v>8900</v>
      </c>
      <c r="F6" s="27" t="n">
        <v>46217</v>
      </c>
      <c r="G6" s="4" t="inlineStr">
        <is>
          <t>No</t>
        </is>
      </c>
      <c r="H6" s="4" t="inlineStr">
        <is>
          <t>Verified, Unpaid</t>
        </is>
      </c>
      <c r="I6" s="28" t="n">
        <v>0</v>
      </c>
      <c r="J6" s="27" t="n"/>
      <c r="K6">
        <f>IF($A6="","",IF($H6="Disputed","⚠ disputed item",IF(AND($H6="Verified, Unpaid",IF(ISNUMBER($E6),$E6,0)&gt;IF(ISNUMBER($I6),$I6,0)),"⚠ unpaid verified balance","")))</f>
        <v/>
      </c>
    </row>
    <row r="7">
      <c r="A7" s="4" t="inlineStr">
        <is>
          <t>L4</t>
        </is>
      </c>
      <c r="B7" s="4" t="inlineStr">
        <is>
          <t>County Tax Assessor</t>
        </is>
      </c>
      <c r="C7" s="4" t="inlineStr">
        <is>
          <t>Property Tax</t>
        </is>
      </c>
      <c r="D7" s="28" t="n">
        <v>2100</v>
      </c>
      <c r="E7" s="28" t="n">
        <v>2100</v>
      </c>
      <c r="F7" s="27" t="n">
        <v>46307</v>
      </c>
      <c r="G7" s="4" t="inlineStr">
        <is>
          <t>No</t>
        </is>
      </c>
      <c r="H7" s="4" t="inlineStr">
        <is>
          <t>Verified, Unpaid</t>
        </is>
      </c>
      <c r="I7" s="28" t="n">
        <v>0</v>
      </c>
      <c r="J7" s="4" t="n"/>
      <c r="K7">
        <f>IF($A7="","",IF($H7="Disputed","⚠ disputed item",IF(AND($H7="Verified, Unpaid",IF(ISNUMBER($E7),$E7,0)&gt;IF(ISNUMBER($I7),$I7,0)),"⚠ unpaid verified balance","")))</f>
        <v/>
      </c>
    </row>
    <row r="8">
      <c r="A8" s="4" t="inlineStr">
        <is>
          <t>L5</t>
        </is>
      </c>
      <c r="B8" s="4" t="inlineStr">
        <is>
          <t>Dr. Ellen Farrow, DDS</t>
        </is>
      </c>
      <c r="C8" s="4" t="inlineStr">
        <is>
          <t>Medical Bill</t>
        </is>
      </c>
      <c r="D8" s="28" t="n">
        <v>340</v>
      </c>
      <c r="E8" s="28" t="n">
        <v>340</v>
      </c>
      <c r="F8" s="27" t="n">
        <v>46282</v>
      </c>
      <c r="G8" s="4" t="inlineStr">
        <is>
          <t>No</t>
        </is>
      </c>
      <c r="H8" s="4" t="inlineStr">
        <is>
          <t>Verified, Unpaid</t>
        </is>
      </c>
      <c r="I8" s="28" t="n">
        <v>0</v>
      </c>
      <c r="J8" s="4" t="n"/>
      <c r="K8">
        <f>IF($A8="","",IF($H8="Disputed","⚠ disputed item",IF(AND($H8="Verified, Unpaid",IF(ISNUMBER($E8),$E8,0)&gt;IF(ISNUMBER($I8),$I8,0)),"⚠ unpaid verified balance","")))</f>
        <v/>
      </c>
    </row>
    <row r="9">
      <c r="A9" s="4" t="n"/>
      <c r="B9" s="4" t="n"/>
      <c r="C9" s="4" t="n"/>
      <c r="D9" s="4" t="n"/>
      <c r="E9" s="4" t="n"/>
      <c r="F9" s="4" t="n"/>
      <c r="G9" s="4" t="n"/>
      <c r="H9" s="4" t="n"/>
      <c r="I9" s="4" t="n"/>
      <c r="J9" s="4" t="n"/>
      <c r="K9">
        <f>IF($A9="","",IF($H9="Disputed","⚠ disputed item",IF(AND($H9="Verified, Unpaid",IF(ISNUMBER($E9),$E9,0)&gt;IF(ISNUMBER($I9),$I9,0)),"⚠ unpaid verified balance","")))</f>
        <v/>
      </c>
    </row>
    <row r="10">
      <c r="A10" s="4" t="n"/>
      <c r="B10" s="4" t="n"/>
      <c r="C10" s="4" t="n"/>
      <c r="D10" s="28" t="n"/>
      <c r="E10" s="28" t="n"/>
      <c r="F10" s="27" t="n"/>
      <c r="G10" s="4" t="n"/>
      <c r="H10" s="4" t="n"/>
      <c r="I10" s="28" t="n"/>
      <c r="J10" s="27" t="n"/>
      <c r="K10">
        <f>IF($A10="","",IF($H10="Disputed","⚠ disputed item",IF(AND($H10="Verified, Unpaid",IF(ISNUMBER($E10),$E10,0)&gt;IF(ISNUMBER($I10),$I10,0)),"⚠ unpaid verified balance","")))</f>
        <v/>
      </c>
    </row>
    <row r="11">
      <c r="A11" s="4" t="n"/>
      <c r="B11" s="4" t="n"/>
      <c r="C11" s="4" t="n"/>
      <c r="D11" s="28" t="n"/>
      <c r="E11" s="28" t="n"/>
      <c r="F11" s="27" t="n"/>
      <c r="G11" s="4" t="n"/>
      <c r="H11" s="4" t="n"/>
      <c r="I11" s="28" t="n"/>
      <c r="J11" s="27" t="n"/>
      <c r="K11">
        <f>IF($A11="","",IF($H11="Disputed","⚠ disputed item",IF(AND($H11="Verified, Unpaid",IF(ISNUMBER($E11),$E11,0)&gt;IF(ISNUMBER($I11),$I11,0)),"⚠ unpaid verified balance","")))</f>
        <v/>
      </c>
    </row>
    <row r="12">
      <c r="A12" s="4" t="n"/>
      <c r="B12" s="4" t="n"/>
      <c r="C12" s="4" t="n"/>
      <c r="D12" s="28" t="n"/>
      <c r="E12" s="28" t="n"/>
      <c r="F12" s="27" t="n"/>
      <c r="G12" s="4" t="n"/>
      <c r="H12" s="4" t="n"/>
      <c r="I12" s="28" t="n"/>
      <c r="J12" s="27" t="n"/>
      <c r="K12">
        <f>IF($A12="","",IF($H12="Disputed","⚠ disputed item",IF(AND($H12="Verified, Unpaid",IF(ISNUMBER($E12),$E12,0)&gt;IF(ISNUMBER($I12),$I12,0)),"⚠ unpaid verified balance","")))</f>
        <v/>
      </c>
    </row>
    <row r="13">
      <c r="A13" s="4" t="n"/>
      <c r="B13" s="4" t="n"/>
      <c r="C13" s="4" t="n"/>
      <c r="D13" s="28" t="n"/>
      <c r="E13" s="28" t="n"/>
      <c r="F13" s="27" t="n"/>
      <c r="G13" s="4" t="n"/>
      <c r="H13" s="4" t="n"/>
      <c r="I13" s="28" t="n"/>
      <c r="J13" s="27" t="n"/>
      <c r="K13">
        <f>IF($A13="","",IF($H13="Disputed","⚠ disputed item",IF(AND($H13="Verified, Unpaid",IF(ISNUMBER($E13),$E13,0)&gt;IF(ISNUMBER($I13),$I13,0)),"⚠ unpaid verified balance","")))</f>
        <v/>
      </c>
    </row>
    <row r="14">
      <c r="A14" s="4" t="n"/>
      <c r="B14" s="4" t="n"/>
      <c r="C14" s="4" t="n"/>
      <c r="D14" s="28" t="n"/>
      <c r="E14" s="28" t="n"/>
      <c r="F14" s="27" t="n"/>
      <c r="G14" s="4" t="n"/>
      <c r="H14" s="4" t="n"/>
      <c r="I14" s="28" t="n"/>
      <c r="J14" s="27" t="n"/>
      <c r="K14">
        <f>IF($A14="","",IF($H14="Disputed","⚠ disputed item",IF(AND($H14="Verified, Unpaid",IF(ISNUMBER($E14),$E14,0)&gt;IF(ISNUMBER($I14),$I14,0)),"⚠ unpaid verified balance","")))</f>
        <v/>
      </c>
    </row>
    <row r="15">
      <c r="A15" s="4" t="n"/>
      <c r="B15" s="4" t="n"/>
      <c r="C15" s="4" t="n"/>
      <c r="D15" s="28" t="n"/>
      <c r="E15" s="28" t="n"/>
      <c r="F15" s="27" t="n"/>
      <c r="G15" s="4" t="n"/>
      <c r="H15" s="4" t="n"/>
      <c r="I15" s="28" t="n"/>
      <c r="J15" s="27" t="n"/>
      <c r="K15">
        <f>IF($A15="","",IF($H15="Disputed","⚠ disputed item",IF(AND($H15="Verified, Unpaid",IF(ISNUMBER($E15),$E15,0)&gt;IF(ISNUMBER($I15),$I15,0)),"⚠ unpaid verified balance","")))</f>
        <v/>
      </c>
    </row>
    <row r="16">
      <c r="A16" s="4" t="n"/>
      <c r="B16" s="4" t="n"/>
      <c r="C16" s="4" t="n"/>
      <c r="D16" s="28" t="n"/>
      <c r="E16" s="28" t="n"/>
      <c r="F16" s="27" t="n"/>
      <c r="G16" s="4" t="n"/>
      <c r="H16" s="4" t="n"/>
      <c r="I16" s="28" t="n"/>
      <c r="J16" s="27" t="n"/>
      <c r="K16">
        <f>IF($A16="","",IF($H16="Disputed","⚠ disputed item",IF(AND($H16="Verified, Unpaid",IF(ISNUMBER($E16),$E16,0)&gt;IF(ISNUMBER($I16),$I16,0)),"⚠ unpaid verified balance","")))</f>
        <v/>
      </c>
    </row>
    <row r="17">
      <c r="A17" s="4" t="n"/>
      <c r="B17" s="4" t="n"/>
      <c r="C17" s="4" t="n"/>
      <c r="D17" s="28" t="n"/>
      <c r="E17" s="28" t="n"/>
      <c r="F17" s="27" t="n"/>
      <c r="G17" s="4" t="n"/>
      <c r="H17" s="4" t="n"/>
      <c r="I17" s="28" t="n"/>
      <c r="J17" s="27" t="n"/>
      <c r="K17">
        <f>IF($A17="","",IF($H17="Disputed","⚠ disputed item",IF(AND($H17="Verified, Unpaid",IF(ISNUMBER($E17),$E17,0)&gt;IF(ISNUMBER($I17),$I17,0)),"⚠ unpaid verified balance","")))</f>
        <v/>
      </c>
    </row>
    <row r="18">
      <c r="A18" s="4" t="n"/>
      <c r="B18" s="4" t="n"/>
      <c r="C18" s="4" t="n"/>
      <c r="D18" s="28" t="n"/>
      <c r="E18" s="28" t="n"/>
      <c r="F18" s="27" t="n"/>
      <c r="G18" s="4" t="n"/>
      <c r="H18" s="4" t="n"/>
      <c r="I18" s="28" t="n"/>
      <c r="J18" s="27" t="n"/>
      <c r="K18">
        <f>IF($A18="","",IF($H18="Disputed","⚠ disputed item",IF(AND($H18="Verified, Unpaid",IF(ISNUMBER($E18),$E18,0)&gt;IF(ISNUMBER($I18),$I18,0)),"⚠ unpaid verified balance","")))</f>
        <v/>
      </c>
    </row>
    <row r="19">
      <c r="A19" s="4" t="n"/>
      <c r="B19" s="4" t="n"/>
      <c r="C19" s="4" t="n"/>
      <c r="D19" s="28" t="n"/>
      <c r="E19" s="28" t="n"/>
      <c r="F19" s="27" t="n"/>
      <c r="G19" s="4" t="n"/>
      <c r="H19" s="4" t="n"/>
      <c r="I19" s="28" t="n"/>
      <c r="J19" s="27" t="n"/>
      <c r="K19">
        <f>IF($A19="","",IF($H19="Disputed","⚠ disputed item",IF(AND($H19="Verified, Unpaid",IF(ISNUMBER($E19),$E19,0)&gt;IF(ISNUMBER($I19),$I19,0)),"⚠ unpaid verified balance","")))</f>
        <v/>
      </c>
    </row>
    <row r="20">
      <c r="A20" s="4" t="n"/>
      <c r="B20" s="4" t="n"/>
      <c r="C20" s="4" t="n"/>
      <c r="D20" s="28" t="n"/>
      <c r="E20" s="28" t="n"/>
      <c r="F20" s="27" t="n"/>
      <c r="G20" s="4" t="n"/>
      <c r="H20" s="4" t="n"/>
      <c r="I20" s="28" t="n"/>
      <c r="J20" s="27" t="n"/>
      <c r="K20">
        <f>IF($A20="","",IF($H20="Disputed","⚠ disputed item",IF(AND($H20="Verified, Unpaid",IF(ISNUMBER($E20),$E20,0)&gt;IF(ISNUMBER($I20),$I20,0)),"⚠ unpaid verified balance","")))</f>
        <v/>
      </c>
    </row>
    <row r="21">
      <c r="A21" s="4" t="n"/>
      <c r="B21" s="4" t="n"/>
      <c r="C21" s="4" t="n"/>
      <c r="D21" s="28" t="n"/>
      <c r="E21" s="28" t="n"/>
      <c r="F21" s="27" t="n"/>
      <c r="G21" s="4" t="n"/>
      <c r="H21" s="4" t="n"/>
      <c r="I21" s="28" t="n"/>
      <c r="J21" s="27" t="n"/>
      <c r="K21">
        <f>IF($A21="","",IF($H21="Disputed","⚠ disputed item",IF(AND($H21="Verified, Unpaid",IF(ISNUMBER($E21),$E21,0)&gt;IF(ISNUMBER($I21),$I21,0)),"⚠ unpaid verified balance","")))</f>
        <v/>
      </c>
    </row>
    <row r="22">
      <c r="A22" s="4" t="n"/>
      <c r="B22" s="4" t="n"/>
      <c r="C22" s="4" t="n"/>
      <c r="D22" s="28" t="n"/>
      <c r="E22" s="28" t="n"/>
      <c r="F22" s="27" t="n"/>
      <c r="G22" s="4" t="n"/>
      <c r="H22" s="4" t="n"/>
      <c r="I22" s="28" t="n"/>
      <c r="J22" s="27" t="n"/>
      <c r="K22">
        <f>IF($A22="","",IF($H22="Disputed","⚠ disputed item",IF(AND($H22="Verified, Unpaid",IF(ISNUMBER($E22),$E22,0)&gt;IF(ISNUMBER($I22),$I22,0)),"⚠ unpaid verified balance","")))</f>
        <v/>
      </c>
    </row>
    <row r="23">
      <c r="A23" s="4" t="n"/>
      <c r="B23" s="4" t="n"/>
      <c r="C23" s="4" t="n"/>
      <c r="D23" s="28" t="n"/>
      <c r="E23" s="28" t="n"/>
      <c r="F23" s="27" t="n"/>
      <c r="G23" s="4" t="n"/>
      <c r="H23" s="4" t="n"/>
      <c r="I23" s="28" t="n"/>
      <c r="J23" s="27" t="n"/>
      <c r="K23">
        <f>IF($A23="","",IF($H23="Disputed","⚠ disputed item",IF(AND($H23="Verified, Unpaid",IF(ISNUMBER($E23),$E23,0)&gt;IF(ISNUMBER($I23),$I23,0)),"⚠ unpaid verified balance","")))</f>
        <v/>
      </c>
    </row>
    <row r="24">
      <c r="A24" s="4" t="n"/>
      <c r="B24" s="4" t="n"/>
      <c r="C24" s="4" t="n"/>
      <c r="D24" s="28" t="n"/>
      <c r="E24" s="28" t="n"/>
      <c r="F24" s="27" t="n"/>
      <c r="G24" s="4" t="n"/>
      <c r="H24" s="4" t="n"/>
      <c r="I24" s="28" t="n"/>
      <c r="J24" s="27" t="n"/>
      <c r="K24">
        <f>IF($A24="","",IF($H24="Disputed","⚠ disputed item",IF(AND($H24="Verified, Unpaid",IF(ISNUMBER($E24),$E24,0)&gt;IF(ISNUMBER($I24),$I24,0)),"⚠ unpaid verified balance","")))</f>
        <v/>
      </c>
    </row>
    <row r="25">
      <c r="A25" s="4" t="n"/>
      <c r="B25" s="4" t="n"/>
      <c r="C25" s="4" t="n"/>
      <c r="D25" s="28" t="n"/>
      <c r="E25" s="28" t="n"/>
      <c r="F25" s="27" t="n"/>
      <c r="G25" s="4" t="n"/>
      <c r="H25" s="4" t="n"/>
      <c r="I25" s="28" t="n"/>
      <c r="J25" s="27" t="n"/>
      <c r="K25">
        <f>IF($A25="","",IF($H25="Disputed","⚠ disputed item",IF(AND($H25="Verified, Unpaid",IF(ISNUMBER($E25),$E25,0)&gt;IF(ISNUMBER($I25),$I25,0)),"⚠ unpaid verified balance","")))</f>
        <v/>
      </c>
    </row>
    <row r="26">
      <c r="A26" s="4" t="n"/>
      <c r="B26" s="4" t="n"/>
      <c r="C26" s="4" t="n"/>
      <c r="D26" s="28" t="n"/>
      <c r="E26" s="28" t="n"/>
      <c r="F26" s="27" t="n"/>
      <c r="G26" s="4" t="n"/>
      <c r="H26" s="4" t="n"/>
      <c r="I26" s="28" t="n"/>
      <c r="J26" s="27" t="n"/>
      <c r="K26">
        <f>IF($A26="","",IF($H26="Disputed","⚠ disputed item",IF(AND($H26="Verified, Unpaid",IF(ISNUMBER($E26),$E26,0)&gt;IF(ISNUMBER($I26),$I26,0)),"⚠ unpaid verified balance","")))</f>
        <v/>
      </c>
    </row>
    <row r="27">
      <c r="A27" s="4" t="n"/>
      <c r="B27" s="4" t="n"/>
      <c r="C27" s="4" t="n"/>
      <c r="D27" s="28" t="n"/>
      <c r="E27" s="28" t="n"/>
      <c r="F27" s="27" t="n"/>
      <c r="G27" s="4" t="n"/>
      <c r="H27" s="4" t="n"/>
      <c r="I27" s="28" t="n"/>
      <c r="J27" s="27" t="n"/>
      <c r="K27">
        <f>IF($A27="","",IF($H27="Disputed","⚠ disputed item",IF(AND($H27="Verified, Unpaid",IF(ISNUMBER($E27),$E27,0)&gt;IF(ISNUMBER($I27),$I27,0)),"⚠ unpaid verified balance","")))</f>
        <v/>
      </c>
    </row>
    <row r="28">
      <c r="A28" s="4" t="n"/>
      <c r="B28" s="4" t="n"/>
      <c r="C28" s="4" t="n"/>
      <c r="D28" s="28" t="n"/>
      <c r="E28" s="28" t="n"/>
      <c r="F28" s="27" t="n"/>
      <c r="G28" s="4" t="n"/>
      <c r="H28" s="4" t="n"/>
      <c r="I28" s="28" t="n"/>
      <c r="J28" s="27" t="n"/>
      <c r="K28">
        <f>IF($A28="","",IF($H28="Disputed","⚠ disputed item",IF(AND($H28="Verified, Unpaid",IF(ISNUMBER($E28),$E28,0)&gt;IF(ISNUMBER($I28),$I28,0)),"⚠ unpaid verified balance","")))</f>
        <v/>
      </c>
    </row>
    <row r="29">
      <c r="A29" s="4" t="n"/>
      <c r="B29" s="4" t="n"/>
      <c r="C29" s="4" t="n"/>
      <c r="D29" s="28" t="n"/>
      <c r="E29" s="28" t="n"/>
      <c r="F29" s="27" t="n"/>
      <c r="G29" s="4" t="n"/>
      <c r="H29" s="4" t="n"/>
      <c r="I29" s="28" t="n"/>
      <c r="J29" s="27" t="n"/>
      <c r="K29">
        <f>IF($A29="","",IF($H29="Disputed","⚠ disputed item",IF(AND($H29="Verified, Unpaid",IF(ISNUMBER($E29),$E29,0)&gt;IF(ISNUMBER($I29),$I29,0)),"⚠ unpaid verified balance","")))</f>
        <v/>
      </c>
    </row>
    <row r="30">
      <c r="A30" s="4" t="n"/>
      <c r="B30" s="4" t="n"/>
      <c r="C30" s="4" t="n"/>
      <c r="D30" s="28" t="n"/>
      <c r="E30" s="28" t="n"/>
      <c r="F30" s="27" t="n"/>
      <c r="G30" s="4" t="n"/>
      <c r="H30" s="4" t="n"/>
      <c r="I30" s="28" t="n"/>
      <c r="J30" s="27" t="n"/>
      <c r="K30">
        <f>IF($A30="","",IF($H30="Disputed","⚠ disputed item",IF(AND($H30="Verified, Unpaid",IF(ISNUMBER($E30),$E30,0)&gt;IF(ISNUMBER($I30),$I30,0)),"⚠ unpaid verified balance","")))</f>
        <v/>
      </c>
    </row>
    <row r="31">
      <c r="A31" s="4" t="n"/>
      <c r="B31" s="4" t="n"/>
      <c r="C31" s="4" t="n"/>
      <c r="D31" s="28" t="n"/>
      <c r="E31" s="28" t="n"/>
      <c r="F31" s="27" t="n"/>
      <c r="G31" s="4" t="n"/>
      <c r="H31" s="4" t="n"/>
      <c r="I31" s="28" t="n"/>
      <c r="J31" s="27" t="n"/>
      <c r="K31">
        <f>IF($A31="","",IF($H31="Disputed","⚠ disputed item",IF(AND($H31="Verified, Unpaid",IF(ISNUMBER($E31),$E31,0)&gt;IF(ISNUMBER($I31),$I31,0)),"⚠ unpaid verified balance","")))</f>
        <v/>
      </c>
    </row>
    <row r="32">
      <c r="A32" s="4" t="n"/>
      <c r="B32" s="4" t="n"/>
      <c r="C32" s="4" t="n"/>
      <c r="D32" s="28" t="n"/>
      <c r="E32" s="28" t="n"/>
      <c r="F32" s="27" t="n"/>
      <c r="G32" s="4" t="n"/>
      <c r="H32" s="4" t="n"/>
      <c r="I32" s="28" t="n"/>
      <c r="J32" s="27" t="n"/>
      <c r="K32">
        <f>IF($A32="","",IF($H32="Disputed","⚠ disputed item",IF(AND($H32="Verified, Unpaid",IF(ISNUMBER($E32),$E32,0)&gt;IF(ISNUMBER($I32),$I32,0)),"⚠ unpaid verified balance","")))</f>
        <v/>
      </c>
    </row>
    <row r="33">
      <c r="A33" s="4" t="n"/>
      <c r="B33" s="4" t="n"/>
      <c r="C33" s="4" t="n"/>
      <c r="D33" s="28" t="n"/>
      <c r="E33" s="28" t="n"/>
      <c r="F33" s="27" t="n"/>
      <c r="G33" s="4" t="n"/>
      <c r="H33" s="4" t="n"/>
      <c r="I33" s="28" t="n"/>
      <c r="J33" s="27" t="n"/>
      <c r="K33">
        <f>IF($A33="","",IF($H33="Disputed","⚠ disputed item",IF(AND($H33="Verified, Unpaid",IF(ISNUMBER($E33),$E33,0)&gt;IF(ISNUMBER($I33),$I33,0)),"⚠ unpaid verified balance","")))</f>
        <v/>
      </c>
    </row>
    <row r="34">
      <c r="A34" s="4" t="n"/>
      <c r="B34" s="4" t="n"/>
      <c r="C34" s="4" t="n"/>
      <c r="D34" s="28" t="n"/>
      <c r="E34" s="28" t="n"/>
      <c r="F34" s="27" t="n"/>
      <c r="G34" s="4" t="n"/>
      <c r="H34" s="4" t="n"/>
      <c r="I34" s="28" t="n"/>
      <c r="J34" s="27" t="n"/>
      <c r="K34">
        <f>IF($A34="","",IF($H34="Disputed","⚠ disputed item",IF(AND($H34="Verified, Unpaid",IF(ISNUMBER($E34),$E34,0)&gt;IF(ISNUMBER($I34),$I34,0)),"⚠ unpaid verified balance","")))</f>
        <v/>
      </c>
    </row>
    <row r="35">
      <c r="A35" s="4" t="n"/>
      <c r="B35" s="4" t="n"/>
      <c r="C35" s="4" t="n"/>
      <c r="D35" s="28" t="n"/>
      <c r="E35" s="28" t="n"/>
      <c r="F35" s="27" t="n"/>
      <c r="G35" s="4" t="n"/>
      <c r="H35" s="4" t="n"/>
      <c r="I35" s="28" t="n"/>
      <c r="J35" s="27" t="n"/>
      <c r="K35">
        <f>IF($A35="","",IF($H35="Disputed","⚠ disputed item",IF(AND($H35="Verified, Unpaid",IF(ISNUMBER($E35),$E35,0)&gt;IF(ISNUMBER($I35),$I35,0)),"⚠ unpaid verified balance","")))</f>
        <v/>
      </c>
    </row>
    <row r="36">
      <c r="A36" s="4" t="n"/>
      <c r="B36" s="4" t="n"/>
      <c r="C36" s="4" t="n"/>
      <c r="D36" s="28" t="n"/>
      <c r="E36" s="28" t="n"/>
      <c r="F36" s="27" t="n"/>
      <c r="G36" s="4" t="n"/>
      <c r="H36" s="4" t="n"/>
      <c r="I36" s="28" t="n"/>
      <c r="J36" s="27" t="n"/>
      <c r="K36">
        <f>IF($A36="","",IF($H36="Disputed","⚠ disputed item",IF(AND($H36="Verified, Unpaid",IF(ISNUMBER($E36),$E36,0)&gt;IF(ISNUMBER($I36),$I36,0)),"⚠ unpaid verified balance","")))</f>
        <v/>
      </c>
    </row>
    <row r="37">
      <c r="A37" s="4" t="n"/>
      <c r="B37" s="4" t="n"/>
      <c r="C37" s="4" t="n"/>
      <c r="D37" s="28" t="n"/>
      <c r="E37" s="28" t="n"/>
      <c r="F37" s="27" t="n"/>
      <c r="G37" s="4" t="n"/>
      <c r="H37" s="4" t="n"/>
      <c r="I37" s="28" t="n"/>
      <c r="J37" s="27" t="n"/>
      <c r="K37">
        <f>IF($A37="","",IF($H37="Disputed","⚠ disputed item",IF(AND($H37="Verified, Unpaid",IF(ISNUMBER($E37),$E37,0)&gt;IF(ISNUMBER($I37),$I37,0)),"⚠ unpaid verified balance","")))</f>
        <v/>
      </c>
    </row>
    <row r="38">
      <c r="A38" s="4" t="n"/>
      <c r="B38" s="4" t="n"/>
      <c r="C38" s="4" t="n"/>
      <c r="D38" s="28" t="n"/>
      <c r="E38" s="28" t="n"/>
      <c r="F38" s="27" t="n"/>
      <c r="G38" s="4" t="n"/>
      <c r="H38" s="4" t="n"/>
      <c r="I38" s="28" t="n"/>
      <c r="J38" s="27" t="n"/>
      <c r="K38">
        <f>IF($A38="","",IF($H38="Disputed","⚠ disputed item",IF(AND($H38="Verified, Unpaid",IF(ISNUMBER($E38),$E38,0)&gt;IF(ISNUMBER($I38),$I38,0)),"⚠ unpaid verified balance","")))</f>
        <v/>
      </c>
    </row>
    <row r="39">
      <c r="A39" s="4" t="n"/>
      <c r="B39" s="4" t="n"/>
      <c r="C39" s="4" t="n"/>
      <c r="D39" s="28" t="n"/>
      <c r="E39" s="28" t="n"/>
      <c r="F39" s="27" t="n"/>
      <c r="G39" s="4" t="n"/>
      <c r="H39" s="4" t="n"/>
      <c r="I39" s="28" t="n"/>
      <c r="J39" s="27" t="n"/>
      <c r="K39">
        <f>IF($A39="","",IF($H39="Disputed","⚠ disputed item",IF(AND($H39="Verified, Unpaid",IF(ISNUMBER($E39),$E39,0)&gt;IF(ISNUMBER($I39),$I39,0)),"⚠ unpaid verified balance","")))</f>
        <v/>
      </c>
    </row>
    <row r="40">
      <c r="A40" s="4" t="n"/>
      <c r="B40" s="4" t="n"/>
      <c r="C40" s="4" t="n"/>
      <c r="D40" s="28" t="n"/>
      <c r="E40" s="28" t="n"/>
      <c r="F40" s="27" t="n"/>
      <c r="G40" s="4" t="n"/>
      <c r="H40" s="4" t="n"/>
      <c r="I40" s="28" t="n"/>
      <c r="J40" s="27" t="n"/>
      <c r="K40">
        <f>IF($A40="","",IF($H40="Disputed","⚠ disputed item",IF(AND($H40="Verified, Unpaid",IF(ISNUMBER($E40),$E40,0)&gt;IF(ISNUMBER($I40),$I40,0)),"⚠ unpaid verified balance","")))</f>
        <v/>
      </c>
    </row>
    <row r="41">
      <c r="A41" s="4" t="n"/>
      <c r="B41" s="4" t="n"/>
      <c r="C41" s="4" t="n"/>
      <c r="D41" s="28" t="n"/>
      <c r="E41" s="28" t="n"/>
      <c r="F41" s="27" t="n"/>
      <c r="G41" s="4" t="n"/>
      <c r="H41" s="4" t="n"/>
      <c r="I41" s="28" t="n"/>
      <c r="J41" s="27" t="n"/>
      <c r="K41">
        <f>IF($A41="","",IF($H41="Disputed","⚠ disputed item",IF(AND($H41="Verified, Unpaid",IF(ISNUMBER($E41),$E41,0)&gt;IF(ISNUMBER($I41),$I41,0)),"⚠ unpaid verified balance","")))</f>
        <v/>
      </c>
    </row>
    <row r="42">
      <c r="A42" s="4" t="n"/>
      <c r="B42" s="4" t="n"/>
      <c r="C42" s="4" t="n"/>
      <c r="D42" s="28" t="n"/>
      <c r="E42" s="28" t="n"/>
      <c r="F42" s="27" t="n"/>
      <c r="G42" s="4" t="n"/>
      <c r="H42" s="4" t="n"/>
      <c r="I42" s="28" t="n"/>
      <c r="J42" s="27" t="n"/>
      <c r="K42">
        <f>IF($A42="","",IF($H42="Disputed","⚠ disputed item",IF(AND($H42="Verified, Unpaid",IF(ISNUMBER($E42),$E42,0)&gt;IF(ISNUMBER($I42),$I42,0)),"⚠ unpaid verified balance","")))</f>
        <v/>
      </c>
    </row>
    <row r="43">
      <c r="A43" s="4" t="n"/>
      <c r="B43" s="4" t="n"/>
      <c r="C43" s="4" t="n"/>
      <c r="D43" s="28" t="n"/>
      <c r="E43" s="28" t="n"/>
      <c r="F43" s="27" t="n"/>
      <c r="G43" s="4" t="n"/>
      <c r="H43" s="4" t="n"/>
      <c r="I43" s="28" t="n"/>
      <c r="J43" s="27" t="n"/>
      <c r="K43">
        <f>IF($A43="","",IF($H43="Disputed","⚠ disputed item",IF(AND($H43="Verified, Unpaid",IF(ISNUMBER($E43),$E43,0)&gt;IF(ISNUMBER($I43),$I43,0)),"⚠ unpaid verified balance","")))</f>
        <v/>
      </c>
    </row>
    <row r="44">
      <c r="A44" s="4" t="n"/>
      <c r="B44" s="4" t="n"/>
      <c r="C44" s="4" t="n"/>
      <c r="D44" s="28" t="n"/>
      <c r="E44" s="28" t="n"/>
      <c r="F44" s="27" t="n"/>
      <c r="G44" s="4" t="n"/>
      <c r="H44" s="4" t="n"/>
      <c r="I44" s="28" t="n"/>
      <c r="J44" s="27" t="n"/>
      <c r="K44">
        <f>IF($A44="","",IF($H44="Disputed","⚠ disputed item",IF(AND($H44="Verified, Unpaid",IF(ISNUMBER($E44),$E44,0)&gt;IF(ISNUMBER($I44),$I44,0)),"⚠ unpaid verified balance","")))</f>
        <v/>
      </c>
    </row>
    <row r="45">
      <c r="A45" s="4" t="n"/>
      <c r="B45" s="4" t="n"/>
      <c r="C45" s="4" t="n"/>
      <c r="D45" s="28" t="n"/>
      <c r="E45" s="28" t="n"/>
      <c r="F45" s="27" t="n"/>
      <c r="G45" s="4" t="n"/>
      <c r="H45" s="4" t="n"/>
      <c r="I45" s="28" t="n"/>
      <c r="J45" s="27" t="n"/>
      <c r="K45">
        <f>IF($A45="","",IF($H45="Disputed","⚠ disputed item",IF(AND($H45="Verified, Unpaid",IF(ISNUMBER($E45),$E45,0)&gt;IF(ISNUMBER($I45),$I45,0)),"⚠ unpaid verified balance","")))</f>
        <v/>
      </c>
    </row>
    <row r="46">
      <c r="A46" s="4" t="n"/>
      <c r="B46" s="4" t="n"/>
      <c r="C46" s="4" t="n"/>
      <c r="D46" s="28" t="n"/>
      <c r="E46" s="28" t="n"/>
      <c r="F46" s="27" t="n"/>
      <c r="G46" s="4" t="n"/>
      <c r="H46" s="4" t="n"/>
      <c r="I46" s="28" t="n"/>
      <c r="J46" s="27" t="n"/>
      <c r="K46">
        <f>IF($A46="","",IF($H46="Disputed","⚠ disputed item",IF(AND($H46="Verified, Unpaid",IF(ISNUMBER($E46),$E46,0)&gt;IF(ISNUMBER($I46),$I46,0)),"⚠ unpaid verified balance","")))</f>
        <v/>
      </c>
    </row>
    <row r="47">
      <c r="A47" s="4" t="n"/>
      <c r="B47" s="4" t="n"/>
      <c r="C47" s="4" t="n"/>
      <c r="D47" s="28" t="n"/>
      <c r="E47" s="28" t="n"/>
      <c r="F47" s="27" t="n"/>
      <c r="G47" s="4" t="n"/>
      <c r="H47" s="4" t="n"/>
      <c r="I47" s="28" t="n"/>
      <c r="J47" s="27" t="n"/>
      <c r="K47">
        <f>IF($A47="","",IF($H47="Disputed","⚠ disputed item",IF(AND($H47="Verified, Unpaid",IF(ISNUMBER($E47),$E47,0)&gt;IF(ISNUMBER($I47),$I47,0)),"⚠ unpaid verified balance","")))</f>
        <v/>
      </c>
    </row>
    <row r="48">
      <c r="A48" s="4" t="n"/>
      <c r="B48" s="4" t="n"/>
      <c r="C48" s="4" t="n"/>
      <c r="D48" s="28" t="n"/>
      <c r="E48" s="28" t="n"/>
      <c r="F48" s="27" t="n"/>
      <c r="G48" s="4" t="n"/>
      <c r="H48" s="4" t="n"/>
      <c r="I48" s="28" t="n"/>
      <c r="J48" s="27" t="n"/>
      <c r="K48">
        <f>IF($A48="","",IF($H48="Disputed","⚠ disputed item",IF(AND($H48="Verified, Unpaid",IF(ISNUMBER($E48),$E48,0)&gt;IF(ISNUMBER($I48),$I48,0)),"⚠ unpaid verified balance","")))</f>
        <v/>
      </c>
    </row>
    <row r="49">
      <c r="A49" s="4" t="n"/>
      <c r="B49" s="4" t="n"/>
      <c r="C49" s="4" t="n"/>
      <c r="D49" s="28" t="n"/>
      <c r="E49" s="28" t="n"/>
      <c r="F49" s="27" t="n"/>
      <c r="G49" s="4" t="n"/>
      <c r="H49" s="4" t="n"/>
      <c r="I49" s="28" t="n"/>
      <c r="J49" s="27" t="n"/>
      <c r="K49">
        <f>IF($A49="","",IF($H49="Disputed","⚠ disputed item",IF(AND($H49="Verified, Unpaid",IF(ISNUMBER($E49),$E49,0)&gt;IF(ISNUMBER($I49),$I49,0)),"⚠ unpaid verified balance","")))</f>
        <v/>
      </c>
    </row>
    <row r="50">
      <c r="A50" s="4" t="n"/>
      <c r="B50" s="4" t="n"/>
      <c r="C50" s="4" t="n"/>
      <c r="D50" s="28" t="n"/>
      <c r="E50" s="28" t="n"/>
      <c r="F50" s="27" t="n"/>
      <c r="G50" s="4" t="n"/>
      <c r="H50" s="4" t="n"/>
      <c r="I50" s="28" t="n"/>
      <c r="J50" s="27" t="n"/>
      <c r="K50">
        <f>IF($A50="","",IF($H50="Disputed","⚠ disputed item",IF(AND($H50="Verified, Unpaid",IF(ISNUMBER($E50),$E50,0)&gt;IF(ISNUMBER($I50),$I50,0)),"⚠ unpaid verified balance","")))</f>
        <v/>
      </c>
    </row>
    <row r="51">
      <c r="A51" s="4" t="n"/>
      <c r="B51" s="4" t="n"/>
      <c r="C51" s="4" t="n"/>
      <c r="D51" s="28" t="n"/>
      <c r="E51" s="28" t="n"/>
      <c r="F51" s="27" t="n"/>
      <c r="G51" s="4" t="n"/>
      <c r="H51" s="4" t="n"/>
      <c r="I51" s="28" t="n"/>
      <c r="J51" s="27" t="n"/>
      <c r="K51">
        <f>IF($A51="","",IF($H51="Disputed","⚠ disputed item",IF(AND($H51="Verified, Unpaid",IF(ISNUMBER($E51),$E51,0)&gt;IF(ISNUMBER($I51),$I51,0)),"⚠ unpaid verified balance","")))</f>
        <v/>
      </c>
    </row>
    <row r="52">
      <c r="A52" s="4" t="n"/>
      <c r="B52" s="4" t="n"/>
      <c r="C52" s="4" t="n"/>
      <c r="D52" s="28" t="n"/>
      <c r="E52" s="28" t="n"/>
      <c r="F52" s="27" t="n"/>
      <c r="G52" s="4" t="n"/>
      <c r="H52" s="4" t="n"/>
      <c r="I52" s="28" t="n"/>
      <c r="J52" s="27" t="n"/>
      <c r="K52">
        <f>IF($A52="","",IF($H52="Disputed","⚠ disputed item",IF(AND($H52="Verified, Unpaid",IF(ISNUMBER($E52),$E52,0)&gt;IF(ISNUMBER($I52),$I52,0)),"⚠ unpaid verified balance","")))</f>
        <v/>
      </c>
    </row>
    <row r="53">
      <c r="A53" s="4" t="n"/>
      <c r="B53" s="4" t="n"/>
      <c r="C53" s="4" t="n"/>
      <c r="D53" s="28" t="n"/>
      <c r="E53" s="28" t="n"/>
      <c r="F53" s="27" t="n"/>
      <c r="G53" s="4" t="n"/>
      <c r="H53" s="4" t="n"/>
      <c r="I53" s="28" t="n"/>
      <c r="J53" s="27" t="n"/>
      <c r="K53">
        <f>IF($A53="","",IF($H53="Disputed","⚠ disputed item",IF(AND($H53="Verified, Unpaid",IF(ISNUMBER($E53),$E53,0)&gt;IF(ISNUMBER($I53),$I53,0)),"⚠ unpaid verified balance","")))</f>
        <v/>
      </c>
    </row>
    <row r="54">
      <c r="A54" s="4" t="n"/>
      <c r="B54" s="4" t="n"/>
      <c r="C54" s="4" t="n"/>
      <c r="D54" s="28" t="n"/>
      <c r="E54" s="28" t="n"/>
      <c r="F54" s="27" t="n"/>
      <c r="G54" s="4" t="n"/>
      <c r="H54" s="4" t="n"/>
      <c r="I54" s="28" t="n"/>
      <c r="J54" s="27" t="n"/>
      <c r="K54">
        <f>IF($A54="","",IF($H54="Disputed","⚠ disputed item",IF(AND($H54="Verified, Unpaid",IF(ISNUMBER($E54),$E54,0)&gt;IF(ISNUMBER($I54),$I54,0)),"⚠ unpaid verified balance","")))</f>
        <v/>
      </c>
    </row>
    <row r="55">
      <c r="A55" s="4" t="n"/>
      <c r="B55" s="4" t="n"/>
      <c r="C55" s="4" t="n"/>
      <c r="D55" s="28" t="n"/>
      <c r="E55" s="28" t="n"/>
      <c r="F55" s="27" t="n"/>
      <c r="G55" s="4" t="n"/>
      <c r="H55" s="4" t="n"/>
      <c r="I55" s="28" t="n"/>
      <c r="J55" s="27" t="n"/>
      <c r="K55">
        <f>IF($A55="","",IF($H55="Disputed","⚠ disputed item",IF(AND($H55="Verified, Unpaid",IF(ISNUMBER($E55),$E55,0)&gt;IF(ISNUMBER($I55),$I55,0)),"⚠ unpaid verified balance","")))</f>
        <v/>
      </c>
    </row>
    <row r="56">
      <c r="A56" s="4" t="n"/>
      <c r="B56" s="4" t="n"/>
      <c r="C56" s="4" t="n"/>
      <c r="D56" s="28" t="n"/>
      <c r="E56" s="28" t="n"/>
      <c r="F56" s="27" t="n"/>
      <c r="G56" s="4" t="n"/>
      <c r="H56" s="4" t="n"/>
      <c r="I56" s="28" t="n"/>
      <c r="J56" s="27" t="n"/>
      <c r="K56">
        <f>IF($A56="","",IF($H56="Disputed","⚠ disputed item",IF(AND($H56="Verified, Unpaid",IF(ISNUMBER($E56),$E56,0)&gt;IF(ISNUMBER($I56),$I56,0)),"⚠ unpaid verified balance","")))</f>
        <v/>
      </c>
    </row>
    <row r="57">
      <c r="A57" s="4" t="n"/>
      <c r="B57" s="4" t="n"/>
      <c r="C57" s="4" t="n"/>
      <c r="D57" s="28" t="n"/>
      <c r="E57" s="28" t="n"/>
      <c r="F57" s="27" t="n"/>
      <c r="G57" s="4" t="n"/>
      <c r="H57" s="4" t="n"/>
      <c r="I57" s="28" t="n"/>
      <c r="J57" s="27" t="n"/>
      <c r="K57">
        <f>IF($A57="","",IF($H57="Disputed","⚠ disputed item",IF(AND($H57="Verified, Unpaid",IF(ISNUMBER($E57),$E57,0)&gt;IF(ISNUMBER($I57),$I57,0)),"⚠ unpaid verified balance","")))</f>
        <v/>
      </c>
    </row>
    <row r="58">
      <c r="A58" s="4" t="n"/>
      <c r="B58" s="4" t="n"/>
      <c r="C58" s="4" t="n"/>
      <c r="D58" s="28" t="n"/>
      <c r="E58" s="28" t="n"/>
      <c r="F58" s="27" t="n"/>
      <c r="G58" s="4" t="n"/>
      <c r="H58" s="4" t="n"/>
      <c r="I58" s="28" t="n"/>
      <c r="J58" s="27" t="n"/>
      <c r="K58">
        <f>IF($A58="","",IF($H58="Disputed","⚠ disputed item",IF(AND($H58="Verified, Unpaid",IF(ISNUMBER($E58),$E58,0)&gt;IF(ISNUMBER($I58),$I58,0)),"⚠ unpaid verified balance","")))</f>
        <v/>
      </c>
    </row>
    <row r="59">
      <c r="A59" s="4" t="n"/>
      <c r="B59" s="4" t="n"/>
      <c r="C59" s="4" t="n"/>
      <c r="D59" s="28" t="n"/>
      <c r="E59" s="28" t="n"/>
      <c r="F59" s="27" t="n"/>
      <c r="G59" s="4" t="n"/>
      <c r="H59" s="4" t="n"/>
      <c r="I59" s="28" t="n"/>
      <c r="J59" s="27" t="n"/>
      <c r="K59">
        <f>IF($A59="","",IF($H59="Disputed","⚠ disputed item",IF(AND($H59="Verified, Unpaid",IF(ISNUMBER($E59),$E59,0)&gt;IF(ISNUMBER($I59),$I59,0)),"⚠ unpaid verified balance","")))</f>
        <v/>
      </c>
    </row>
    <row r="60">
      <c r="A60" s="4" t="n"/>
      <c r="B60" s="4" t="n"/>
      <c r="C60" s="4" t="n"/>
      <c r="D60" s="28" t="n"/>
      <c r="E60" s="28" t="n"/>
      <c r="F60" s="27" t="n"/>
      <c r="G60" s="4" t="n"/>
      <c r="H60" s="4" t="n"/>
      <c r="I60" s="28" t="n"/>
      <c r="J60" s="27" t="n"/>
      <c r="K60">
        <f>IF($A60="","",IF($H60="Disputed","⚠ disputed item",IF(AND($H60="Verified, Unpaid",IF(ISNUMBER($E60),$E60,0)&gt;IF(ISNUMBER($I60),$I60,0)),"⚠ unpaid verified balance","")))</f>
        <v/>
      </c>
    </row>
    <row r="61">
      <c r="A61" s="4" t="n"/>
      <c r="B61" s="4" t="n"/>
      <c r="C61" s="4" t="n"/>
      <c r="D61" s="28" t="n"/>
      <c r="E61" s="28" t="n"/>
      <c r="F61" s="27" t="n"/>
      <c r="G61" s="4" t="n"/>
      <c r="H61" s="4" t="n"/>
      <c r="I61" s="28" t="n"/>
      <c r="J61" s="27" t="n"/>
      <c r="K61">
        <f>IF($A61="","",IF($H61="Disputed","⚠ disputed item",IF(AND($H61="Verified, Unpaid",IF(ISNUMBER($E61),$E61,0)&gt;IF(ISNUMBER($I61),$I61,0)),"⚠ unpaid verified balance","")))</f>
        <v/>
      </c>
    </row>
    <row r="62">
      <c r="A62" s="4" t="n"/>
      <c r="B62" s="4" t="n"/>
      <c r="C62" s="4" t="n"/>
      <c r="D62" s="28" t="n"/>
      <c r="E62" s="28" t="n"/>
      <c r="F62" s="27" t="n"/>
      <c r="G62" s="4" t="n"/>
      <c r="H62" s="4" t="n"/>
      <c r="I62" s="28" t="n"/>
      <c r="J62" s="27" t="n"/>
      <c r="K62">
        <f>IF($A62="","",IF($H62="Disputed","⚠ disputed item",IF(AND($H62="Verified, Unpaid",IF(ISNUMBER($E62),$E62,0)&gt;IF(ISNUMBER($I62),$I62,0)),"⚠ unpaid verified balance","")))</f>
        <v/>
      </c>
    </row>
    <row r="63">
      <c r="A63" s="4" t="n"/>
      <c r="B63" s="4" t="n"/>
      <c r="C63" s="4" t="n"/>
      <c r="D63" s="28" t="n"/>
      <c r="E63" s="28" t="n"/>
      <c r="F63" s="27" t="n"/>
      <c r="G63" s="4" t="n"/>
      <c r="H63" s="4" t="n"/>
      <c r="I63" s="28" t="n"/>
      <c r="J63" s="27" t="n"/>
      <c r="K63">
        <f>IF($A63="","",IF($H63="Disputed","⚠ disputed item",IF(AND($H63="Verified, Unpaid",IF(ISNUMBER($E63),$E63,0)&gt;IF(ISNUMBER($I63),$I63,0)),"⚠ unpaid verified balance","")))</f>
        <v/>
      </c>
    </row>
    <row r="64">
      <c r="A64" s="4" t="n"/>
      <c r="B64" s="4" t="n"/>
      <c r="C64" s="4" t="n"/>
      <c r="D64" s="28" t="n"/>
      <c r="E64" s="28" t="n"/>
      <c r="F64" s="27" t="n"/>
      <c r="G64" s="4" t="n"/>
      <c r="H64" s="4" t="n"/>
      <c r="I64" s="28" t="n"/>
      <c r="J64" s="27" t="n"/>
      <c r="K64">
        <f>IF($A64="","",IF($H64="Disputed","⚠ disputed item",IF(AND($H64="Verified, Unpaid",IF(ISNUMBER($E64),$E64,0)&gt;IF(ISNUMBER($I64),$I64,0)),"⚠ unpaid verified balance","")))</f>
        <v/>
      </c>
    </row>
    <row r="65">
      <c r="A65" s="4" t="n"/>
      <c r="B65" s="4" t="n"/>
      <c r="C65" s="4" t="n"/>
      <c r="D65" s="28" t="n"/>
      <c r="E65" s="28" t="n"/>
      <c r="F65" s="27" t="n"/>
      <c r="G65" s="4" t="n"/>
      <c r="H65" s="4" t="n"/>
      <c r="I65" s="28" t="n"/>
      <c r="J65" s="27" t="n"/>
      <c r="K65">
        <f>IF($A65="","",IF($H65="Disputed","⚠ disputed item",IF(AND($H65="Verified, Unpaid",IF(ISNUMBER($E65),$E65,0)&gt;IF(ISNUMBER($I65),$I65,0)),"⚠ unpaid verified balance","")))</f>
        <v/>
      </c>
    </row>
    <row r="66">
      <c r="A66" s="4" t="n"/>
      <c r="B66" s="4" t="n"/>
      <c r="C66" s="4" t="n"/>
      <c r="D66" s="28" t="n"/>
      <c r="E66" s="28" t="n"/>
      <c r="F66" s="27" t="n"/>
      <c r="G66" s="4" t="n"/>
      <c r="H66" s="4" t="n"/>
      <c r="I66" s="28" t="n"/>
      <c r="J66" s="27" t="n"/>
      <c r="K66">
        <f>IF($A66="","",IF($H66="Disputed","⚠ disputed item",IF(AND($H66="Verified, Unpaid",IF(ISNUMBER($E66),$E66,0)&gt;IF(ISNUMBER($I66),$I66,0)),"⚠ unpaid verified balance","")))</f>
        <v/>
      </c>
    </row>
    <row r="67">
      <c r="A67" s="4" t="n"/>
      <c r="B67" s="4" t="n"/>
      <c r="C67" s="4" t="n"/>
      <c r="D67" s="28" t="n"/>
      <c r="E67" s="28" t="n"/>
      <c r="F67" s="27" t="n"/>
      <c r="G67" s="4" t="n"/>
      <c r="H67" s="4" t="n"/>
      <c r="I67" s="28" t="n"/>
      <c r="J67" s="27" t="n"/>
      <c r="K67">
        <f>IF($A67="","",IF($H67="Disputed","⚠ disputed item",IF(AND($H67="Verified, Unpaid",IF(ISNUMBER($E67),$E67,0)&gt;IF(ISNUMBER($I67),$I67,0)),"⚠ unpaid verified balance","")))</f>
        <v/>
      </c>
    </row>
    <row r="68">
      <c r="A68" s="4" t="n"/>
      <c r="B68" s="4" t="n"/>
      <c r="C68" s="4" t="n"/>
      <c r="D68" s="28" t="n"/>
      <c r="E68" s="28" t="n"/>
      <c r="F68" s="27" t="n"/>
      <c r="G68" s="4" t="n"/>
      <c r="H68" s="4" t="n"/>
      <c r="I68" s="28" t="n"/>
      <c r="J68" s="27" t="n"/>
      <c r="K68">
        <f>IF($A68="","",IF($H68="Disputed","⚠ disputed item",IF(AND($H68="Verified, Unpaid",IF(ISNUMBER($E68),$E68,0)&gt;IF(ISNUMBER($I68),$I68,0)),"⚠ unpaid verified balance","")))</f>
        <v/>
      </c>
    </row>
    <row r="69">
      <c r="A69" s="4" t="n"/>
      <c r="B69" s="4" t="n"/>
      <c r="C69" s="4" t="n"/>
      <c r="D69" s="28" t="n"/>
      <c r="E69" s="28" t="n"/>
      <c r="F69" s="27" t="n"/>
      <c r="G69" s="4" t="n"/>
      <c r="H69" s="4" t="n"/>
      <c r="I69" s="28" t="n"/>
      <c r="J69" s="27" t="n"/>
      <c r="K69">
        <f>IF($A69="","",IF($H69="Disputed","⚠ disputed item",IF(AND($H69="Verified, Unpaid",IF(ISNUMBER($E69),$E69,0)&gt;IF(ISNUMBER($I69),$I69,0)),"⚠ unpaid verified balance","")))</f>
        <v/>
      </c>
    </row>
    <row r="70">
      <c r="A70" s="4" t="n"/>
      <c r="B70" s="4" t="n"/>
      <c r="C70" s="4" t="n"/>
      <c r="D70" s="28" t="n"/>
      <c r="E70" s="28" t="n"/>
      <c r="F70" s="27" t="n"/>
      <c r="G70" s="4" t="n"/>
      <c r="H70" s="4" t="n"/>
      <c r="I70" s="28" t="n"/>
      <c r="J70" s="27" t="n"/>
      <c r="K70">
        <f>IF($A70="","",IF($H70="Disputed","⚠ disputed item",IF(AND($H70="Verified, Unpaid",IF(ISNUMBER($E70),$E70,0)&gt;IF(ISNUMBER($I70),$I70,0)),"⚠ unpaid verified balance","")))</f>
        <v/>
      </c>
    </row>
    <row r="71">
      <c r="A71" s="4" t="n"/>
      <c r="B71" s="4" t="n"/>
      <c r="C71" s="4" t="n"/>
      <c r="D71" s="28" t="n"/>
      <c r="E71" s="28" t="n"/>
      <c r="F71" s="27" t="n"/>
      <c r="G71" s="4" t="n"/>
      <c r="H71" s="4" t="n"/>
      <c r="I71" s="28" t="n"/>
      <c r="J71" s="27" t="n"/>
      <c r="K71">
        <f>IF($A71="","",IF($H71="Disputed","⚠ disputed item",IF(AND($H71="Verified, Unpaid",IF(ISNUMBER($E71),$E71,0)&gt;IF(ISNUMBER($I71),$I71,0)),"⚠ unpaid verified balance","")))</f>
        <v/>
      </c>
    </row>
    <row r="72">
      <c r="A72" s="4" t="n"/>
      <c r="B72" s="4" t="n"/>
      <c r="C72" s="4" t="n"/>
      <c r="D72" s="28" t="n"/>
      <c r="E72" s="28" t="n"/>
      <c r="F72" s="27" t="n"/>
      <c r="G72" s="4" t="n"/>
      <c r="H72" s="4" t="n"/>
      <c r="I72" s="28" t="n"/>
      <c r="J72" s="27" t="n"/>
      <c r="K72">
        <f>IF($A72="","",IF($H72="Disputed","⚠ disputed item",IF(AND($H72="Verified, Unpaid",IF(ISNUMBER($E72),$E72,0)&gt;IF(ISNUMBER($I72),$I72,0)),"⚠ unpaid verified balance","")))</f>
        <v/>
      </c>
    </row>
    <row r="73">
      <c r="A73" s="4" t="n"/>
      <c r="B73" s="4" t="n"/>
      <c r="C73" s="4" t="n"/>
      <c r="D73" s="28" t="n"/>
      <c r="E73" s="28" t="n"/>
      <c r="F73" s="27" t="n"/>
      <c r="G73" s="4" t="n"/>
      <c r="H73" s="4" t="n"/>
      <c r="I73" s="28" t="n"/>
      <c r="J73" s="27" t="n"/>
      <c r="K73">
        <f>IF($A73="","",IF($H73="Disputed","⚠ disputed item",IF(AND($H73="Verified, Unpaid",IF(ISNUMBER($E73),$E73,0)&gt;IF(ISNUMBER($I73),$I73,0)),"⚠ unpaid verified balance","")))</f>
        <v/>
      </c>
    </row>
    <row r="74">
      <c r="A74" s="4" t="n"/>
      <c r="B74" s="4" t="n"/>
      <c r="C74" s="4" t="n"/>
      <c r="D74" s="28" t="n"/>
      <c r="E74" s="28" t="n"/>
      <c r="F74" s="27" t="n"/>
      <c r="G74" s="4" t="n"/>
      <c r="H74" s="4" t="n"/>
      <c r="I74" s="28" t="n"/>
      <c r="J74" s="27" t="n"/>
      <c r="K74">
        <f>IF($A74="","",IF($H74="Disputed","⚠ disputed item",IF(AND($H74="Verified, Unpaid",IF(ISNUMBER($E74),$E74,0)&gt;IF(ISNUMBER($I74),$I74,0)),"⚠ unpaid verified balance","")))</f>
        <v/>
      </c>
    </row>
    <row r="75">
      <c r="A75" s="4" t="n"/>
      <c r="B75" s="4" t="n"/>
      <c r="C75" s="4" t="n"/>
      <c r="D75" s="28" t="n"/>
      <c r="E75" s="28" t="n"/>
      <c r="F75" s="27" t="n"/>
      <c r="G75" s="4" t="n"/>
      <c r="H75" s="4" t="n"/>
      <c r="I75" s="28" t="n"/>
      <c r="J75" s="27" t="n"/>
      <c r="K75">
        <f>IF($A75="","",IF($H75="Disputed","⚠ disputed item",IF(AND($H75="Verified, Unpaid",IF(ISNUMBER($E75),$E75,0)&gt;IF(ISNUMBER($I75),$I75,0)),"⚠ unpaid verified balance","")))</f>
        <v/>
      </c>
    </row>
    <row r="76">
      <c r="A76" s="4" t="n"/>
      <c r="B76" s="4" t="n"/>
      <c r="C76" s="4" t="n"/>
      <c r="D76" s="28" t="n"/>
      <c r="E76" s="28" t="n"/>
      <c r="F76" s="27" t="n"/>
      <c r="G76" s="4" t="n"/>
      <c r="H76" s="4" t="n"/>
      <c r="I76" s="28" t="n"/>
      <c r="J76" s="27" t="n"/>
      <c r="K76">
        <f>IF($A76="","",IF($H76="Disputed","⚠ disputed item",IF(AND($H76="Verified, Unpaid",IF(ISNUMBER($E76),$E76,0)&gt;IF(ISNUMBER($I76),$I76,0)),"⚠ unpaid verified balance","")))</f>
        <v/>
      </c>
    </row>
    <row r="77">
      <c r="A77" s="4" t="n"/>
      <c r="B77" s="4" t="n"/>
      <c r="C77" s="4" t="n"/>
      <c r="D77" s="28" t="n"/>
      <c r="E77" s="28" t="n"/>
      <c r="F77" s="27" t="n"/>
      <c r="G77" s="4" t="n"/>
      <c r="H77" s="4" t="n"/>
      <c r="I77" s="28" t="n"/>
      <c r="J77" s="27" t="n"/>
      <c r="K77">
        <f>IF($A77="","",IF($H77="Disputed","⚠ disputed item",IF(AND($H77="Verified, Unpaid",IF(ISNUMBER($E77),$E77,0)&gt;IF(ISNUMBER($I77),$I77,0)),"⚠ unpaid verified balance","")))</f>
        <v/>
      </c>
    </row>
    <row r="78">
      <c r="A78" s="4" t="n"/>
      <c r="B78" s="4" t="n"/>
      <c r="C78" s="4" t="n"/>
      <c r="D78" s="28" t="n"/>
      <c r="E78" s="28" t="n"/>
      <c r="F78" s="27" t="n"/>
      <c r="G78" s="4" t="n"/>
      <c r="H78" s="4" t="n"/>
      <c r="I78" s="28" t="n"/>
      <c r="J78" s="27" t="n"/>
      <c r="K78">
        <f>IF($A78="","",IF($H78="Disputed","⚠ disputed item",IF(AND($H78="Verified, Unpaid",IF(ISNUMBER($E78),$E78,0)&gt;IF(ISNUMBER($I78),$I78,0)),"⚠ unpaid verified balance","")))</f>
        <v/>
      </c>
    </row>
    <row r="79">
      <c r="A79" s="4" t="n"/>
      <c r="B79" s="4" t="n"/>
      <c r="C79" s="4" t="n"/>
      <c r="D79" s="28" t="n"/>
      <c r="E79" s="28" t="n"/>
      <c r="F79" s="27" t="n"/>
      <c r="G79" s="4" t="n"/>
      <c r="H79" s="4" t="n"/>
      <c r="I79" s="28" t="n"/>
      <c r="J79" s="27" t="n"/>
      <c r="K79">
        <f>IF($A79="","",IF($H79="Disputed","⚠ disputed item",IF(AND($H79="Verified, Unpaid",IF(ISNUMBER($E79),$E79,0)&gt;IF(ISNUMBER($I79),$I79,0)),"⚠ unpaid verified balance","")))</f>
        <v/>
      </c>
    </row>
    <row r="80">
      <c r="A80" s="4" t="n"/>
      <c r="B80" s="4" t="n"/>
      <c r="C80" s="4" t="n"/>
      <c r="D80" s="28" t="n"/>
      <c r="E80" s="28" t="n"/>
      <c r="F80" s="27" t="n"/>
      <c r="G80" s="4" t="n"/>
      <c r="H80" s="4" t="n"/>
      <c r="I80" s="28" t="n"/>
      <c r="J80" s="27" t="n"/>
      <c r="K80">
        <f>IF($A80="","",IF($H80="Disputed","⚠ disputed item",IF(AND($H80="Verified, Unpaid",IF(ISNUMBER($E80),$E80,0)&gt;IF(ISNUMBER($I80),$I80,0)),"⚠ unpaid verified balance","")))</f>
        <v/>
      </c>
    </row>
    <row r="81">
      <c r="A81" s="4" t="n"/>
      <c r="B81" s="4" t="n"/>
      <c r="C81" s="4" t="n"/>
      <c r="D81" s="28" t="n"/>
      <c r="E81" s="28" t="n"/>
      <c r="F81" s="27" t="n"/>
      <c r="G81" s="4" t="n"/>
      <c r="H81" s="4" t="n"/>
      <c r="I81" s="28" t="n"/>
      <c r="J81" s="27" t="n"/>
      <c r="K81">
        <f>IF($A81="","",IF($H81="Disputed","⚠ disputed item",IF(AND($H81="Verified, Unpaid",IF(ISNUMBER($E81),$E81,0)&gt;IF(ISNUMBER($I81),$I81,0)),"⚠ unpaid verified balance","")))</f>
        <v/>
      </c>
    </row>
    <row r="82">
      <c r="A82" s="4" t="n"/>
      <c r="B82" s="4" t="n"/>
      <c r="C82" s="4" t="n"/>
      <c r="D82" s="28" t="n"/>
      <c r="E82" s="28" t="n"/>
      <c r="F82" s="27" t="n"/>
      <c r="G82" s="4" t="n"/>
      <c r="H82" s="4" t="n"/>
      <c r="I82" s="28" t="n"/>
      <c r="J82" s="27" t="n"/>
      <c r="K82">
        <f>IF($A82="","",IF($H82="Disputed","⚠ disputed item",IF(AND($H82="Verified, Unpaid",IF(ISNUMBER($E82),$E82,0)&gt;IF(ISNUMBER($I82),$I82,0)),"⚠ unpaid verified balance","")))</f>
        <v/>
      </c>
    </row>
    <row r="83">
      <c r="A83" s="4" t="n"/>
      <c r="B83" s="4" t="n"/>
      <c r="C83" s="4" t="n"/>
      <c r="D83" s="28" t="n"/>
      <c r="E83" s="28" t="n"/>
      <c r="F83" s="27" t="n"/>
      <c r="G83" s="4" t="n"/>
      <c r="H83" s="4" t="n"/>
      <c r="I83" s="28" t="n"/>
      <c r="J83" s="27" t="n"/>
      <c r="K83">
        <f>IF($A83="","",IF($H83="Disputed","⚠ disputed item",IF(AND($H83="Verified, Unpaid",IF(ISNUMBER($E83),$E83,0)&gt;IF(ISNUMBER($I83),$I83,0)),"⚠ unpaid verified balance","")))</f>
        <v/>
      </c>
    </row>
    <row r="84">
      <c r="A84" s="4" t="n"/>
      <c r="B84" s="4" t="n"/>
      <c r="C84" s="4" t="n"/>
      <c r="D84" s="28" t="n"/>
      <c r="E84" s="28" t="n"/>
      <c r="F84" s="27" t="n"/>
      <c r="G84" s="4" t="n"/>
      <c r="H84" s="4" t="n"/>
      <c r="I84" s="28" t="n"/>
      <c r="J84" s="27" t="n"/>
      <c r="K84">
        <f>IF($A84="","",IF($H84="Disputed","⚠ disputed item",IF(AND($H84="Verified, Unpaid",IF(ISNUMBER($E84),$E84,0)&gt;IF(ISNUMBER($I84),$I84,0)),"⚠ unpaid verified balance","")))</f>
        <v/>
      </c>
    </row>
    <row r="85">
      <c r="A85" s="4" t="n"/>
      <c r="B85" s="4" t="n"/>
      <c r="C85" s="4" t="n"/>
      <c r="D85" s="28" t="n"/>
      <c r="E85" s="28" t="n"/>
      <c r="F85" s="27" t="n"/>
      <c r="G85" s="4" t="n"/>
      <c r="H85" s="4" t="n"/>
      <c r="I85" s="28" t="n"/>
      <c r="J85" s="27" t="n"/>
      <c r="K85">
        <f>IF($A85="","",IF($H85="Disputed","⚠ disputed item",IF(AND($H85="Verified, Unpaid",IF(ISNUMBER($E85),$E85,0)&gt;IF(ISNUMBER($I85),$I85,0)),"⚠ unpaid verified balance","")))</f>
        <v/>
      </c>
    </row>
    <row r="86">
      <c r="A86" s="4" t="n"/>
      <c r="B86" s="4" t="n"/>
      <c r="C86" s="4" t="n"/>
      <c r="D86" s="28" t="n"/>
      <c r="E86" s="28" t="n"/>
      <c r="F86" s="27" t="n"/>
      <c r="G86" s="4" t="n"/>
      <c r="H86" s="4" t="n"/>
      <c r="I86" s="28" t="n"/>
      <c r="J86" s="27" t="n"/>
      <c r="K86">
        <f>IF($A86="","",IF($H86="Disputed","⚠ disputed item",IF(AND($H86="Verified, Unpaid",IF(ISNUMBER($E86),$E86,0)&gt;IF(ISNUMBER($I86),$I86,0)),"⚠ unpaid verified balance","")))</f>
        <v/>
      </c>
    </row>
    <row r="87">
      <c r="A87" s="4" t="n"/>
      <c r="B87" s="4" t="n"/>
      <c r="C87" s="4" t="n"/>
      <c r="D87" s="28" t="n"/>
      <c r="E87" s="28" t="n"/>
      <c r="F87" s="27" t="n"/>
      <c r="G87" s="4" t="n"/>
      <c r="H87" s="4" t="n"/>
      <c r="I87" s="28" t="n"/>
      <c r="J87" s="27" t="n"/>
      <c r="K87">
        <f>IF($A87="","",IF($H87="Disputed","⚠ disputed item",IF(AND($H87="Verified, Unpaid",IF(ISNUMBER($E87),$E87,0)&gt;IF(ISNUMBER($I87),$I87,0)),"⚠ unpaid verified balance","")))</f>
        <v/>
      </c>
    </row>
    <row r="88">
      <c r="A88" s="4" t="n"/>
      <c r="B88" s="4" t="n"/>
      <c r="C88" s="4" t="n"/>
      <c r="D88" s="28" t="n"/>
      <c r="E88" s="28" t="n"/>
      <c r="F88" s="27" t="n"/>
      <c r="G88" s="4" t="n"/>
      <c r="H88" s="4" t="n"/>
      <c r="I88" s="28" t="n"/>
      <c r="J88" s="27" t="n"/>
      <c r="K88">
        <f>IF($A88="","",IF($H88="Disputed","⚠ disputed item",IF(AND($H88="Verified, Unpaid",IF(ISNUMBER($E88),$E88,0)&gt;IF(ISNUMBER($I88),$I88,0)),"⚠ unpaid verified balance","")))</f>
        <v/>
      </c>
    </row>
    <row r="89">
      <c r="A89" s="4" t="n"/>
      <c r="B89" s="4" t="n"/>
      <c r="C89" s="4" t="n"/>
      <c r="D89" s="28" t="n"/>
      <c r="E89" s="28" t="n"/>
      <c r="F89" s="27" t="n"/>
      <c r="G89" s="4" t="n"/>
      <c r="H89" s="4" t="n"/>
      <c r="I89" s="28" t="n"/>
      <c r="J89" s="27" t="n"/>
      <c r="K89">
        <f>IF($A89="","",IF($H89="Disputed","⚠ disputed item",IF(AND($H89="Verified, Unpaid",IF(ISNUMBER($E89),$E89,0)&gt;IF(ISNUMBER($I89),$I89,0)),"⚠ unpaid verified balance","")))</f>
        <v/>
      </c>
    </row>
    <row r="90">
      <c r="A90" s="4" t="n"/>
      <c r="B90" s="4" t="n"/>
      <c r="C90" s="4" t="n"/>
      <c r="D90" s="28" t="n"/>
      <c r="E90" s="28" t="n"/>
      <c r="F90" s="27" t="n"/>
      <c r="G90" s="4" t="n"/>
      <c r="H90" s="4" t="n"/>
      <c r="I90" s="28" t="n"/>
      <c r="J90" s="27" t="n"/>
      <c r="K90">
        <f>IF($A90="","",IF($H90="Disputed","⚠ disputed item",IF(AND($H90="Verified, Unpaid",IF(ISNUMBER($E90),$E90,0)&gt;IF(ISNUMBER($I90),$I90,0)),"⚠ unpaid verified balance","")))</f>
        <v/>
      </c>
    </row>
    <row r="91">
      <c r="A91" s="4" t="n"/>
      <c r="B91" s="4" t="n"/>
      <c r="C91" s="4" t="n"/>
      <c r="D91" s="28" t="n"/>
      <c r="E91" s="28" t="n"/>
      <c r="F91" s="27" t="n"/>
      <c r="G91" s="4" t="n"/>
      <c r="H91" s="4" t="n"/>
      <c r="I91" s="28" t="n"/>
      <c r="J91" s="27" t="n"/>
      <c r="K91">
        <f>IF($A91="","",IF($H91="Disputed","⚠ disputed item",IF(AND($H91="Verified, Unpaid",IF(ISNUMBER($E91),$E91,0)&gt;IF(ISNUMBER($I91),$I91,0)),"⚠ unpaid verified balance","")))</f>
        <v/>
      </c>
    </row>
    <row r="92">
      <c r="A92" s="4" t="n"/>
      <c r="B92" s="4" t="n"/>
      <c r="C92" s="4" t="n"/>
      <c r="D92" s="28" t="n"/>
      <c r="E92" s="28" t="n"/>
      <c r="F92" s="27" t="n"/>
      <c r="G92" s="4" t="n"/>
      <c r="H92" s="4" t="n"/>
      <c r="I92" s="28" t="n"/>
      <c r="J92" s="27" t="n"/>
      <c r="K92">
        <f>IF($A92="","",IF($H92="Disputed","⚠ disputed item",IF(AND($H92="Verified, Unpaid",IF(ISNUMBER($E92),$E92,0)&gt;IF(ISNUMBER($I92),$I92,0)),"⚠ unpaid verified balance","")))</f>
        <v/>
      </c>
    </row>
    <row r="93">
      <c r="A93" s="4" t="n"/>
      <c r="B93" s="4" t="n"/>
      <c r="C93" s="4" t="n"/>
      <c r="D93" s="28" t="n"/>
      <c r="E93" s="28" t="n"/>
      <c r="F93" s="27" t="n"/>
      <c r="G93" s="4" t="n"/>
      <c r="H93" s="4" t="n"/>
      <c r="I93" s="28" t="n"/>
      <c r="J93" s="27" t="n"/>
      <c r="K93">
        <f>IF($A93="","",IF($H93="Disputed","⚠ disputed item",IF(AND($H93="Verified, Unpaid",IF(ISNUMBER($E93),$E93,0)&gt;IF(ISNUMBER($I93),$I93,0)),"⚠ unpaid verified balance","")))</f>
        <v/>
      </c>
    </row>
    <row r="94">
      <c r="A94" s="4" t="n"/>
      <c r="B94" s="4" t="n"/>
      <c r="C94" s="4" t="n"/>
      <c r="D94" s="28" t="n"/>
      <c r="E94" s="28" t="n"/>
      <c r="F94" s="27" t="n"/>
      <c r="G94" s="4" t="n"/>
      <c r="H94" s="4" t="n"/>
      <c r="I94" s="28" t="n"/>
      <c r="J94" s="27" t="n"/>
      <c r="K94">
        <f>IF($A94="","",IF($H94="Disputed","⚠ disputed item",IF(AND($H94="Verified, Unpaid",IF(ISNUMBER($E94),$E94,0)&gt;IF(ISNUMBER($I94),$I94,0)),"⚠ unpaid verified balance","")))</f>
        <v/>
      </c>
    </row>
    <row r="95">
      <c r="A95" s="4" t="n"/>
      <c r="B95" s="4" t="n"/>
      <c r="C95" s="4" t="n"/>
      <c r="D95" s="28" t="n"/>
      <c r="E95" s="28" t="n"/>
      <c r="F95" s="27" t="n"/>
      <c r="G95" s="4" t="n"/>
      <c r="H95" s="4" t="n"/>
      <c r="I95" s="28" t="n"/>
      <c r="J95" s="27" t="n"/>
      <c r="K95">
        <f>IF($A95="","",IF($H95="Disputed","⚠ disputed item",IF(AND($H95="Verified, Unpaid",IF(ISNUMBER($E95),$E95,0)&gt;IF(ISNUMBER($I95),$I95,0)),"⚠ unpaid verified balance","")))</f>
        <v/>
      </c>
    </row>
    <row r="96">
      <c r="A96" s="4" t="n"/>
      <c r="B96" s="4" t="n"/>
      <c r="C96" s="4" t="n"/>
      <c r="D96" s="28" t="n"/>
      <c r="E96" s="28" t="n"/>
      <c r="F96" s="27" t="n"/>
      <c r="G96" s="4" t="n"/>
      <c r="H96" s="4" t="n"/>
      <c r="I96" s="28" t="n"/>
      <c r="J96" s="27" t="n"/>
      <c r="K96">
        <f>IF($A96="","",IF($H96="Disputed","⚠ disputed item",IF(AND($H96="Verified, Unpaid",IF(ISNUMBER($E96),$E96,0)&gt;IF(ISNUMBER($I96),$I96,0)),"⚠ unpaid verified balance","")))</f>
        <v/>
      </c>
    </row>
    <row r="97">
      <c r="A97" s="4" t="n"/>
      <c r="B97" s="4" t="n"/>
      <c r="C97" s="4" t="n"/>
      <c r="D97" s="28" t="n"/>
      <c r="E97" s="28" t="n"/>
      <c r="F97" s="27" t="n"/>
      <c r="G97" s="4" t="n"/>
      <c r="H97" s="4" t="n"/>
      <c r="I97" s="28" t="n"/>
      <c r="J97" s="27" t="n"/>
      <c r="K97">
        <f>IF($A97="","",IF($H97="Disputed","⚠ disputed item",IF(AND($H97="Verified, Unpaid",IF(ISNUMBER($E97),$E97,0)&gt;IF(ISNUMBER($I97),$I97,0)),"⚠ unpaid verified balance","")))</f>
        <v/>
      </c>
    </row>
    <row r="98">
      <c r="A98" s="4" t="n"/>
      <c r="B98" s="4" t="n"/>
      <c r="C98" s="4" t="n"/>
      <c r="D98" s="28" t="n"/>
      <c r="E98" s="28" t="n"/>
      <c r="F98" s="27" t="n"/>
      <c r="G98" s="4" t="n"/>
      <c r="H98" s="4" t="n"/>
      <c r="I98" s="28" t="n"/>
      <c r="J98" s="27" t="n"/>
      <c r="K98">
        <f>IF($A98="","",IF($H98="Disputed","⚠ disputed item",IF(AND($H98="Verified, Unpaid",IF(ISNUMBER($E98),$E98,0)&gt;IF(ISNUMBER($I98),$I98,0)),"⚠ unpaid verified balance","")))</f>
        <v/>
      </c>
    </row>
    <row r="99">
      <c r="A99" s="4" t="n"/>
      <c r="B99" s="4" t="n"/>
      <c r="C99" s="4" t="n"/>
      <c r="D99" s="28" t="n"/>
      <c r="E99" s="28" t="n"/>
      <c r="F99" s="27" t="n"/>
      <c r="G99" s="4" t="n"/>
      <c r="H99" s="4" t="n"/>
      <c r="I99" s="28" t="n"/>
      <c r="J99" s="27" t="n"/>
      <c r="K99">
        <f>IF($A99="","",IF($H99="Disputed","⚠ disputed item",IF(AND($H99="Verified, Unpaid",IF(ISNUMBER($E99),$E99,0)&gt;IF(ISNUMBER($I99),$I99,0)),"⚠ unpaid verified balance","")))</f>
        <v/>
      </c>
    </row>
    <row r="100">
      <c r="A100" s="4" t="n"/>
      <c r="B100" s="4" t="n"/>
      <c r="C100" s="4" t="n"/>
      <c r="D100" s="28" t="n"/>
      <c r="E100" s="28" t="n"/>
      <c r="F100" s="27" t="n"/>
      <c r="G100" s="4" t="n"/>
      <c r="H100" s="4" t="n"/>
      <c r="I100" s="28" t="n"/>
      <c r="J100" s="27" t="n"/>
      <c r="K100">
        <f>IF($A100="","",IF($H100="Disputed","⚠ disputed item",IF(AND($H100="Verified, Unpaid",IF(ISNUMBER($E100),$E100,0)&gt;IF(ISNUMBER($I100),$I100,0)),"⚠ unpaid verified balance","")))</f>
        <v/>
      </c>
    </row>
    <row r="101">
      <c r="A101" s="4" t="n"/>
      <c r="B101" s="4" t="n"/>
      <c r="C101" s="4" t="n"/>
      <c r="D101" s="28" t="n"/>
      <c r="E101" s="28" t="n"/>
      <c r="F101" s="27" t="n"/>
      <c r="G101" s="4" t="n"/>
      <c r="H101" s="4" t="n"/>
      <c r="I101" s="28" t="n"/>
      <c r="J101" s="27" t="n"/>
      <c r="K101">
        <f>IF($A101="","",IF($H101="Disputed","⚠ disputed item",IF(AND($H101="Verified, Unpaid",IF(ISNUMBER($E101),$E101,0)&gt;IF(ISNUMBER($I101),$I101,0)),"⚠ unpaid verified balance","")))</f>
        <v/>
      </c>
    </row>
    <row r="102">
      <c r="A102" s="4" t="n"/>
      <c r="B102" s="4" t="n"/>
      <c r="C102" s="4" t="n"/>
      <c r="D102" s="28" t="n"/>
      <c r="E102" s="28" t="n"/>
      <c r="F102" s="27" t="n"/>
      <c r="G102" s="4" t="n"/>
      <c r="H102" s="4" t="n"/>
      <c r="I102" s="28" t="n"/>
      <c r="J102" s="27" t="n"/>
      <c r="K102">
        <f>IF($A102="","",IF($H102="Disputed","⚠ disputed item",IF(AND($H102="Verified, Unpaid",IF(ISNUMBER($E102),$E102,0)&gt;IF(ISNUMBER($I102),$I102,0)),"⚠ unpaid verified balance","")))</f>
        <v/>
      </c>
    </row>
    <row r="103">
      <c r="A103" s="4" t="n"/>
      <c r="B103" s="4" t="n"/>
      <c r="C103" s="4" t="n"/>
      <c r="D103" s="28" t="n"/>
      <c r="E103" s="28" t="n"/>
      <c r="F103" s="27" t="n"/>
      <c r="G103" s="4" t="n"/>
      <c r="H103" s="4" t="n"/>
      <c r="I103" s="28" t="n"/>
      <c r="J103" s="27" t="n"/>
      <c r="K103">
        <f>IF($A103="","",IF($H103="Disputed","⚠ disputed item",IF(AND($H103="Verified, Unpaid",IF(ISNUMBER($E103),$E103,0)&gt;IF(ISNUMBER($I103),$I103,0)),"⚠ unpaid verified balance","")))</f>
        <v/>
      </c>
    </row>
  </sheetData>
  <sheetProtection selectLockedCells="0" selectUnlockedCells="0" sheet="1" objects="0" insertRows="1" insertHyperlinks="1" autoFilter="0" scenarios="0" formatColumns="0" deleteColumns="1" insertColumns="1" pivotTables="1" deleteRows="1" formatCells="1" formatRows="0" sort="0"/>
  <autoFilter ref="A3:K3"/>
  <conditionalFormatting sqref="K4:K103">
    <cfRule type="expression" priority="1" dxfId="0">
      <formula>LEFT($K4,1)="⚠"</formula>
    </cfRule>
  </conditionalFormatting>
  <dataValidations count="4">
    <dataValidation sqref="C4:C103" showDropDown="0" showInputMessage="0" showErrorMessage="0" allowBlank="1" type="list">
      <formula1>"Funeral Expenses,Medical Bill,Credit Card,Property Tax,Mortgage/Loan,Utility/Bank Fees,Other"</formula1>
    </dataValidation>
    <dataValidation sqref="G4:G103" showDropDown="0" showInputMessage="0" showErrorMessage="0" allowBlank="1" type="list">
      <formula1>"Yes,No"</formula1>
    </dataValidation>
    <dataValidation sqref="H4:H103" showDropDown="0" showInputMessage="0" showErrorMessage="0" allowBlank="1" type="list">
      <formula1>"Verified, Unpaid,Disputed,Paid,Partially Paid"</formula1>
    </dataValidation>
    <dataValidation sqref="D4:E103 I4:I103" showDropDown="0" showInputMessage="0" showErrorMessage="1" allowBlank="1" errorTitle="Negative amount" error="This field cannot be negative." type="decimal" operator="greaterThanOrEqual">
      <formula1>0</formula1>
    </dataValidation>
  </dataValidations>
  <printOptions gridLines="1"/>
  <pageMargins left="0.75" right="0.75" top="1" bottom="1" header="0.5" footer="0.5"/>
  <pageSetup orientation="landscape" fitToHeight="1" fitToWidth="1"/>
</worksheet>
</file>

<file path=xl/worksheets/sheet6.xml><?xml version="1.0" encoding="utf-8"?>
<worksheet xmlns="http://schemas.openxmlformats.org/spreadsheetml/2006/main">
  <sheetPr>
    <outlinePr summaryBelow="1" summaryRight="1"/>
    <pageSetUpPr/>
  </sheetPr>
  <dimension ref="A1:L503"/>
  <sheetViews>
    <sheetView workbookViewId="0">
      <selection activeCell="A1" sqref="A1"/>
    </sheetView>
  </sheetViews>
  <sheetFormatPr baseColWidth="8" defaultRowHeight="13.8"/>
  <cols>
    <col width="10" customWidth="1" style="21" min="1" max="1"/>
    <col width="13" customWidth="1" style="21" min="2" max="2"/>
    <col width="11" customWidth="1" style="21" min="3" max="3"/>
    <col width="15" customWidth="1" style="21" min="4" max="4"/>
    <col width="20" customWidth="1" style="21" min="5" max="5"/>
    <col width="26" customWidth="1" style="21" min="6" max="6"/>
    <col width="12" customWidth="1" style="21" min="7" max="8"/>
    <col width="10" customWidth="1" style="21" min="9" max="9"/>
    <col width="18" customWidth="1" style="21" min="10" max="10"/>
    <col width="13" customWidth="1" style="21" min="11" max="11"/>
    <col width="14" customWidth="1" style="21" min="12" max="12"/>
  </cols>
  <sheetData>
    <row r="1" ht="17.4" customHeight="1" s="21">
      <c r="A1" s="16" t="inlineStr">
        <is>
          <t>ESTATE TRANSACTIONS</t>
        </is>
      </c>
    </row>
    <row r="2" ht="207" customHeight="1" s="21">
      <c r="A2" s="17" t="inlineStr">
        <is>
          <t>The source of truth for cash movement. Do NOT enter Starting Estate Cash here — that lives on 00_START_HERE only.</t>
        </is>
      </c>
    </row>
    <row r="3" ht="15.6" customHeight="1" s="21">
      <c r="A3" s="1" t="inlineStr">
        <is>
          <t>Transaction ID</t>
        </is>
      </c>
      <c r="B3" s="1" t="inlineStr">
        <is>
          <t>Date</t>
        </is>
      </c>
      <c r="C3" s="1" t="inlineStr">
        <is>
          <t>Transaction Type</t>
        </is>
      </c>
      <c r="D3" s="1" t="inlineStr">
        <is>
          <t>Category</t>
        </is>
      </c>
      <c r="E3" s="1" t="inlineStr">
        <is>
          <t>Payee/Payer</t>
        </is>
      </c>
      <c r="F3" s="1" t="inlineStr">
        <is>
          <t>Description</t>
        </is>
      </c>
      <c r="G3" s="1" t="inlineStr">
        <is>
          <t>Inflow</t>
        </is>
      </c>
      <c r="H3" s="1" t="inlineStr">
        <is>
          <t>Outflow</t>
        </is>
      </c>
      <c r="I3" s="1" t="inlineStr">
        <is>
          <t>Linked ID</t>
        </is>
      </c>
      <c r="J3" s="1" t="inlineStr">
        <is>
          <t>Source Account</t>
        </is>
      </c>
      <c r="K3" s="1" t="inlineStr">
        <is>
          <t>Evidence Status</t>
        </is>
      </c>
      <c r="L3" s="1" t="inlineStr">
        <is>
          <t>Warning (auto)</t>
        </is>
      </c>
    </row>
    <row r="4">
      <c r="A4" s="4" t="inlineStr">
        <is>
          <t>T1</t>
        </is>
      </c>
      <c r="B4" s="27" t="n">
        <v>46217</v>
      </c>
      <c r="C4" s="4" t="inlineStr">
        <is>
          <t>Deposit</t>
        </is>
      </c>
      <c r="D4" s="4" t="inlineStr">
        <is>
          <t>Asset Collection</t>
        </is>
      </c>
      <c r="E4" s="4" t="inlineStr">
        <is>
          <t>First National Bank</t>
        </is>
      </c>
      <c r="F4" s="4" t="inlineStr">
        <is>
          <t>Checking account transferred to estate account</t>
        </is>
      </c>
      <c r="G4" s="28" t="n">
        <v>6250</v>
      </c>
      <c r="H4" s="28" t="n">
        <v>0</v>
      </c>
      <c r="I4" s="4" t="inlineStr">
        <is>
          <t>A1</t>
        </is>
      </c>
      <c r="J4" s="4" t="inlineStr">
        <is>
          <t>Estate Acct ...3391</t>
        </is>
      </c>
      <c r="K4" s="4" t="inlineStr">
        <is>
          <t>Provided</t>
        </is>
      </c>
      <c r="L4">
        <f>IF($A4="","",IF(AND(ISNUMBER($G4),ISNUMBER($H4),$G4&gt;0,$H4&gt;0),"⚠ both inflow and outflow entered",IF($K4="Missing","⚠ missing evidence","")))</f>
        <v/>
      </c>
    </row>
    <row r="5">
      <c r="A5" s="4" t="inlineStr">
        <is>
          <t>T2</t>
        </is>
      </c>
      <c r="B5" s="27" t="n">
        <v>46219</v>
      </c>
      <c r="C5" s="4" t="inlineStr">
        <is>
          <t>Payment</t>
        </is>
      </c>
      <c r="D5" s="4" t="inlineStr">
        <is>
          <t>Liability</t>
        </is>
      </c>
      <c r="E5" s="4" t="inlineStr">
        <is>
          <t>Lakeside Funeral Home</t>
        </is>
      </c>
      <c r="F5" s="4" t="inlineStr">
        <is>
          <t>Funeral expenses paid</t>
        </is>
      </c>
      <c r="G5" s="28" t="n">
        <v>0</v>
      </c>
      <c r="H5" s="28" t="n">
        <v>8900</v>
      </c>
      <c r="I5" s="4" t="inlineStr">
        <is>
          <t>L3</t>
        </is>
      </c>
      <c r="J5" s="4" t="inlineStr">
        <is>
          <t>Estate Acct ...3391</t>
        </is>
      </c>
      <c r="K5" s="4" t="inlineStr">
        <is>
          <t>Provided</t>
        </is>
      </c>
      <c r="L5">
        <f>IF($A5="","",IF(AND(ISNUMBER($G5),ISNUMBER($H5),$G5&gt;0,$H5&gt;0),"⚠ both inflow and outflow entered",IF($K5="Missing","⚠ missing evidence","")))</f>
        <v/>
      </c>
    </row>
    <row r="6">
      <c r="A6" s="4" t="inlineStr">
        <is>
          <t>T3</t>
        </is>
      </c>
      <c r="B6" s="27" t="n">
        <v>46227</v>
      </c>
      <c r="C6" s="4" t="inlineStr">
        <is>
          <t>Deposit</t>
        </is>
      </c>
      <c r="D6" s="4" t="inlineStr">
        <is>
          <t>Asset Collection</t>
        </is>
      </c>
      <c r="E6" s="4" t="inlineStr">
        <is>
          <t>Meridian Life</t>
        </is>
      </c>
      <c r="F6" s="4" t="inlineStr">
        <is>
          <t>Life insurance proceeds</t>
        </is>
      </c>
      <c r="G6" s="28" t="n">
        <v>0</v>
      </c>
      <c r="H6" s="28" t="n">
        <v>0</v>
      </c>
      <c r="I6" s="4" t="inlineStr">
        <is>
          <t>A3</t>
        </is>
      </c>
      <c r="J6" s="4" t="inlineStr">
        <is>
          <t>Estate Acct ...3391</t>
        </is>
      </c>
      <c r="K6" s="4" t="inlineStr">
        <is>
          <t>Missing</t>
        </is>
      </c>
      <c r="L6">
        <f>IF($A6="","",IF(AND(ISNUMBER($G6),ISNUMBER($H6),$G6&gt;0,$H6&gt;0),"⚠ both inflow and outflow entered",IF($K6="Missing","⚠ missing evidence","")))</f>
        <v/>
      </c>
    </row>
    <row r="7">
      <c r="A7" s="4" t="inlineStr">
        <is>
          <t>T3b</t>
        </is>
      </c>
      <c r="B7" s="27" t="n">
        <v>46227</v>
      </c>
      <c r="C7" s="4" t="inlineStr">
        <is>
          <t>Deposit</t>
        </is>
      </c>
      <c r="D7" s="4" t="inlineStr">
        <is>
          <t>Asset Collection</t>
        </is>
      </c>
      <c r="E7" s="4" t="inlineStr">
        <is>
          <t>Meridian Life</t>
        </is>
      </c>
      <c r="F7" s="4" t="inlineStr">
        <is>
          <t>Life insurance proceeds</t>
        </is>
      </c>
      <c r="G7" s="28" t="n">
        <v>15000</v>
      </c>
      <c r="H7" s="28" t="n">
        <v>0</v>
      </c>
      <c r="I7" s="4" t="inlineStr">
        <is>
          <t>A3</t>
        </is>
      </c>
      <c r="J7" s="4" t="inlineStr">
        <is>
          <t>Estate Acct ...3391</t>
        </is>
      </c>
      <c r="K7" s="4" t="inlineStr">
        <is>
          <t>Provided</t>
        </is>
      </c>
      <c r="L7">
        <f>IF($A7="","",IF(AND(ISNUMBER($G7),ISNUMBER($H7),$G7&gt;0,$H7&gt;0),"⚠ both inflow and outflow entered",IF($K7="Missing","⚠ missing evidence","")))</f>
        <v/>
      </c>
    </row>
    <row r="8">
      <c r="A8" s="4" t="inlineStr">
        <is>
          <t>T4</t>
        </is>
      </c>
      <c r="B8" s="27" t="n">
        <v>46232</v>
      </c>
      <c r="C8" s="4" t="inlineStr">
        <is>
          <t>Deposit</t>
        </is>
      </c>
      <c r="D8" s="4" t="inlineStr">
        <is>
          <t>Asset Collection</t>
        </is>
      </c>
      <c r="E8" s="4" t="inlineStr">
        <is>
          <t>Vantage Investments</t>
        </is>
      </c>
      <c r="F8" s="4" t="inlineStr">
        <is>
          <t>Brokerage account liquidated</t>
        </is>
      </c>
      <c r="G8" s="28" t="n">
        <v>22400</v>
      </c>
      <c r="H8" s="28" t="n">
        <v>0</v>
      </c>
      <c r="I8" s="4" t="inlineStr">
        <is>
          <t>A6</t>
        </is>
      </c>
      <c r="J8" s="4" t="inlineStr">
        <is>
          <t>Estate Acct ...3391</t>
        </is>
      </c>
      <c r="K8" s="4" t="inlineStr">
        <is>
          <t>Provided</t>
        </is>
      </c>
      <c r="L8">
        <f>IF($A8="","",IF(AND(ISNUMBER($G8),ISNUMBER($H8),$G8&gt;0,$H8&gt;0),"⚠ both inflow and outflow entered",IF($K8="Missing","⚠ missing evidence","")))</f>
        <v/>
      </c>
    </row>
    <row r="9">
      <c r="A9" s="4" t="inlineStr">
        <is>
          <t>T5</t>
        </is>
      </c>
      <c r="B9" s="27" t="n">
        <v>46262</v>
      </c>
      <c r="C9" s="4" t="inlineStr">
        <is>
          <t>Payment</t>
        </is>
      </c>
      <c r="D9" s="4" t="inlineStr">
        <is>
          <t>Liability</t>
        </is>
      </c>
      <c r="E9" s="4" t="inlineStr">
        <is>
          <t>First National Bank</t>
        </is>
      </c>
      <c r="F9" s="4" t="inlineStr">
        <is>
          <t>Final bank fees paid</t>
        </is>
      </c>
      <c r="G9" s="28" t="n">
        <v>0</v>
      </c>
      <c r="H9" s="28" t="n">
        <v>180</v>
      </c>
      <c r="I9" s="4" t="inlineStr">
        <is>
          <t>L1</t>
        </is>
      </c>
      <c r="J9" s="4" t="inlineStr">
        <is>
          <t>Estate Acct ...3391</t>
        </is>
      </c>
      <c r="K9" s="4" t="inlineStr">
        <is>
          <t>Provided</t>
        </is>
      </c>
      <c r="L9">
        <f>IF($A9="","",IF(AND(ISNUMBER($G9),ISNUMBER($H9),$G9&gt;0,$H9&gt;0),"⚠ both inflow and outflow entered",IF($K9="Missing","⚠ missing evidence","")))</f>
        <v/>
      </c>
    </row>
    <row r="10">
      <c r="A10" s="4" t="inlineStr">
        <is>
          <t>T6</t>
        </is>
      </c>
      <c r="B10" s="27" t="n">
        <v>46269</v>
      </c>
      <c r="C10" s="4" t="inlineStr">
        <is>
          <t>Payment</t>
        </is>
      </c>
      <c r="D10" s="4" t="inlineStr">
        <is>
          <t>Expense</t>
        </is>
      </c>
      <c r="E10" s="4" t="inlineStr">
        <is>
          <t>Doyle Estate Law Group</t>
        </is>
      </c>
      <c r="F10" s="4" t="inlineStr">
        <is>
          <t>Attorney retainer</t>
        </is>
      </c>
      <c r="G10" s="28" t="n">
        <v>0</v>
      </c>
      <c r="H10" s="28" t="n">
        <v>1500</v>
      </c>
      <c r="I10" s="4" t="n"/>
      <c r="J10" s="4" t="inlineStr">
        <is>
          <t>Estate Acct ...3391</t>
        </is>
      </c>
      <c r="K10" s="4" t="inlineStr">
        <is>
          <t>Provided</t>
        </is>
      </c>
      <c r="L10">
        <f>IF($A10="","",IF(AND(ISNUMBER($G10),ISNUMBER($H10),$G10&gt;0,$H10&gt;0),"⚠ both inflow and outflow entered",IF($K10="Missing","⚠ missing evidence","")))</f>
        <v/>
      </c>
    </row>
    <row r="11">
      <c r="A11" s="4" t="inlineStr">
        <is>
          <t>T7</t>
        </is>
      </c>
      <c r="B11" s="27" t="n">
        <v>46273</v>
      </c>
      <c r="C11" s="4" t="inlineStr">
        <is>
          <t>Deposit</t>
        </is>
      </c>
      <c r="D11" s="4" t="inlineStr">
        <is>
          <t>Refund</t>
        </is>
      </c>
      <c r="E11" s="4" t="inlineStr">
        <is>
          <t>City Utilities Co</t>
        </is>
      </c>
      <c r="F11" s="4" t="inlineStr">
        <is>
          <t>Utility deposit refund</t>
        </is>
      </c>
      <c r="G11" s="28" t="n">
        <v>220</v>
      </c>
      <c r="H11" s="28" t="n">
        <v>0</v>
      </c>
      <c r="I11" s="4" t="n"/>
      <c r="J11" s="4" t="inlineStr">
        <is>
          <t>Estate Acct ...3391</t>
        </is>
      </c>
      <c r="K11" s="4" t="inlineStr">
        <is>
          <t>Not Applicable</t>
        </is>
      </c>
      <c r="L11">
        <f>IF($A11="","",IF(AND(ISNUMBER($G11),ISNUMBER($H11),$G11&gt;0,$H11&gt;0),"⚠ both inflow and outflow entered",IF($K11="Missing","⚠ missing evidence","")))</f>
        <v/>
      </c>
    </row>
    <row r="12">
      <c r="A12" s="4" t="n"/>
      <c r="B12" s="4" t="n"/>
      <c r="C12" s="4" t="n"/>
      <c r="D12" s="4" t="n"/>
      <c r="E12" s="4" t="n"/>
      <c r="F12" s="4" t="n"/>
      <c r="G12" s="4" t="n"/>
      <c r="H12" s="4" t="n"/>
      <c r="I12" s="4" t="n"/>
      <c r="J12" s="4" t="n"/>
      <c r="K12" s="4" t="n"/>
      <c r="L12">
        <f>IF($A12="","",IF(AND(ISNUMBER($G12),ISNUMBER($H12),$G12&gt;0,$H12&gt;0),"⚠ both inflow and outflow entered",IF($K12="Missing","⚠ missing evidence","")))</f>
        <v/>
      </c>
    </row>
    <row r="13">
      <c r="A13" s="4" t="n"/>
      <c r="B13" s="27" t="n"/>
      <c r="C13" s="4" t="n"/>
      <c r="D13" s="4" t="n"/>
      <c r="E13" s="4" t="n"/>
      <c r="F13" s="4" t="n"/>
      <c r="G13" s="28" t="n"/>
      <c r="H13" s="28" t="n"/>
      <c r="I13" s="4" t="n"/>
      <c r="J13" s="4" t="n"/>
      <c r="K13" s="4" t="n"/>
      <c r="L13">
        <f>IF($A13="","",IF(AND(ISNUMBER($G13),ISNUMBER($H13),$G13&gt;0,$H13&gt;0),"⚠ both inflow and outflow entered",IF($K13="Missing","⚠ missing evidence","")))</f>
        <v/>
      </c>
    </row>
    <row r="14">
      <c r="A14" s="4" t="n"/>
      <c r="B14" s="27" t="n"/>
      <c r="C14" s="4" t="n"/>
      <c r="D14" s="4" t="n"/>
      <c r="E14" s="4" t="n"/>
      <c r="F14" s="4" t="n"/>
      <c r="G14" s="28" t="n"/>
      <c r="H14" s="28" t="n"/>
      <c r="I14" s="4" t="n"/>
      <c r="J14" s="4" t="n"/>
      <c r="K14" s="4" t="n"/>
      <c r="L14">
        <f>IF($A14="","",IF(AND(ISNUMBER($G14),ISNUMBER($H14),$G14&gt;0,$H14&gt;0),"⚠ both inflow and outflow entered",IF($K14="Missing","⚠ missing evidence","")))</f>
        <v/>
      </c>
    </row>
    <row r="15">
      <c r="A15" s="4" t="n"/>
      <c r="B15" s="27" t="n"/>
      <c r="C15" s="4" t="n"/>
      <c r="D15" s="4" t="n"/>
      <c r="E15" s="4" t="n"/>
      <c r="F15" s="4" t="n"/>
      <c r="G15" s="28" t="n"/>
      <c r="H15" s="28" t="n"/>
      <c r="I15" s="4" t="n"/>
      <c r="J15" s="4" t="n"/>
      <c r="K15" s="4" t="n"/>
      <c r="L15">
        <f>IF($A15="","",IF(AND(ISNUMBER($G15),ISNUMBER($H15),$G15&gt;0,$H15&gt;0),"⚠ both inflow and outflow entered",IF($K15="Missing","⚠ missing evidence","")))</f>
        <v/>
      </c>
    </row>
    <row r="16">
      <c r="A16" s="4" t="n"/>
      <c r="B16" s="27" t="n"/>
      <c r="C16" s="4" t="n"/>
      <c r="D16" s="4" t="n"/>
      <c r="E16" s="4" t="n"/>
      <c r="F16" s="4" t="n"/>
      <c r="G16" s="28" t="n"/>
      <c r="H16" s="28" t="n"/>
      <c r="I16" s="4" t="n"/>
      <c r="J16" s="4" t="n"/>
      <c r="K16" s="4" t="n"/>
      <c r="L16">
        <f>IF($A16="","",IF(AND(ISNUMBER($G16),ISNUMBER($H16),$G16&gt;0,$H16&gt;0),"⚠ both inflow and outflow entered",IF($K16="Missing","⚠ missing evidence","")))</f>
        <v/>
      </c>
    </row>
    <row r="17">
      <c r="A17" s="4" t="n"/>
      <c r="B17" s="27" t="n"/>
      <c r="C17" s="4" t="n"/>
      <c r="D17" s="4" t="n"/>
      <c r="E17" s="4" t="n"/>
      <c r="F17" s="4" t="n"/>
      <c r="G17" s="28" t="n"/>
      <c r="H17" s="28" t="n"/>
      <c r="I17" s="4" t="n"/>
      <c r="J17" s="4" t="n"/>
      <c r="K17" s="4" t="n"/>
      <c r="L17">
        <f>IF($A17="","",IF(AND(ISNUMBER($G17),ISNUMBER($H17),$G17&gt;0,$H17&gt;0),"⚠ both inflow and outflow entered",IF($K17="Missing","⚠ missing evidence","")))</f>
        <v/>
      </c>
    </row>
    <row r="18">
      <c r="A18" s="4" t="n"/>
      <c r="B18" s="27" t="n"/>
      <c r="C18" s="4" t="n"/>
      <c r="D18" s="4" t="n"/>
      <c r="E18" s="4" t="n"/>
      <c r="F18" s="4" t="n"/>
      <c r="G18" s="28" t="n"/>
      <c r="H18" s="28" t="n"/>
      <c r="I18" s="4" t="n"/>
      <c r="J18" s="4" t="n"/>
      <c r="K18" s="4" t="n"/>
      <c r="L18">
        <f>IF($A18="","",IF(AND(ISNUMBER($G18),ISNUMBER($H18),$G18&gt;0,$H18&gt;0),"⚠ both inflow and outflow entered",IF($K18="Missing","⚠ missing evidence","")))</f>
        <v/>
      </c>
    </row>
    <row r="19">
      <c r="A19" s="4" t="n"/>
      <c r="B19" s="27" t="n"/>
      <c r="C19" s="4" t="n"/>
      <c r="D19" s="4" t="n"/>
      <c r="E19" s="4" t="n"/>
      <c r="F19" s="4" t="n"/>
      <c r="G19" s="28" t="n"/>
      <c r="H19" s="28" t="n"/>
      <c r="I19" s="4" t="n"/>
      <c r="J19" s="4" t="n"/>
      <c r="K19" s="4" t="n"/>
      <c r="L19">
        <f>IF($A19="","",IF(AND(ISNUMBER($G19),ISNUMBER($H19),$G19&gt;0,$H19&gt;0),"⚠ both inflow and outflow entered",IF($K19="Missing","⚠ missing evidence","")))</f>
        <v/>
      </c>
    </row>
    <row r="20">
      <c r="A20" s="4" t="n"/>
      <c r="B20" s="27" t="n"/>
      <c r="C20" s="4" t="n"/>
      <c r="D20" s="4" t="n"/>
      <c r="E20" s="4" t="n"/>
      <c r="F20" s="4" t="n"/>
      <c r="G20" s="28" t="n"/>
      <c r="H20" s="28" t="n"/>
      <c r="I20" s="4" t="n"/>
      <c r="J20" s="4" t="n"/>
      <c r="K20" s="4" t="n"/>
      <c r="L20">
        <f>IF($A20="","",IF(AND(ISNUMBER($G20),ISNUMBER($H20),$G20&gt;0,$H20&gt;0),"⚠ both inflow and outflow entered",IF($K20="Missing","⚠ missing evidence","")))</f>
        <v/>
      </c>
    </row>
    <row r="21">
      <c r="A21" s="4" t="n"/>
      <c r="B21" s="27" t="n"/>
      <c r="C21" s="4" t="n"/>
      <c r="D21" s="4" t="n"/>
      <c r="E21" s="4" t="n"/>
      <c r="F21" s="4" t="n"/>
      <c r="G21" s="28" t="n"/>
      <c r="H21" s="28" t="n"/>
      <c r="I21" s="4" t="n"/>
      <c r="J21" s="4" t="n"/>
      <c r="K21" s="4" t="n"/>
      <c r="L21">
        <f>IF($A21="","",IF(AND(ISNUMBER($G21),ISNUMBER($H21),$G21&gt;0,$H21&gt;0),"⚠ both inflow and outflow entered",IF($K21="Missing","⚠ missing evidence","")))</f>
        <v/>
      </c>
    </row>
    <row r="22">
      <c r="A22" s="4" t="n"/>
      <c r="B22" s="27" t="n"/>
      <c r="C22" s="4" t="n"/>
      <c r="D22" s="4" t="n"/>
      <c r="E22" s="4" t="n"/>
      <c r="F22" s="4" t="n"/>
      <c r="G22" s="28" t="n"/>
      <c r="H22" s="28" t="n"/>
      <c r="I22" s="4" t="n"/>
      <c r="J22" s="4" t="n"/>
      <c r="K22" s="4" t="n"/>
      <c r="L22">
        <f>IF($A22="","",IF(AND(ISNUMBER($G22),ISNUMBER($H22),$G22&gt;0,$H22&gt;0),"⚠ both inflow and outflow entered",IF($K22="Missing","⚠ missing evidence","")))</f>
        <v/>
      </c>
    </row>
    <row r="23">
      <c r="A23" s="4" t="n"/>
      <c r="B23" s="27" t="n"/>
      <c r="C23" s="4" t="n"/>
      <c r="D23" s="4" t="n"/>
      <c r="E23" s="4" t="n"/>
      <c r="F23" s="4" t="n"/>
      <c r="G23" s="28" t="n"/>
      <c r="H23" s="28" t="n"/>
      <c r="I23" s="4" t="n"/>
      <c r="J23" s="4" t="n"/>
      <c r="K23" s="4" t="n"/>
      <c r="L23">
        <f>IF($A23="","",IF(AND(ISNUMBER($G23),ISNUMBER($H23),$G23&gt;0,$H23&gt;0),"⚠ both inflow and outflow entered",IF($K23="Missing","⚠ missing evidence","")))</f>
        <v/>
      </c>
    </row>
    <row r="24">
      <c r="A24" s="4" t="n"/>
      <c r="B24" s="27" t="n"/>
      <c r="C24" s="4" t="n"/>
      <c r="D24" s="4" t="n"/>
      <c r="E24" s="4" t="n"/>
      <c r="F24" s="4" t="n"/>
      <c r="G24" s="28" t="n"/>
      <c r="H24" s="28" t="n"/>
      <c r="I24" s="4" t="n"/>
      <c r="J24" s="4" t="n"/>
      <c r="K24" s="4" t="n"/>
      <c r="L24">
        <f>IF($A24="","",IF(AND(ISNUMBER($G24),ISNUMBER($H24),$G24&gt;0,$H24&gt;0),"⚠ both inflow and outflow entered",IF($K24="Missing","⚠ missing evidence","")))</f>
        <v/>
      </c>
    </row>
    <row r="25">
      <c r="A25" s="4" t="n"/>
      <c r="B25" s="27" t="n"/>
      <c r="C25" s="4" t="n"/>
      <c r="D25" s="4" t="n"/>
      <c r="E25" s="4" t="n"/>
      <c r="F25" s="4" t="n"/>
      <c r="G25" s="28" t="n"/>
      <c r="H25" s="28" t="n"/>
      <c r="I25" s="4" t="n"/>
      <c r="J25" s="4" t="n"/>
      <c r="K25" s="4" t="n"/>
      <c r="L25">
        <f>IF($A25="","",IF(AND(ISNUMBER($G25),ISNUMBER($H25),$G25&gt;0,$H25&gt;0),"⚠ both inflow and outflow entered",IF($K25="Missing","⚠ missing evidence","")))</f>
        <v/>
      </c>
    </row>
    <row r="26">
      <c r="A26" s="4" t="n"/>
      <c r="B26" s="27" t="n"/>
      <c r="C26" s="4" t="n"/>
      <c r="D26" s="4" t="n"/>
      <c r="E26" s="4" t="n"/>
      <c r="F26" s="4" t="n"/>
      <c r="G26" s="28" t="n"/>
      <c r="H26" s="28" t="n"/>
      <c r="I26" s="4" t="n"/>
      <c r="J26" s="4" t="n"/>
      <c r="K26" s="4" t="n"/>
      <c r="L26">
        <f>IF($A26="","",IF(AND(ISNUMBER($G26),ISNUMBER($H26),$G26&gt;0,$H26&gt;0),"⚠ both inflow and outflow entered",IF($K26="Missing","⚠ missing evidence","")))</f>
        <v/>
      </c>
    </row>
    <row r="27">
      <c r="A27" s="4" t="n"/>
      <c r="B27" s="27" t="n"/>
      <c r="C27" s="4" t="n"/>
      <c r="D27" s="4" t="n"/>
      <c r="E27" s="4" t="n"/>
      <c r="F27" s="4" t="n"/>
      <c r="G27" s="28" t="n"/>
      <c r="H27" s="28" t="n"/>
      <c r="I27" s="4" t="n"/>
      <c r="J27" s="4" t="n"/>
      <c r="K27" s="4" t="n"/>
      <c r="L27">
        <f>IF($A27="","",IF(AND(ISNUMBER($G27),ISNUMBER($H27),$G27&gt;0,$H27&gt;0),"⚠ both inflow and outflow entered",IF($K27="Missing","⚠ missing evidence","")))</f>
        <v/>
      </c>
    </row>
    <row r="28">
      <c r="A28" s="4" t="n"/>
      <c r="B28" s="27" t="n"/>
      <c r="C28" s="4" t="n"/>
      <c r="D28" s="4" t="n"/>
      <c r="E28" s="4" t="n"/>
      <c r="F28" s="4" t="n"/>
      <c r="G28" s="28" t="n"/>
      <c r="H28" s="28" t="n"/>
      <c r="I28" s="4" t="n"/>
      <c r="J28" s="4" t="n"/>
      <c r="K28" s="4" t="n"/>
      <c r="L28">
        <f>IF($A28="","",IF(AND(ISNUMBER($G28),ISNUMBER($H28),$G28&gt;0,$H28&gt;0),"⚠ both inflow and outflow entered",IF($K28="Missing","⚠ missing evidence","")))</f>
        <v/>
      </c>
    </row>
    <row r="29">
      <c r="A29" s="4" t="n"/>
      <c r="B29" s="27" t="n"/>
      <c r="C29" s="4" t="n"/>
      <c r="D29" s="4" t="n"/>
      <c r="E29" s="4" t="n"/>
      <c r="F29" s="4" t="n"/>
      <c r="G29" s="28" t="n"/>
      <c r="H29" s="28" t="n"/>
      <c r="I29" s="4" t="n"/>
      <c r="J29" s="4" t="n"/>
      <c r="K29" s="4" t="n"/>
      <c r="L29">
        <f>IF($A29="","",IF(AND(ISNUMBER($G29),ISNUMBER($H29),$G29&gt;0,$H29&gt;0),"⚠ both inflow and outflow entered",IF($K29="Missing","⚠ missing evidence","")))</f>
        <v/>
      </c>
    </row>
    <row r="30">
      <c r="A30" s="4" t="n"/>
      <c r="B30" s="27" t="n"/>
      <c r="C30" s="4" t="n"/>
      <c r="D30" s="4" t="n"/>
      <c r="E30" s="4" t="n"/>
      <c r="F30" s="4" t="n"/>
      <c r="G30" s="28" t="n"/>
      <c r="H30" s="28" t="n"/>
      <c r="I30" s="4" t="n"/>
      <c r="J30" s="4" t="n"/>
      <c r="K30" s="4" t="n"/>
      <c r="L30">
        <f>IF($A30="","",IF(AND(ISNUMBER($G30),ISNUMBER($H30),$G30&gt;0,$H30&gt;0),"⚠ both inflow and outflow entered",IF($K30="Missing","⚠ missing evidence","")))</f>
        <v/>
      </c>
    </row>
    <row r="31">
      <c r="A31" s="4" t="n"/>
      <c r="B31" s="27" t="n"/>
      <c r="C31" s="4" t="n"/>
      <c r="D31" s="4" t="n"/>
      <c r="E31" s="4" t="n"/>
      <c r="F31" s="4" t="n"/>
      <c r="G31" s="28" t="n"/>
      <c r="H31" s="28" t="n"/>
      <c r="I31" s="4" t="n"/>
      <c r="J31" s="4" t="n"/>
      <c r="K31" s="4" t="n"/>
      <c r="L31">
        <f>IF($A31="","",IF(AND(ISNUMBER($G31),ISNUMBER($H31),$G31&gt;0,$H31&gt;0),"⚠ both inflow and outflow entered",IF($K31="Missing","⚠ missing evidence","")))</f>
        <v/>
      </c>
    </row>
    <row r="32">
      <c r="A32" s="4" t="n"/>
      <c r="B32" s="27" t="n"/>
      <c r="C32" s="4" t="n"/>
      <c r="D32" s="4" t="n"/>
      <c r="E32" s="4" t="n"/>
      <c r="F32" s="4" t="n"/>
      <c r="G32" s="28" t="n"/>
      <c r="H32" s="28" t="n"/>
      <c r="I32" s="4" t="n"/>
      <c r="J32" s="4" t="n"/>
      <c r="K32" s="4" t="n"/>
      <c r="L32">
        <f>IF($A32="","",IF(AND(ISNUMBER($G32),ISNUMBER($H32),$G32&gt;0,$H32&gt;0),"⚠ both inflow and outflow entered",IF($K32="Missing","⚠ missing evidence","")))</f>
        <v/>
      </c>
    </row>
    <row r="33">
      <c r="A33" s="4" t="n"/>
      <c r="B33" s="27" t="n"/>
      <c r="C33" s="4" t="n"/>
      <c r="D33" s="4" t="n"/>
      <c r="E33" s="4" t="n"/>
      <c r="F33" s="4" t="n"/>
      <c r="G33" s="28" t="n"/>
      <c r="H33" s="28" t="n"/>
      <c r="I33" s="4" t="n"/>
      <c r="J33" s="4" t="n"/>
      <c r="K33" s="4" t="n"/>
      <c r="L33">
        <f>IF($A33="","",IF(AND(ISNUMBER($G33),ISNUMBER($H33),$G33&gt;0,$H33&gt;0),"⚠ both inflow and outflow entered",IF($K33="Missing","⚠ missing evidence","")))</f>
        <v/>
      </c>
    </row>
    <row r="34">
      <c r="A34" s="4" t="n"/>
      <c r="B34" s="27" t="n"/>
      <c r="C34" s="4" t="n"/>
      <c r="D34" s="4" t="n"/>
      <c r="E34" s="4" t="n"/>
      <c r="F34" s="4" t="n"/>
      <c r="G34" s="28" t="n"/>
      <c r="H34" s="28" t="n"/>
      <c r="I34" s="4" t="n"/>
      <c r="J34" s="4" t="n"/>
      <c r="K34" s="4" t="n"/>
      <c r="L34">
        <f>IF($A34="","",IF(AND(ISNUMBER($G34),ISNUMBER($H34),$G34&gt;0,$H34&gt;0),"⚠ both inflow and outflow entered",IF($K34="Missing","⚠ missing evidence","")))</f>
        <v/>
      </c>
    </row>
    <row r="35">
      <c r="A35" s="4" t="n"/>
      <c r="B35" s="27" t="n"/>
      <c r="C35" s="4" t="n"/>
      <c r="D35" s="4" t="n"/>
      <c r="E35" s="4" t="n"/>
      <c r="F35" s="4" t="n"/>
      <c r="G35" s="28" t="n"/>
      <c r="H35" s="28" t="n"/>
      <c r="I35" s="4" t="n"/>
      <c r="J35" s="4" t="n"/>
      <c r="K35" s="4" t="n"/>
      <c r="L35">
        <f>IF($A35="","",IF(AND(ISNUMBER($G35),ISNUMBER($H35),$G35&gt;0,$H35&gt;0),"⚠ both inflow and outflow entered",IF($K35="Missing","⚠ missing evidence","")))</f>
        <v/>
      </c>
    </row>
    <row r="36">
      <c r="A36" s="4" t="n"/>
      <c r="B36" s="27" t="n"/>
      <c r="C36" s="4" t="n"/>
      <c r="D36" s="4" t="n"/>
      <c r="E36" s="4" t="n"/>
      <c r="F36" s="4" t="n"/>
      <c r="G36" s="28" t="n"/>
      <c r="H36" s="28" t="n"/>
      <c r="I36" s="4" t="n"/>
      <c r="J36" s="4" t="n"/>
      <c r="K36" s="4" t="n"/>
      <c r="L36">
        <f>IF($A36="","",IF(AND(ISNUMBER($G36),ISNUMBER($H36),$G36&gt;0,$H36&gt;0),"⚠ both inflow and outflow entered",IF($K36="Missing","⚠ missing evidence","")))</f>
        <v/>
      </c>
    </row>
    <row r="37">
      <c r="A37" s="4" t="n"/>
      <c r="B37" s="27" t="n"/>
      <c r="C37" s="4" t="n"/>
      <c r="D37" s="4" t="n"/>
      <c r="E37" s="4" t="n"/>
      <c r="F37" s="4" t="n"/>
      <c r="G37" s="28" t="n"/>
      <c r="H37" s="28" t="n"/>
      <c r="I37" s="4" t="n"/>
      <c r="J37" s="4" t="n"/>
      <c r="K37" s="4" t="n"/>
      <c r="L37">
        <f>IF($A37="","",IF(AND(ISNUMBER($G37),ISNUMBER($H37),$G37&gt;0,$H37&gt;0),"⚠ both inflow and outflow entered",IF($K37="Missing","⚠ missing evidence","")))</f>
        <v/>
      </c>
    </row>
    <row r="38">
      <c r="A38" s="4" t="n"/>
      <c r="B38" s="27" t="n"/>
      <c r="C38" s="4" t="n"/>
      <c r="D38" s="4" t="n"/>
      <c r="E38" s="4" t="n"/>
      <c r="F38" s="4" t="n"/>
      <c r="G38" s="28" t="n"/>
      <c r="H38" s="28" t="n"/>
      <c r="I38" s="4" t="n"/>
      <c r="J38" s="4" t="n"/>
      <c r="K38" s="4" t="n"/>
      <c r="L38">
        <f>IF($A38="","",IF(AND(ISNUMBER($G38),ISNUMBER($H38),$G38&gt;0,$H38&gt;0),"⚠ both inflow and outflow entered",IF($K38="Missing","⚠ missing evidence","")))</f>
        <v/>
      </c>
    </row>
    <row r="39">
      <c r="A39" s="4" t="n"/>
      <c r="B39" s="27" t="n"/>
      <c r="C39" s="4" t="n"/>
      <c r="D39" s="4" t="n"/>
      <c r="E39" s="4" t="n"/>
      <c r="F39" s="4" t="n"/>
      <c r="G39" s="28" t="n"/>
      <c r="H39" s="28" t="n"/>
      <c r="I39" s="4" t="n"/>
      <c r="J39" s="4" t="n"/>
      <c r="K39" s="4" t="n"/>
      <c r="L39">
        <f>IF($A39="","",IF(AND(ISNUMBER($G39),ISNUMBER($H39),$G39&gt;0,$H39&gt;0),"⚠ both inflow and outflow entered",IF($K39="Missing","⚠ missing evidence","")))</f>
        <v/>
      </c>
    </row>
    <row r="40">
      <c r="A40" s="4" t="n"/>
      <c r="B40" s="27" t="n"/>
      <c r="C40" s="4" t="n"/>
      <c r="D40" s="4" t="n"/>
      <c r="E40" s="4" t="n"/>
      <c r="F40" s="4" t="n"/>
      <c r="G40" s="28" t="n"/>
      <c r="H40" s="28" t="n"/>
      <c r="I40" s="4" t="n"/>
      <c r="J40" s="4" t="n"/>
      <c r="K40" s="4" t="n"/>
      <c r="L40">
        <f>IF($A40="","",IF(AND(ISNUMBER($G40),ISNUMBER($H40),$G40&gt;0,$H40&gt;0),"⚠ both inflow and outflow entered",IF($K40="Missing","⚠ missing evidence","")))</f>
        <v/>
      </c>
    </row>
    <row r="41">
      <c r="A41" s="4" t="n"/>
      <c r="B41" s="27" t="n"/>
      <c r="C41" s="4" t="n"/>
      <c r="D41" s="4" t="n"/>
      <c r="E41" s="4" t="n"/>
      <c r="F41" s="4" t="n"/>
      <c r="G41" s="28" t="n"/>
      <c r="H41" s="28" t="n"/>
      <c r="I41" s="4" t="n"/>
      <c r="J41" s="4" t="n"/>
      <c r="K41" s="4" t="n"/>
      <c r="L41">
        <f>IF($A41="","",IF(AND(ISNUMBER($G41),ISNUMBER($H41),$G41&gt;0,$H41&gt;0),"⚠ both inflow and outflow entered",IF($K41="Missing","⚠ missing evidence","")))</f>
        <v/>
      </c>
    </row>
    <row r="42">
      <c r="A42" s="4" t="n"/>
      <c r="B42" s="27" t="n"/>
      <c r="C42" s="4" t="n"/>
      <c r="D42" s="4" t="n"/>
      <c r="E42" s="4" t="n"/>
      <c r="F42" s="4" t="n"/>
      <c r="G42" s="28" t="n"/>
      <c r="H42" s="28" t="n"/>
      <c r="I42" s="4" t="n"/>
      <c r="J42" s="4" t="n"/>
      <c r="K42" s="4" t="n"/>
      <c r="L42">
        <f>IF($A42="","",IF(AND(ISNUMBER($G42),ISNUMBER($H42),$G42&gt;0,$H42&gt;0),"⚠ both inflow and outflow entered",IF($K42="Missing","⚠ missing evidence","")))</f>
        <v/>
      </c>
    </row>
    <row r="43">
      <c r="A43" s="4" t="n"/>
      <c r="B43" s="27" t="n"/>
      <c r="C43" s="4" t="n"/>
      <c r="D43" s="4" t="n"/>
      <c r="E43" s="4" t="n"/>
      <c r="F43" s="4" t="n"/>
      <c r="G43" s="28" t="n"/>
      <c r="H43" s="28" t="n"/>
      <c r="I43" s="4" t="n"/>
      <c r="J43" s="4" t="n"/>
      <c r="K43" s="4" t="n"/>
      <c r="L43">
        <f>IF($A43="","",IF(AND(ISNUMBER($G43),ISNUMBER($H43),$G43&gt;0,$H43&gt;0),"⚠ both inflow and outflow entered",IF($K43="Missing","⚠ missing evidence","")))</f>
        <v/>
      </c>
    </row>
    <row r="44">
      <c r="A44" s="4" t="n"/>
      <c r="B44" s="27" t="n"/>
      <c r="C44" s="4" t="n"/>
      <c r="D44" s="4" t="n"/>
      <c r="E44" s="4" t="n"/>
      <c r="F44" s="4" t="n"/>
      <c r="G44" s="28" t="n"/>
      <c r="H44" s="28" t="n"/>
      <c r="I44" s="4" t="n"/>
      <c r="J44" s="4" t="n"/>
      <c r="K44" s="4" t="n"/>
      <c r="L44">
        <f>IF($A44="","",IF(AND(ISNUMBER($G44),ISNUMBER($H44),$G44&gt;0,$H44&gt;0),"⚠ both inflow and outflow entered",IF($K44="Missing","⚠ missing evidence","")))</f>
        <v/>
      </c>
    </row>
    <row r="45">
      <c r="A45" s="4" t="n"/>
      <c r="B45" s="27" t="n"/>
      <c r="C45" s="4" t="n"/>
      <c r="D45" s="4" t="n"/>
      <c r="E45" s="4" t="n"/>
      <c r="F45" s="4" t="n"/>
      <c r="G45" s="28" t="n"/>
      <c r="H45" s="28" t="n"/>
      <c r="I45" s="4" t="n"/>
      <c r="J45" s="4" t="n"/>
      <c r="K45" s="4" t="n"/>
      <c r="L45">
        <f>IF($A45="","",IF(AND(ISNUMBER($G45),ISNUMBER($H45),$G45&gt;0,$H45&gt;0),"⚠ both inflow and outflow entered",IF($K45="Missing","⚠ missing evidence","")))</f>
        <v/>
      </c>
    </row>
    <row r="46">
      <c r="A46" s="4" t="n"/>
      <c r="B46" s="27" t="n"/>
      <c r="C46" s="4" t="n"/>
      <c r="D46" s="4" t="n"/>
      <c r="E46" s="4" t="n"/>
      <c r="F46" s="4" t="n"/>
      <c r="G46" s="28" t="n"/>
      <c r="H46" s="28" t="n"/>
      <c r="I46" s="4" t="n"/>
      <c r="J46" s="4" t="n"/>
      <c r="K46" s="4" t="n"/>
      <c r="L46">
        <f>IF($A46="","",IF(AND(ISNUMBER($G46),ISNUMBER($H46),$G46&gt;0,$H46&gt;0),"⚠ both inflow and outflow entered",IF($K46="Missing","⚠ missing evidence","")))</f>
        <v/>
      </c>
    </row>
    <row r="47">
      <c r="A47" s="4" t="n"/>
      <c r="B47" s="27" t="n"/>
      <c r="C47" s="4" t="n"/>
      <c r="D47" s="4" t="n"/>
      <c r="E47" s="4" t="n"/>
      <c r="F47" s="4" t="n"/>
      <c r="G47" s="28" t="n"/>
      <c r="H47" s="28" t="n"/>
      <c r="I47" s="4" t="n"/>
      <c r="J47" s="4" t="n"/>
      <c r="K47" s="4" t="n"/>
      <c r="L47">
        <f>IF($A47="","",IF(AND(ISNUMBER($G47),ISNUMBER($H47),$G47&gt;0,$H47&gt;0),"⚠ both inflow and outflow entered",IF($K47="Missing","⚠ missing evidence","")))</f>
        <v/>
      </c>
    </row>
    <row r="48">
      <c r="A48" s="4" t="n"/>
      <c r="B48" s="27" t="n"/>
      <c r="C48" s="4" t="n"/>
      <c r="D48" s="4" t="n"/>
      <c r="E48" s="4" t="n"/>
      <c r="F48" s="4" t="n"/>
      <c r="G48" s="28" t="n"/>
      <c r="H48" s="28" t="n"/>
      <c r="I48" s="4" t="n"/>
      <c r="J48" s="4" t="n"/>
      <c r="K48" s="4" t="n"/>
      <c r="L48">
        <f>IF($A48="","",IF(AND(ISNUMBER($G48),ISNUMBER($H48),$G48&gt;0,$H48&gt;0),"⚠ both inflow and outflow entered",IF($K48="Missing","⚠ missing evidence","")))</f>
        <v/>
      </c>
    </row>
    <row r="49">
      <c r="A49" s="4" t="n"/>
      <c r="B49" s="27" t="n"/>
      <c r="C49" s="4" t="n"/>
      <c r="D49" s="4" t="n"/>
      <c r="E49" s="4" t="n"/>
      <c r="F49" s="4" t="n"/>
      <c r="G49" s="28" t="n"/>
      <c r="H49" s="28" t="n"/>
      <c r="I49" s="4" t="n"/>
      <c r="J49" s="4" t="n"/>
      <c r="K49" s="4" t="n"/>
      <c r="L49">
        <f>IF($A49="","",IF(AND(ISNUMBER($G49),ISNUMBER($H49),$G49&gt;0,$H49&gt;0),"⚠ both inflow and outflow entered",IF($K49="Missing","⚠ missing evidence","")))</f>
        <v/>
      </c>
    </row>
    <row r="50">
      <c r="A50" s="4" t="n"/>
      <c r="B50" s="27" t="n"/>
      <c r="C50" s="4" t="n"/>
      <c r="D50" s="4" t="n"/>
      <c r="E50" s="4" t="n"/>
      <c r="F50" s="4" t="n"/>
      <c r="G50" s="28" t="n"/>
      <c r="H50" s="28" t="n"/>
      <c r="I50" s="4" t="n"/>
      <c r="J50" s="4" t="n"/>
      <c r="K50" s="4" t="n"/>
      <c r="L50">
        <f>IF($A50="","",IF(AND(ISNUMBER($G50),ISNUMBER($H50),$G50&gt;0,$H50&gt;0),"⚠ both inflow and outflow entered",IF($K50="Missing","⚠ missing evidence","")))</f>
        <v/>
      </c>
    </row>
    <row r="51">
      <c r="A51" s="4" t="n"/>
      <c r="B51" s="27" t="n"/>
      <c r="C51" s="4" t="n"/>
      <c r="D51" s="4" t="n"/>
      <c r="E51" s="4" t="n"/>
      <c r="F51" s="4" t="n"/>
      <c r="G51" s="28" t="n"/>
      <c r="H51" s="28" t="n"/>
      <c r="I51" s="4" t="n"/>
      <c r="J51" s="4" t="n"/>
      <c r="K51" s="4" t="n"/>
      <c r="L51">
        <f>IF($A51="","",IF(AND(ISNUMBER($G51),ISNUMBER($H51),$G51&gt;0,$H51&gt;0),"⚠ both inflow and outflow entered",IF($K51="Missing","⚠ missing evidence","")))</f>
        <v/>
      </c>
    </row>
    <row r="52">
      <c r="A52" s="4" t="n"/>
      <c r="B52" s="27" t="n"/>
      <c r="C52" s="4" t="n"/>
      <c r="D52" s="4" t="n"/>
      <c r="E52" s="4" t="n"/>
      <c r="F52" s="4" t="n"/>
      <c r="G52" s="28" t="n"/>
      <c r="H52" s="28" t="n"/>
      <c r="I52" s="4" t="n"/>
      <c r="J52" s="4" t="n"/>
      <c r="K52" s="4" t="n"/>
      <c r="L52">
        <f>IF($A52="","",IF(AND(ISNUMBER($G52),ISNUMBER($H52),$G52&gt;0,$H52&gt;0),"⚠ both inflow and outflow entered",IF($K52="Missing","⚠ missing evidence","")))</f>
        <v/>
      </c>
    </row>
    <row r="53">
      <c r="A53" s="4" t="n"/>
      <c r="B53" s="27" t="n"/>
      <c r="C53" s="4" t="n"/>
      <c r="D53" s="4" t="n"/>
      <c r="E53" s="4" t="n"/>
      <c r="F53" s="4" t="n"/>
      <c r="G53" s="28" t="n"/>
      <c r="H53" s="28" t="n"/>
      <c r="I53" s="4" t="n"/>
      <c r="J53" s="4" t="n"/>
      <c r="K53" s="4" t="n"/>
      <c r="L53">
        <f>IF($A53="","",IF(AND(ISNUMBER($G53),ISNUMBER($H53),$G53&gt;0,$H53&gt;0),"⚠ both inflow and outflow entered",IF($K53="Missing","⚠ missing evidence","")))</f>
        <v/>
      </c>
    </row>
    <row r="54">
      <c r="A54" s="4" t="n"/>
      <c r="B54" s="27" t="n"/>
      <c r="C54" s="4" t="n"/>
      <c r="D54" s="4" t="n"/>
      <c r="E54" s="4" t="n"/>
      <c r="F54" s="4" t="n"/>
      <c r="G54" s="28" t="n"/>
      <c r="H54" s="28" t="n"/>
      <c r="I54" s="4" t="n"/>
      <c r="J54" s="4" t="n"/>
      <c r="K54" s="4" t="n"/>
      <c r="L54">
        <f>IF($A54="","",IF(AND(ISNUMBER($G54),ISNUMBER($H54),$G54&gt;0,$H54&gt;0),"⚠ both inflow and outflow entered",IF($K54="Missing","⚠ missing evidence","")))</f>
        <v/>
      </c>
    </row>
    <row r="55">
      <c r="A55" s="4" t="n"/>
      <c r="B55" s="27" t="n"/>
      <c r="C55" s="4" t="n"/>
      <c r="D55" s="4" t="n"/>
      <c r="E55" s="4" t="n"/>
      <c r="F55" s="4" t="n"/>
      <c r="G55" s="28" t="n"/>
      <c r="H55" s="28" t="n"/>
      <c r="I55" s="4" t="n"/>
      <c r="J55" s="4" t="n"/>
      <c r="K55" s="4" t="n"/>
      <c r="L55">
        <f>IF($A55="","",IF(AND(ISNUMBER($G55),ISNUMBER($H55),$G55&gt;0,$H55&gt;0),"⚠ both inflow and outflow entered",IF($K55="Missing","⚠ missing evidence","")))</f>
        <v/>
      </c>
    </row>
    <row r="56">
      <c r="A56" s="4" t="n"/>
      <c r="B56" s="27" t="n"/>
      <c r="C56" s="4" t="n"/>
      <c r="D56" s="4" t="n"/>
      <c r="E56" s="4" t="n"/>
      <c r="F56" s="4" t="n"/>
      <c r="G56" s="28" t="n"/>
      <c r="H56" s="28" t="n"/>
      <c r="I56" s="4" t="n"/>
      <c r="J56" s="4" t="n"/>
      <c r="K56" s="4" t="n"/>
      <c r="L56">
        <f>IF($A56="","",IF(AND(ISNUMBER($G56),ISNUMBER($H56),$G56&gt;0,$H56&gt;0),"⚠ both inflow and outflow entered",IF($K56="Missing","⚠ missing evidence","")))</f>
        <v/>
      </c>
    </row>
    <row r="57">
      <c r="A57" s="4" t="n"/>
      <c r="B57" s="27" t="n"/>
      <c r="C57" s="4" t="n"/>
      <c r="D57" s="4" t="n"/>
      <c r="E57" s="4" t="n"/>
      <c r="F57" s="4" t="n"/>
      <c r="G57" s="28" t="n"/>
      <c r="H57" s="28" t="n"/>
      <c r="I57" s="4" t="n"/>
      <c r="J57" s="4" t="n"/>
      <c r="K57" s="4" t="n"/>
      <c r="L57">
        <f>IF($A57="","",IF(AND(ISNUMBER($G57),ISNUMBER($H57),$G57&gt;0,$H57&gt;0),"⚠ both inflow and outflow entered",IF($K57="Missing","⚠ missing evidence","")))</f>
        <v/>
      </c>
    </row>
    <row r="58">
      <c r="A58" s="4" t="n"/>
      <c r="B58" s="27" t="n"/>
      <c r="C58" s="4" t="n"/>
      <c r="D58" s="4" t="n"/>
      <c r="E58" s="4" t="n"/>
      <c r="F58" s="4" t="n"/>
      <c r="G58" s="28" t="n"/>
      <c r="H58" s="28" t="n"/>
      <c r="I58" s="4" t="n"/>
      <c r="J58" s="4" t="n"/>
      <c r="K58" s="4" t="n"/>
      <c r="L58">
        <f>IF($A58="","",IF(AND(ISNUMBER($G58),ISNUMBER($H58),$G58&gt;0,$H58&gt;0),"⚠ both inflow and outflow entered",IF($K58="Missing","⚠ missing evidence","")))</f>
        <v/>
      </c>
    </row>
    <row r="59">
      <c r="A59" s="4" t="n"/>
      <c r="B59" s="27" t="n"/>
      <c r="C59" s="4" t="n"/>
      <c r="D59" s="4" t="n"/>
      <c r="E59" s="4" t="n"/>
      <c r="F59" s="4" t="n"/>
      <c r="G59" s="28" t="n"/>
      <c r="H59" s="28" t="n"/>
      <c r="I59" s="4" t="n"/>
      <c r="J59" s="4" t="n"/>
      <c r="K59" s="4" t="n"/>
      <c r="L59">
        <f>IF($A59="","",IF(AND(ISNUMBER($G59),ISNUMBER($H59),$G59&gt;0,$H59&gt;0),"⚠ both inflow and outflow entered",IF($K59="Missing","⚠ missing evidence","")))</f>
        <v/>
      </c>
    </row>
    <row r="60">
      <c r="A60" s="4" t="n"/>
      <c r="B60" s="27" t="n"/>
      <c r="C60" s="4" t="n"/>
      <c r="D60" s="4" t="n"/>
      <c r="E60" s="4" t="n"/>
      <c r="F60" s="4" t="n"/>
      <c r="G60" s="28" t="n"/>
      <c r="H60" s="28" t="n"/>
      <c r="I60" s="4" t="n"/>
      <c r="J60" s="4" t="n"/>
      <c r="K60" s="4" t="n"/>
      <c r="L60">
        <f>IF($A60="","",IF(AND(ISNUMBER($G60),ISNUMBER($H60),$G60&gt;0,$H60&gt;0),"⚠ both inflow and outflow entered",IF($K60="Missing","⚠ missing evidence","")))</f>
        <v/>
      </c>
    </row>
    <row r="61">
      <c r="A61" s="4" t="n"/>
      <c r="B61" s="27" t="n"/>
      <c r="C61" s="4" t="n"/>
      <c r="D61" s="4" t="n"/>
      <c r="E61" s="4" t="n"/>
      <c r="F61" s="4" t="n"/>
      <c r="G61" s="28" t="n"/>
      <c r="H61" s="28" t="n"/>
      <c r="I61" s="4" t="n"/>
      <c r="J61" s="4" t="n"/>
      <c r="K61" s="4" t="n"/>
      <c r="L61">
        <f>IF($A61="","",IF(AND(ISNUMBER($G61),ISNUMBER($H61),$G61&gt;0,$H61&gt;0),"⚠ both inflow and outflow entered",IF($K61="Missing","⚠ missing evidence","")))</f>
        <v/>
      </c>
    </row>
    <row r="62">
      <c r="A62" s="4" t="n"/>
      <c r="B62" s="27" t="n"/>
      <c r="C62" s="4" t="n"/>
      <c r="D62" s="4" t="n"/>
      <c r="E62" s="4" t="n"/>
      <c r="F62" s="4" t="n"/>
      <c r="G62" s="28" t="n"/>
      <c r="H62" s="28" t="n"/>
      <c r="I62" s="4" t="n"/>
      <c r="J62" s="4" t="n"/>
      <c r="K62" s="4" t="n"/>
      <c r="L62">
        <f>IF($A62="","",IF(AND(ISNUMBER($G62),ISNUMBER($H62),$G62&gt;0,$H62&gt;0),"⚠ both inflow and outflow entered",IF($K62="Missing","⚠ missing evidence","")))</f>
        <v/>
      </c>
    </row>
    <row r="63">
      <c r="A63" s="4" t="n"/>
      <c r="B63" s="27" t="n"/>
      <c r="C63" s="4" t="n"/>
      <c r="D63" s="4" t="n"/>
      <c r="E63" s="4" t="n"/>
      <c r="F63" s="4" t="n"/>
      <c r="G63" s="28" t="n"/>
      <c r="H63" s="28" t="n"/>
      <c r="I63" s="4" t="n"/>
      <c r="J63" s="4" t="n"/>
      <c r="K63" s="4" t="n"/>
      <c r="L63">
        <f>IF($A63="","",IF(AND(ISNUMBER($G63),ISNUMBER($H63),$G63&gt;0,$H63&gt;0),"⚠ both inflow and outflow entered",IF($K63="Missing","⚠ missing evidence","")))</f>
        <v/>
      </c>
    </row>
    <row r="64">
      <c r="A64" s="4" t="n"/>
      <c r="B64" s="27" t="n"/>
      <c r="C64" s="4" t="n"/>
      <c r="D64" s="4" t="n"/>
      <c r="E64" s="4" t="n"/>
      <c r="F64" s="4" t="n"/>
      <c r="G64" s="28" t="n"/>
      <c r="H64" s="28" t="n"/>
      <c r="I64" s="4" t="n"/>
      <c r="J64" s="4" t="n"/>
      <c r="K64" s="4" t="n"/>
      <c r="L64">
        <f>IF($A64="","",IF(AND(ISNUMBER($G64),ISNUMBER($H64),$G64&gt;0,$H64&gt;0),"⚠ both inflow and outflow entered",IF($K64="Missing","⚠ missing evidence","")))</f>
        <v/>
      </c>
    </row>
    <row r="65">
      <c r="A65" s="4" t="n"/>
      <c r="B65" s="27" t="n"/>
      <c r="C65" s="4" t="n"/>
      <c r="D65" s="4" t="n"/>
      <c r="E65" s="4" t="n"/>
      <c r="F65" s="4" t="n"/>
      <c r="G65" s="28" t="n"/>
      <c r="H65" s="28" t="n"/>
      <c r="I65" s="4" t="n"/>
      <c r="J65" s="4" t="n"/>
      <c r="K65" s="4" t="n"/>
      <c r="L65">
        <f>IF($A65="","",IF(AND(ISNUMBER($G65),ISNUMBER($H65),$G65&gt;0,$H65&gt;0),"⚠ both inflow and outflow entered",IF($K65="Missing","⚠ missing evidence","")))</f>
        <v/>
      </c>
    </row>
    <row r="66">
      <c r="A66" s="4" t="n"/>
      <c r="B66" s="27" t="n"/>
      <c r="C66" s="4" t="n"/>
      <c r="D66" s="4" t="n"/>
      <c r="E66" s="4" t="n"/>
      <c r="F66" s="4" t="n"/>
      <c r="G66" s="28" t="n"/>
      <c r="H66" s="28" t="n"/>
      <c r="I66" s="4" t="n"/>
      <c r="J66" s="4" t="n"/>
      <c r="K66" s="4" t="n"/>
      <c r="L66">
        <f>IF($A66="","",IF(AND(ISNUMBER($G66),ISNUMBER($H66),$G66&gt;0,$H66&gt;0),"⚠ both inflow and outflow entered",IF($K66="Missing","⚠ missing evidence","")))</f>
        <v/>
      </c>
    </row>
    <row r="67">
      <c r="A67" s="4" t="n"/>
      <c r="B67" s="27" t="n"/>
      <c r="C67" s="4" t="n"/>
      <c r="D67" s="4" t="n"/>
      <c r="E67" s="4" t="n"/>
      <c r="F67" s="4" t="n"/>
      <c r="G67" s="28" t="n"/>
      <c r="H67" s="28" t="n"/>
      <c r="I67" s="4" t="n"/>
      <c r="J67" s="4" t="n"/>
      <c r="K67" s="4" t="n"/>
      <c r="L67">
        <f>IF($A67="","",IF(AND(ISNUMBER($G67),ISNUMBER($H67),$G67&gt;0,$H67&gt;0),"⚠ both inflow and outflow entered",IF($K67="Missing","⚠ missing evidence","")))</f>
        <v/>
      </c>
    </row>
    <row r="68">
      <c r="A68" s="4" t="n"/>
      <c r="B68" s="27" t="n"/>
      <c r="C68" s="4" t="n"/>
      <c r="D68" s="4" t="n"/>
      <c r="E68" s="4" t="n"/>
      <c r="F68" s="4" t="n"/>
      <c r="G68" s="28" t="n"/>
      <c r="H68" s="28" t="n"/>
      <c r="I68" s="4" t="n"/>
      <c r="J68" s="4" t="n"/>
      <c r="K68" s="4" t="n"/>
      <c r="L68">
        <f>IF($A68="","",IF(AND(ISNUMBER($G68),ISNUMBER($H68),$G68&gt;0,$H68&gt;0),"⚠ both inflow and outflow entered",IF($K68="Missing","⚠ missing evidence","")))</f>
        <v/>
      </c>
    </row>
    <row r="69">
      <c r="A69" s="4" t="n"/>
      <c r="B69" s="27" t="n"/>
      <c r="C69" s="4" t="n"/>
      <c r="D69" s="4" t="n"/>
      <c r="E69" s="4" t="n"/>
      <c r="F69" s="4" t="n"/>
      <c r="G69" s="28" t="n"/>
      <c r="H69" s="28" t="n"/>
      <c r="I69" s="4" t="n"/>
      <c r="J69" s="4" t="n"/>
      <c r="K69" s="4" t="n"/>
      <c r="L69">
        <f>IF($A69="","",IF(AND(ISNUMBER($G69),ISNUMBER($H69),$G69&gt;0,$H69&gt;0),"⚠ both inflow and outflow entered",IF($K69="Missing","⚠ missing evidence","")))</f>
        <v/>
      </c>
    </row>
    <row r="70">
      <c r="A70" s="4" t="n"/>
      <c r="B70" s="27" t="n"/>
      <c r="C70" s="4" t="n"/>
      <c r="D70" s="4" t="n"/>
      <c r="E70" s="4" t="n"/>
      <c r="F70" s="4" t="n"/>
      <c r="G70" s="28" t="n"/>
      <c r="H70" s="28" t="n"/>
      <c r="I70" s="4" t="n"/>
      <c r="J70" s="4" t="n"/>
      <c r="K70" s="4" t="n"/>
      <c r="L70">
        <f>IF($A70="","",IF(AND(ISNUMBER($G70),ISNUMBER($H70),$G70&gt;0,$H70&gt;0),"⚠ both inflow and outflow entered",IF($K70="Missing","⚠ missing evidence","")))</f>
        <v/>
      </c>
    </row>
    <row r="71">
      <c r="A71" s="4" t="n"/>
      <c r="B71" s="27" t="n"/>
      <c r="C71" s="4" t="n"/>
      <c r="D71" s="4" t="n"/>
      <c r="E71" s="4" t="n"/>
      <c r="F71" s="4" t="n"/>
      <c r="G71" s="28" t="n"/>
      <c r="H71" s="28" t="n"/>
      <c r="I71" s="4" t="n"/>
      <c r="J71" s="4" t="n"/>
      <c r="K71" s="4" t="n"/>
      <c r="L71">
        <f>IF($A71="","",IF(AND(ISNUMBER($G71),ISNUMBER($H71),$G71&gt;0,$H71&gt;0),"⚠ both inflow and outflow entered",IF($K71="Missing","⚠ missing evidence","")))</f>
        <v/>
      </c>
    </row>
    <row r="72">
      <c r="A72" s="4" t="n"/>
      <c r="B72" s="27" t="n"/>
      <c r="C72" s="4" t="n"/>
      <c r="D72" s="4" t="n"/>
      <c r="E72" s="4" t="n"/>
      <c r="F72" s="4" t="n"/>
      <c r="G72" s="28" t="n"/>
      <c r="H72" s="28" t="n"/>
      <c r="I72" s="4" t="n"/>
      <c r="J72" s="4" t="n"/>
      <c r="K72" s="4" t="n"/>
      <c r="L72">
        <f>IF($A72="","",IF(AND(ISNUMBER($G72),ISNUMBER($H72),$G72&gt;0,$H72&gt;0),"⚠ both inflow and outflow entered",IF($K72="Missing","⚠ missing evidence","")))</f>
        <v/>
      </c>
    </row>
    <row r="73">
      <c r="A73" s="4" t="n"/>
      <c r="B73" s="27" t="n"/>
      <c r="C73" s="4" t="n"/>
      <c r="D73" s="4" t="n"/>
      <c r="E73" s="4" t="n"/>
      <c r="F73" s="4" t="n"/>
      <c r="G73" s="28" t="n"/>
      <c r="H73" s="28" t="n"/>
      <c r="I73" s="4" t="n"/>
      <c r="J73" s="4" t="n"/>
      <c r="K73" s="4" t="n"/>
      <c r="L73">
        <f>IF($A73="","",IF(AND(ISNUMBER($G73),ISNUMBER($H73),$G73&gt;0,$H73&gt;0),"⚠ both inflow and outflow entered",IF($K73="Missing","⚠ missing evidence","")))</f>
        <v/>
      </c>
    </row>
    <row r="74">
      <c r="A74" s="4" t="n"/>
      <c r="B74" s="27" t="n"/>
      <c r="C74" s="4" t="n"/>
      <c r="D74" s="4" t="n"/>
      <c r="E74" s="4" t="n"/>
      <c r="F74" s="4" t="n"/>
      <c r="G74" s="28" t="n"/>
      <c r="H74" s="28" t="n"/>
      <c r="I74" s="4" t="n"/>
      <c r="J74" s="4" t="n"/>
      <c r="K74" s="4" t="n"/>
      <c r="L74">
        <f>IF($A74="","",IF(AND(ISNUMBER($G74),ISNUMBER($H74),$G74&gt;0,$H74&gt;0),"⚠ both inflow and outflow entered",IF($K74="Missing","⚠ missing evidence","")))</f>
        <v/>
      </c>
    </row>
    <row r="75">
      <c r="A75" s="4" t="n"/>
      <c r="B75" s="27" t="n"/>
      <c r="C75" s="4" t="n"/>
      <c r="D75" s="4" t="n"/>
      <c r="E75" s="4" t="n"/>
      <c r="F75" s="4" t="n"/>
      <c r="G75" s="28" t="n"/>
      <c r="H75" s="28" t="n"/>
      <c r="I75" s="4" t="n"/>
      <c r="J75" s="4" t="n"/>
      <c r="K75" s="4" t="n"/>
      <c r="L75">
        <f>IF($A75="","",IF(AND(ISNUMBER($G75),ISNUMBER($H75),$G75&gt;0,$H75&gt;0),"⚠ both inflow and outflow entered",IF($K75="Missing","⚠ missing evidence","")))</f>
        <v/>
      </c>
    </row>
    <row r="76">
      <c r="A76" s="4" t="n"/>
      <c r="B76" s="27" t="n"/>
      <c r="C76" s="4" t="n"/>
      <c r="D76" s="4" t="n"/>
      <c r="E76" s="4" t="n"/>
      <c r="F76" s="4" t="n"/>
      <c r="G76" s="28" t="n"/>
      <c r="H76" s="28" t="n"/>
      <c r="I76" s="4" t="n"/>
      <c r="J76" s="4" t="n"/>
      <c r="K76" s="4" t="n"/>
      <c r="L76">
        <f>IF($A76="","",IF(AND(ISNUMBER($G76),ISNUMBER($H76),$G76&gt;0,$H76&gt;0),"⚠ both inflow and outflow entered",IF($K76="Missing","⚠ missing evidence","")))</f>
        <v/>
      </c>
    </row>
    <row r="77">
      <c r="A77" s="4" t="n"/>
      <c r="B77" s="27" t="n"/>
      <c r="C77" s="4" t="n"/>
      <c r="D77" s="4" t="n"/>
      <c r="E77" s="4" t="n"/>
      <c r="F77" s="4" t="n"/>
      <c r="G77" s="28" t="n"/>
      <c r="H77" s="28" t="n"/>
      <c r="I77" s="4" t="n"/>
      <c r="J77" s="4" t="n"/>
      <c r="K77" s="4" t="n"/>
      <c r="L77">
        <f>IF($A77="","",IF(AND(ISNUMBER($G77),ISNUMBER($H77),$G77&gt;0,$H77&gt;0),"⚠ both inflow and outflow entered",IF($K77="Missing","⚠ missing evidence","")))</f>
        <v/>
      </c>
    </row>
    <row r="78">
      <c r="A78" s="4" t="n"/>
      <c r="B78" s="27" t="n"/>
      <c r="C78" s="4" t="n"/>
      <c r="D78" s="4" t="n"/>
      <c r="E78" s="4" t="n"/>
      <c r="F78" s="4" t="n"/>
      <c r="G78" s="28" t="n"/>
      <c r="H78" s="28" t="n"/>
      <c r="I78" s="4" t="n"/>
      <c r="J78" s="4" t="n"/>
      <c r="K78" s="4" t="n"/>
      <c r="L78">
        <f>IF($A78="","",IF(AND(ISNUMBER($G78),ISNUMBER($H78),$G78&gt;0,$H78&gt;0),"⚠ both inflow and outflow entered",IF($K78="Missing","⚠ missing evidence","")))</f>
        <v/>
      </c>
    </row>
    <row r="79">
      <c r="A79" s="4" t="n"/>
      <c r="B79" s="27" t="n"/>
      <c r="C79" s="4" t="n"/>
      <c r="D79" s="4" t="n"/>
      <c r="E79" s="4" t="n"/>
      <c r="F79" s="4" t="n"/>
      <c r="G79" s="28" t="n"/>
      <c r="H79" s="28" t="n"/>
      <c r="I79" s="4" t="n"/>
      <c r="J79" s="4" t="n"/>
      <c r="K79" s="4" t="n"/>
      <c r="L79">
        <f>IF($A79="","",IF(AND(ISNUMBER($G79),ISNUMBER($H79),$G79&gt;0,$H79&gt;0),"⚠ both inflow and outflow entered",IF($K79="Missing","⚠ missing evidence","")))</f>
        <v/>
      </c>
    </row>
    <row r="80">
      <c r="A80" s="4" t="n"/>
      <c r="B80" s="27" t="n"/>
      <c r="C80" s="4" t="n"/>
      <c r="D80" s="4" t="n"/>
      <c r="E80" s="4" t="n"/>
      <c r="F80" s="4" t="n"/>
      <c r="G80" s="28" t="n"/>
      <c r="H80" s="28" t="n"/>
      <c r="I80" s="4" t="n"/>
      <c r="J80" s="4" t="n"/>
      <c r="K80" s="4" t="n"/>
      <c r="L80">
        <f>IF($A80="","",IF(AND(ISNUMBER($G80),ISNUMBER($H80),$G80&gt;0,$H80&gt;0),"⚠ both inflow and outflow entered",IF($K80="Missing","⚠ missing evidence","")))</f>
        <v/>
      </c>
    </row>
    <row r="81">
      <c r="A81" s="4" t="n"/>
      <c r="B81" s="27" t="n"/>
      <c r="C81" s="4" t="n"/>
      <c r="D81" s="4" t="n"/>
      <c r="E81" s="4" t="n"/>
      <c r="F81" s="4" t="n"/>
      <c r="G81" s="28" t="n"/>
      <c r="H81" s="28" t="n"/>
      <c r="I81" s="4" t="n"/>
      <c r="J81" s="4" t="n"/>
      <c r="K81" s="4" t="n"/>
      <c r="L81">
        <f>IF($A81="","",IF(AND(ISNUMBER($G81),ISNUMBER($H81),$G81&gt;0,$H81&gt;0),"⚠ both inflow and outflow entered",IF($K81="Missing","⚠ missing evidence","")))</f>
        <v/>
      </c>
    </row>
    <row r="82">
      <c r="A82" s="4" t="n"/>
      <c r="B82" s="27" t="n"/>
      <c r="C82" s="4" t="n"/>
      <c r="D82" s="4" t="n"/>
      <c r="E82" s="4" t="n"/>
      <c r="F82" s="4" t="n"/>
      <c r="G82" s="28" t="n"/>
      <c r="H82" s="28" t="n"/>
      <c r="I82" s="4" t="n"/>
      <c r="J82" s="4" t="n"/>
      <c r="K82" s="4" t="n"/>
      <c r="L82">
        <f>IF($A82="","",IF(AND(ISNUMBER($G82),ISNUMBER($H82),$G82&gt;0,$H82&gt;0),"⚠ both inflow and outflow entered",IF($K82="Missing","⚠ missing evidence","")))</f>
        <v/>
      </c>
    </row>
    <row r="83">
      <c r="A83" s="4" t="n"/>
      <c r="B83" s="27" t="n"/>
      <c r="C83" s="4" t="n"/>
      <c r="D83" s="4" t="n"/>
      <c r="E83" s="4" t="n"/>
      <c r="F83" s="4" t="n"/>
      <c r="G83" s="28" t="n"/>
      <c r="H83" s="28" t="n"/>
      <c r="I83" s="4" t="n"/>
      <c r="J83" s="4" t="n"/>
      <c r="K83" s="4" t="n"/>
      <c r="L83">
        <f>IF($A83="","",IF(AND(ISNUMBER($G83),ISNUMBER($H83),$G83&gt;0,$H83&gt;0),"⚠ both inflow and outflow entered",IF($K83="Missing","⚠ missing evidence","")))</f>
        <v/>
      </c>
    </row>
    <row r="84">
      <c r="A84" s="4" t="n"/>
      <c r="B84" s="27" t="n"/>
      <c r="C84" s="4" t="n"/>
      <c r="D84" s="4" t="n"/>
      <c r="E84" s="4" t="n"/>
      <c r="F84" s="4" t="n"/>
      <c r="G84" s="28" t="n"/>
      <c r="H84" s="28" t="n"/>
      <c r="I84" s="4" t="n"/>
      <c r="J84" s="4" t="n"/>
      <c r="K84" s="4" t="n"/>
      <c r="L84">
        <f>IF($A84="","",IF(AND(ISNUMBER($G84),ISNUMBER($H84),$G84&gt;0,$H84&gt;0),"⚠ both inflow and outflow entered",IF($K84="Missing","⚠ missing evidence","")))</f>
        <v/>
      </c>
    </row>
    <row r="85">
      <c r="A85" s="4" t="n"/>
      <c r="B85" s="27" t="n"/>
      <c r="C85" s="4" t="n"/>
      <c r="D85" s="4" t="n"/>
      <c r="E85" s="4" t="n"/>
      <c r="F85" s="4" t="n"/>
      <c r="G85" s="28" t="n"/>
      <c r="H85" s="28" t="n"/>
      <c r="I85" s="4" t="n"/>
      <c r="J85" s="4" t="n"/>
      <c r="K85" s="4" t="n"/>
      <c r="L85">
        <f>IF($A85="","",IF(AND(ISNUMBER($G85),ISNUMBER($H85),$G85&gt;0,$H85&gt;0),"⚠ both inflow and outflow entered",IF($K85="Missing","⚠ missing evidence","")))</f>
        <v/>
      </c>
    </row>
    <row r="86">
      <c r="A86" s="4" t="n"/>
      <c r="B86" s="27" t="n"/>
      <c r="C86" s="4" t="n"/>
      <c r="D86" s="4" t="n"/>
      <c r="E86" s="4" t="n"/>
      <c r="F86" s="4" t="n"/>
      <c r="G86" s="28" t="n"/>
      <c r="H86" s="28" t="n"/>
      <c r="I86" s="4" t="n"/>
      <c r="J86" s="4" t="n"/>
      <c r="K86" s="4" t="n"/>
      <c r="L86">
        <f>IF($A86="","",IF(AND(ISNUMBER($G86),ISNUMBER($H86),$G86&gt;0,$H86&gt;0),"⚠ both inflow and outflow entered",IF($K86="Missing","⚠ missing evidence","")))</f>
        <v/>
      </c>
    </row>
    <row r="87">
      <c r="A87" s="4" t="n"/>
      <c r="B87" s="27" t="n"/>
      <c r="C87" s="4" t="n"/>
      <c r="D87" s="4" t="n"/>
      <c r="E87" s="4" t="n"/>
      <c r="F87" s="4" t="n"/>
      <c r="G87" s="28" t="n"/>
      <c r="H87" s="28" t="n"/>
      <c r="I87" s="4" t="n"/>
      <c r="J87" s="4" t="n"/>
      <c r="K87" s="4" t="n"/>
      <c r="L87">
        <f>IF($A87="","",IF(AND(ISNUMBER($G87),ISNUMBER($H87),$G87&gt;0,$H87&gt;0),"⚠ both inflow and outflow entered",IF($K87="Missing","⚠ missing evidence","")))</f>
        <v/>
      </c>
    </row>
    <row r="88">
      <c r="A88" s="4" t="n"/>
      <c r="B88" s="27" t="n"/>
      <c r="C88" s="4" t="n"/>
      <c r="D88" s="4" t="n"/>
      <c r="E88" s="4" t="n"/>
      <c r="F88" s="4" t="n"/>
      <c r="G88" s="28" t="n"/>
      <c r="H88" s="28" t="n"/>
      <c r="I88" s="4" t="n"/>
      <c r="J88" s="4" t="n"/>
      <c r="K88" s="4" t="n"/>
      <c r="L88">
        <f>IF($A88="","",IF(AND(ISNUMBER($G88),ISNUMBER($H88),$G88&gt;0,$H88&gt;0),"⚠ both inflow and outflow entered",IF($K88="Missing","⚠ missing evidence","")))</f>
        <v/>
      </c>
    </row>
    <row r="89">
      <c r="A89" s="4" t="n"/>
      <c r="B89" s="27" t="n"/>
      <c r="C89" s="4" t="n"/>
      <c r="D89" s="4" t="n"/>
      <c r="E89" s="4" t="n"/>
      <c r="F89" s="4" t="n"/>
      <c r="G89" s="28" t="n"/>
      <c r="H89" s="28" t="n"/>
      <c r="I89" s="4" t="n"/>
      <c r="J89" s="4" t="n"/>
      <c r="K89" s="4" t="n"/>
      <c r="L89">
        <f>IF($A89="","",IF(AND(ISNUMBER($G89),ISNUMBER($H89),$G89&gt;0,$H89&gt;0),"⚠ both inflow and outflow entered",IF($K89="Missing","⚠ missing evidence","")))</f>
        <v/>
      </c>
    </row>
    <row r="90">
      <c r="A90" s="4" t="n"/>
      <c r="B90" s="27" t="n"/>
      <c r="C90" s="4" t="n"/>
      <c r="D90" s="4" t="n"/>
      <c r="E90" s="4" t="n"/>
      <c r="F90" s="4" t="n"/>
      <c r="G90" s="28" t="n"/>
      <c r="H90" s="28" t="n"/>
      <c r="I90" s="4" t="n"/>
      <c r="J90" s="4" t="n"/>
      <c r="K90" s="4" t="n"/>
      <c r="L90">
        <f>IF($A90="","",IF(AND(ISNUMBER($G90),ISNUMBER($H90),$G90&gt;0,$H90&gt;0),"⚠ both inflow and outflow entered",IF($K90="Missing","⚠ missing evidence","")))</f>
        <v/>
      </c>
    </row>
    <row r="91">
      <c r="A91" s="4" t="n"/>
      <c r="B91" s="27" t="n"/>
      <c r="C91" s="4" t="n"/>
      <c r="D91" s="4" t="n"/>
      <c r="E91" s="4" t="n"/>
      <c r="F91" s="4" t="n"/>
      <c r="G91" s="28" t="n"/>
      <c r="H91" s="28" t="n"/>
      <c r="I91" s="4" t="n"/>
      <c r="J91" s="4" t="n"/>
      <c r="K91" s="4" t="n"/>
      <c r="L91">
        <f>IF($A91="","",IF(AND(ISNUMBER($G91),ISNUMBER($H91),$G91&gt;0,$H91&gt;0),"⚠ both inflow and outflow entered",IF($K91="Missing","⚠ missing evidence","")))</f>
        <v/>
      </c>
    </row>
    <row r="92">
      <c r="A92" s="4" t="n"/>
      <c r="B92" s="27" t="n"/>
      <c r="C92" s="4" t="n"/>
      <c r="D92" s="4" t="n"/>
      <c r="E92" s="4" t="n"/>
      <c r="F92" s="4" t="n"/>
      <c r="G92" s="28" t="n"/>
      <c r="H92" s="28" t="n"/>
      <c r="I92" s="4" t="n"/>
      <c r="J92" s="4" t="n"/>
      <c r="K92" s="4" t="n"/>
      <c r="L92">
        <f>IF($A92="","",IF(AND(ISNUMBER($G92),ISNUMBER($H92),$G92&gt;0,$H92&gt;0),"⚠ both inflow and outflow entered",IF($K92="Missing","⚠ missing evidence","")))</f>
        <v/>
      </c>
    </row>
    <row r="93">
      <c r="A93" s="4" t="n"/>
      <c r="B93" s="27" t="n"/>
      <c r="C93" s="4" t="n"/>
      <c r="D93" s="4" t="n"/>
      <c r="E93" s="4" t="n"/>
      <c r="F93" s="4" t="n"/>
      <c r="G93" s="28" t="n"/>
      <c r="H93" s="28" t="n"/>
      <c r="I93" s="4" t="n"/>
      <c r="J93" s="4" t="n"/>
      <c r="K93" s="4" t="n"/>
      <c r="L93">
        <f>IF($A93="","",IF(AND(ISNUMBER($G93),ISNUMBER($H93),$G93&gt;0,$H93&gt;0),"⚠ both inflow and outflow entered",IF($K93="Missing","⚠ missing evidence","")))</f>
        <v/>
      </c>
    </row>
    <row r="94">
      <c r="A94" s="4" t="n"/>
      <c r="B94" s="27" t="n"/>
      <c r="C94" s="4" t="n"/>
      <c r="D94" s="4" t="n"/>
      <c r="E94" s="4" t="n"/>
      <c r="F94" s="4" t="n"/>
      <c r="G94" s="28" t="n"/>
      <c r="H94" s="28" t="n"/>
      <c r="I94" s="4" t="n"/>
      <c r="J94" s="4" t="n"/>
      <c r="K94" s="4" t="n"/>
      <c r="L94">
        <f>IF($A94="","",IF(AND(ISNUMBER($G94),ISNUMBER($H94),$G94&gt;0,$H94&gt;0),"⚠ both inflow and outflow entered",IF($K94="Missing","⚠ missing evidence","")))</f>
        <v/>
      </c>
    </row>
    <row r="95">
      <c r="A95" s="4" t="n"/>
      <c r="B95" s="27" t="n"/>
      <c r="C95" s="4" t="n"/>
      <c r="D95" s="4" t="n"/>
      <c r="E95" s="4" t="n"/>
      <c r="F95" s="4" t="n"/>
      <c r="G95" s="28" t="n"/>
      <c r="H95" s="28" t="n"/>
      <c r="I95" s="4" t="n"/>
      <c r="J95" s="4" t="n"/>
      <c r="K95" s="4" t="n"/>
      <c r="L95">
        <f>IF($A95="","",IF(AND(ISNUMBER($G95),ISNUMBER($H95),$G95&gt;0,$H95&gt;0),"⚠ both inflow and outflow entered",IF($K95="Missing","⚠ missing evidence","")))</f>
        <v/>
      </c>
    </row>
    <row r="96">
      <c r="A96" s="4" t="n"/>
      <c r="B96" s="27" t="n"/>
      <c r="C96" s="4" t="n"/>
      <c r="D96" s="4" t="n"/>
      <c r="E96" s="4" t="n"/>
      <c r="F96" s="4" t="n"/>
      <c r="G96" s="28" t="n"/>
      <c r="H96" s="28" t="n"/>
      <c r="I96" s="4" t="n"/>
      <c r="J96" s="4" t="n"/>
      <c r="K96" s="4" t="n"/>
      <c r="L96">
        <f>IF($A96="","",IF(AND(ISNUMBER($G96),ISNUMBER($H96),$G96&gt;0,$H96&gt;0),"⚠ both inflow and outflow entered",IF($K96="Missing","⚠ missing evidence","")))</f>
        <v/>
      </c>
    </row>
    <row r="97">
      <c r="A97" s="4" t="n"/>
      <c r="B97" s="27" t="n"/>
      <c r="C97" s="4" t="n"/>
      <c r="D97" s="4" t="n"/>
      <c r="E97" s="4" t="n"/>
      <c r="F97" s="4" t="n"/>
      <c r="G97" s="28" t="n"/>
      <c r="H97" s="28" t="n"/>
      <c r="I97" s="4" t="n"/>
      <c r="J97" s="4" t="n"/>
      <c r="K97" s="4" t="n"/>
      <c r="L97">
        <f>IF($A97="","",IF(AND(ISNUMBER($G97),ISNUMBER($H97),$G97&gt;0,$H97&gt;0),"⚠ both inflow and outflow entered",IF($K97="Missing","⚠ missing evidence","")))</f>
        <v/>
      </c>
    </row>
    <row r="98">
      <c r="A98" s="4" t="n"/>
      <c r="B98" s="27" t="n"/>
      <c r="C98" s="4" t="n"/>
      <c r="D98" s="4" t="n"/>
      <c r="E98" s="4" t="n"/>
      <c r="F98" s="4" t="n"/>
      <c r="G98" s="28" t="n"/>
      <c r="H98" s="28" t="n"/>
      <c r="I98" s="4" t="n"/>
      <c r="J98" s="4" t="n"/>
      <c r="K98" s="4" t="n"/>
      <c r="L98">
        <f>IF($A98="","",IF(AND(ISNUMBER($G98),ISNUMBER($H98),$G98&gt;0,$H98&gt;0),"⚠ both inflow and outflow entered",IF($K98="Missing","⚠ missing evidence","")))</f>
        <v/>
      </c>
    </row>
    <row r="99">
      <c r="A99" s="4" t="n"/>
      <c r="B99" s="27" t="n"/>
      <c r="C99" s="4" t="n"/>
      <c r="D99" s="4" t="n"/>
      <c r="E99" s="4" t="n"/>
      <c r="F99" s="4" t="n"/>
      <c r="G99" s="28" t="n"/>
      <c r="H99" s="28" t="n"/>
      <c r="I99" s="4" t="n"/>
      <c r="J99" s="4" t="n"/>
      <c r="K99" s="4" t="n"/>
      <c r="L99">
        <f>IF($A99="","",IF(AND(ISNUMBER($G99),ISNUMBER($H99),$G99&gt;0,$H99&gt;0),"⚠ both inflow and outflow entered",IF($K99="Missing","⚠ missing evidence","")))</f>
        <v/>
      </c>
    </row>
    <row r="100">
      <c r="A100" s="4" t="n"/>
      <c r="B100" s="27" t="n"/>
      <c r="C100" s="4" t="n"/>
      <c r="D100" s="4" t="n"/>
      <c r="E100" s="4" t="n"/>
      <c r="F100" s="4" t="n"/>
      <c r="G100" s="28" t="n"/>
      <c r="H100" s="28" t="n"/>
      <c r="I100" s="4" t="n"/>
      <c r="J100" s="4" t="n"/>
      <c r="K100" s="4" t="n"/>
      <c r="L100">
        <f>IF($A100="","",IF(AND(ISNUMBER($G100),ISNUMBER($H100),$G100&gt;0,$H100&gt;0),"⚠ both inflow and outflow entered",IF($K100="Missing","⚠ missing evidence","")))</f>
        <v/>
      </c>
    </row>
    <row r="101">
      <c r="A101" s="4" t="n"/>
      <c r="B101" s="27" t="n"/>
      <c r="C101" s="4" t="n"/>
      <c r="D101" s="4" t="n"/>
      <c r="E101" s="4" t="n"/>
      <c r="F101" s="4" t="n"/>
      <c r="G101" s="28" t="n"/>
      <c r="H101" s="28" t="n"/>
      <c r="I101" s="4" t="n"/>
      <c r="J101" s="4" t="n"/>
      <c r="K101" s="4" t="n"/>
      <c r="L101">
        <f>IF($A101="","",IF(AND(ISNUMBER($G101),ISNUMBER($H101),$G101&gt;0,$H101&gt;0),"⚠ both inflow and outflow entered",IF($K101="Missing","⚠ missing evidence","")))</f>
        <v/>
      </c>
    </row>
    <row r="102">
      <c r="A102" s="4" t="n"/>
      <c r="B102" s="27" t="n"/>
      <c r="C102" s="4" t="n"/>
      <c r="D102" s="4" t="n"/>
      <c r="E102" s="4" t="n"/>
      <c r="F102" s="4" t="n"/>
      <c r="G102" s="28" t="n"/>
      <c r="H102" s="28" t="n"/>
      <c r="I102" s="4" t="n"/>
      <c r="J102" s="4" t="n"/>
      <c r="K102" s="4" t="n"/>
      <c r="L102">
        <f>IF($A102="","",IF(AND(ISNUMBER($G102),ISNUMBER($H102),$G102&gt;0,$H102&gt;0),"⚠ both inflow and outflow entered",IF($K102="Missing","⚠ missing evidence","")))</f>
        <v/>
      </c>
    </row>
    <row r="103">
      <c r="A103" s="4" t="n"/>
      <c r="B103" s="27" t="n"/>
      <c r="C103" s="4" t="n"/>
      <c r="D103" s="4" t="n"/>
      <c r="E103" s="4" t="n"/>
      <c r="F103" s="4" t="n"/>
      <c r="G103" s="28" t="n"/>
      <c r="H103" s="28" t="n"/>
      <c r="I103" s="4" t="n"/>
      <c r="J103" s="4" t="n"/>
      <c r="K103" s="4" t="n"/>
      <c r="L103">
        <f>IF($A103="","",IF(AND(ISNUMBER($G103),ISNUMBER($H103),$G103&gt;0,$H103&gt;0),"⚠ both inflow and outflow entered",IF($K103="Missing","⚠ missing evidence","")))</f>
        <v/>
      </c>
    </row>
    <row r="104">
      <c r="A104" s="4" t="n"/>
      <c r="B104" s="27" t="n"/>
      <c r="C104" s="4" t="n"/>
      <c r="D104" s="4" t="n"/>
      <c r="E104" s="4" t="n"/>
      <c r="F104" s="4" t="n"/>
      <c r="G104" s="28" t="n"/>
      <c r="H104" s="28" t="n"/>
      <c r="I104" s="4" t="n"/>
      <c r="J104" s="4" t="n"/>
      <c r="K104" s="4" t="n"/>
      <c r="L104">
        <f>IF($A104="","",IF(AND(ISNUMBER($G104),ISNUMBER($H104),$G104&gt;0,$H104&gt;0),"⚠ both inflow and outflow entered",IF($K104="Missing","⚠ missing evidence","")))</f>
        <v/>
      </c>
    </row>
    <row r="105">
      <c r="A105" s="4" t="n"/>
      <c r="B105" s="27" t="n"/>
      <c r="C105" s="4" t="n"/>
      <c r="D105" s="4" t="n"/>
      <c r="E105" s="4" t="n"/>
      <c r="F105" s="4" t="n"/>
      <c r="G105" s="28" t="n"/>
      <c r="H105" s="28" t="n"/>
      <c r="I105" s="4" t="n"/>
      <c r="J105" s="4" t="n"/>
      <c r="K105" s="4" t="n"/>
      <c r="L105">
        <f>IF($A105="","",IF(AND(ISNUMBER($G105),ISNUMBER($H105),$G105&gt;0,$H105&gt;0),"⚠ both inflow and outflow entered",IF($K105="Missing","⚠ missing evidence","")))</f>
        <v/>
      </c>
    </row>
    <row r="106">
      <c r="A106" s="4" t="n"/>
      <c r="B106" s="27" t="n"/>
      <c r="C106" s="4" t="n"/>
      <c r="D106" s="4" t="n"/>
      <c r="E106" s="4" t="n"/>
      <c r="F106" s="4" t="n"/>
      <c r="G106" s="28" t="n"/>
      <c r="H106" s="28" t="n"/>
      <c r="I106" s="4" t="n"/>
      <c r="J106" s="4" t="n"/>
      <c r="K106" s="4" t="n"/>
      <c r="L106">
        <f>IF($A106="","",IF(AND(ISNUMBER($G106),ISNUMBER($H106),$G106&gt;0,$H106&gt;0),"⚠ both inflow and outflow entered",IF($K106="Missing","⚠ missing evidence","")))</f>
        <v/>
      </c>
    </row>
    <row r="107">
      <c r="A107" s="4" t="n"/>
      <c r="B107" s="27" t="n"/>
      <c r="C107" s="4" t="n"/>
      <c r="D107" s="4" t="n"/>
      <c r="E107" s="4" t="n"/>
      <c r="F107" s="4" t="n"/>
      <c r="G107" s="28" t="n"/>
      <c r="H107" s="28" t="n"/>
      <c r="I107" s="4" t="n"/>
      <c r="J107" s="4" t="n"/>
      <c r="K107" s="4" t="n"/>
      <c r="L107">
        <f>IF($A107="","",IF(AND(ISNUMBER($G107),ISNUMBER($H107),$G107&gt;0,$H107&gt;0),"⚠ both inflow and outflow entered",IF($K107="Missing","⚠ missing evidence","")))</f>
        <v/>
      </c>
    </row>
    <row r="108">
      <c r="A108" s="4" t="n"/>
      <c r="B108" s="27" t="n"/>
      <c r="C108" s="4" t="n"/>
      <c r="D108" s="4" t="n"/>
      <c r="E108" s="4" t="n"/>
      <c r="F108" s="4" t="n"/>
      <c r="G108" s="28" t="n"/>
      <c r="H108" s="28" t="n"/>
      <c r="I108" s="4" t="n"/>
      <c r="J108" s="4" t="n"/>
      <c r="K108" s="4" t="n"/>
      <c r="L108">
        <f>IF($A108="","",IF(AND(ISNUMBER($G108),ISNUMBER($H108),$G108&gt;0,$H108&gt;0),"⚠ both inflow and outflow entered",IF($K108="Missing","⚠ missing evidence","")))</f>
        <v/>
      </c>
    </row>
    <row r="109">
      <c r="A109" s="4" t="n"/>
      <c r="B109" s="27" t="n"/>
      <c r="C109" s="4" t="n"/>
      <c r="D109" s="4" t="n"/>
      <c r="E109" s="4" t="n"/>
      <c r="F109" s="4" t="n"/>
      <c r="G109" s="28" t="n"/>
      <c r="H109" s="28" t="n"/>
      <c r="I109" s="4" t="n"/>
      <c r="J109" s="4" t="n"/>
      <c r="K109" s="4" t="n"/>
      <c r="L109">
        <f>IF($A109="","",IF(AND(ISNUMBER($G109),ISNUMBER($H109),$G109&gt;0,$H109&gt;0),"⚠ both inflow and outflow entered",IF($K109="Missing","⚠ missing evidence","")))</f>
        <v/>
      </c>
    </row>
    <row r="110">
      <c r="A110" s="4" t="n"/>
      <c r="B110" s="27" t="n"/>
      <c r="C110" s="4" t="n"/>
      <c r="D110" s="4" t="n"/>
      <c r="E110" s="4" t="n"/>
      <c r="F110" s="4" t="n"/>
      <c r="G110" s="28" t="n"/>
      <c r="H110" s="28" t="n"/>
      <c r="I110" s="4" t="n"/>
      <c r="J110" s="4" t="n"/>
      <c r="K110" s="4" t="n"/>
      <c r="L110">
        <f>IF($A110="","",IF(AND(ISNUMBER($G110),ISNUMBER($H110),$G110&gt;0,$H110&gt;0),"⚠ both inflow and outflow entered",IF($K110="Missing","⚠ missing evidence","")))</f>
        <v/>
      </c>
    </row>
    <row r="111">
      <c r="A111" s="4" t="n"/>
      <c r="B111" s="27" t="n"/>
      <c r="C111" s="4" t="n"/>
      <c r="D111" s="4" t="n"/>
      <c r="E111" s="4" t="n"/>
      <c r="F111" s="4" t="n"/>
      <c r="G111" s="28" t="n"/>
      <c r="H111" s="28" t="n"/>
      <c r="I111" s="4" t="n"/>
      <c r="J111" s="4" t="n"/>
      <c r="K111" s="4" t="n"/>
      <c r="L111">
        <f>IF($A111="","",IF(AND(ISNUMBER($G111),ISNUMBER($H111),$G111&gt;0,$H111&gt;0),"⚠ both inflow and outflow entered",IF($K111="Missing","⚠ missing evidence","")))</f>
        <v/>
      </c>
    </row>
    <row r="112">
      <c r="A112" s="4" t="n"/>
      <c r="B112" s="27" t="n"/>
      <c r="C112" s="4" t="n"/>
      <c r="D112" s="4" t="n"/>
      <c r="E112" s="4" t="n"/>
      <c r="F112" s="4" t="n"/>
      <c r="G112" s="28" t="n"/>
      <c r="H112" s="28" t="n"/>
      <c r="I112" s="4" t="n"/>
      <c r="J112" s="4" t="n"/>
      <c r="K112" s="4" t="n"/>
      <c r="L112">
        <f>IF($A112="","",IF(AND(ISNUMBER($G112),ISNUMBER($H112),$G112&gt;0,$H112&gt;0),"⚠ both inflow and outflow entered",IF($K112="Missing","⚠ missing evidence","")))</f>
        <v/>
      </c>
    </row>
    <row r="113">
      <c r="A113" s="4" t="n"/>
      <c r="B113" s="27" t="n"/>
      <c r="C113" s="4" t="n"/>
      <c r="D113" s="4" t="n"/>
      <c r="E113" s="4" t="n"/>
      <c r="F113" s="4" t="n"/>
      <c r="G113" s="28" t="n"/>
      <c r="H113" s="28" t="n"/>
      <c r="I113" s="4" t="n"/>
      <c r="J113" s="4" t="n"/>
      <c r="K113" s="4" t="n"/>
      <c r="L113">
        <f>IF($A113="","",IF(AND(ISNUMBER($G113),ISNUMBER($H113),$G113&gt;0,$H113&gt;0),"⚠ both inflow and outflow entered",IF($K113="Missing","⚠ missing evidence","")))</f>
        <v/>
      </c>
    </row>
    <row r="114">
      <c r="A114" s="4" t="n"/>
      <c r="B114" s="27" t="n"/>
      <c r="C114" s="4" t="n"/>
      <c r="D114" s="4" t="n"/>
      <c r="E114" s="4" t="n"/>
      <c r="F114" s="4" t="n"/>
      <c r="G114" s="28" t="n"/>
      <c r="H114" s="28" t="n"/>
      <c r="I114" s="4" t="n"/>
      <c r="J114" s="4" t="n"/>
      <c r="K114" s="4" t="n"/>
      <c r="L114">
        <f>IF($A114="","",IF(AND(ISNUMBER($G114),ISNUMBER($H114),$G114&gt;0,$H114&gt;0),"⚠ both inflow and outflow entered",IF($K114="Missing","⚠ missing evidence","")))</f>
        <v/>
      </c>
    </row>
    <row r="115">
      <c r="A115" s="4" t="n"/>
      <c r="B115" s="27" t="n"/>
      <c r="C115" s="4" t="n"/>
      <c r="D115" s="4" t="n"/>
      <c r="E115" s="4" t="n"/>
      <c r="F115" s="4" t="n"/>
      <c r="G115" s="28" t="n"/>
      <c r="H115" s="28" t="n"/>
      <c r="I115" s="4" t="n"/>
      <c r="J115" s="4" t="n"/>
      <c r="K115" s="4" t="n"/>
      <c r="L115">
        <f>IF($A115="","",IF(AND(ISNUMBER($G115),ISNUMBER($H115),$G115&gt;0,$H115&gt;0),"⚠ both inflow and outflow entered",IF($K115="Missing","⚠ missing evidence","")))</f>
        <v/>
      </c>
    </row>
    <row r="116">
      <c r="A116" s="4" t="n"/>
      <c r="B116" s="27" t="n"/>
      <c r="C116" s="4" t="n"/>
      <c r="D116" s="4" t="n"/>
      <c r="E116" s="4" t="n"/>
      <c r="F116" s="4" t="n"/>
      <c r="G116" s="28" t="n"/>
      <c r="H116" s="28" t="n"/>
      <c r="I116" s="4" t="n"/>
      <c r="J116" s="4" t="n"/>
      <c r="K116" s="4" t="n"/>
      <c r="L116">
        <f>IF($A116="","",IF(AND(ISNUMBER($G116),ISNUMBER($H116),$G116&gt;0,$H116&gt;0),"⚠ both inflow and outflow entered",IF($K116="Missing","⚠ missing evidence","")))</f>
        <v/>
      </c>
    </row>
    <row r="117">
      <c r="A117" s="4" t="n"/>
      <c r="B117" s="27" t="n"/>
      <c r="C117" s="4" t="n"/>
      <c r="D117" s="4" t="n"/>
      <c r="E117" s="4" t="n"/>
      <c r="F117" s="4" t="n"/>
      <c r="G117" s="28" t="n"/>
      <c r="H117" s="28" t="n"/>
      <c r="I117" s="4" t="n"/>
      <c r="J117" s="4" t="n"/>
      <c r="K117" s="4" t="n"/>
      <c r="L117">
        <f>IF($A117="","",IF(AND(ISNUMBER($G117),ISNUMBER($H117),$G117&gt;0,$H117&gt;0),"⚠ both inflow and outflow entered",IF($K117="Missing","⚠ missing evidence","")))</f>
        <v/>
      </c>
    </row>
    <row r="118">
      <c r="A118" s="4" t="n"/>
      <c r="B118" s="27" t="n"/>
      <c r="C118" s="4" t="n"/>
      <c r="D118" s="4" t="n"/>
      <c r="E118" s="4" t="n"/>
      <c r="F118" s="4" t="n"/>
      <c r="G118" s="28" t="n"/>
      <c r="H118" s="28" t="n"/>
      <c r="I118" s="4" t="n"/>
      <c r="J118" s="4" t="n"/>
      <c r="K118" s="4" t="n"/>
      <c r="L118">
        <f>IF($A118="","",IF(AND(ISNUMBER($G118),ISNUMBER($H118),$G118&gt;0,$H118&gt;0),"⚠ both inflow and outflow entered",IF($K118="Missing","⚠ missing evidence","")))</f>
        <v/>
      </c>
    </row>
    <row r="119">
      <c r="A119" s="4" t="n"/>
      <c r="B119" s="27" t="n"/>
      <c r="C119" s="4" t="n"/>
      <c r="D119" s="4" t="n"/>
      <c r="E119" s="4" t="n"/>
      <c r="F119" s="4" t="n"/>
      <c r="G119" s="28" t="n"/>
      <c r="H119" s="28" t="n"/>
      <c r="I119" s="4" t="n"/>
      <c r="J119" s="4" t="n"/>
      <c r="K119" s="4" t="n"/>
      <c r="L119">
        <f>IF($A119="","",IF(AND(ISNUMBER($G119),ISNUMBER($H119),$G119&gt;0,$H119&gt;0),"⚠ both inflow and outflow entered",IF($K119="Missing","⚠ missing evidence","")))</f>
        <v/>
      </c>
    </row>
    <row r="120">
      <c r="A120" s="4" t="n"/>
      <c r="B120" s="27" t="n"/>
      <c r="C120" s="4" t="n"/>
      <c r="D120" s="4" t="n"/>
      <c r="E120" s="4" t="n"/>
      <c r="F120" s="4" t="n"/>
      <c r="G120" s="28" t="n"/>
      <c r="H120" s="28" t="n"/>
      <c r="I120" s="4" t="n"/>
      <c r="J120" s="4" t="n"/>
      <c r="K120" s="4" t="n"/>
      <c r="L120">
        <f>IF($A120="","",IF(AND(ISNUMBER($G120),ISNUMBER($H120),$G120&gt;0,$H120&gt;0),"⚠ both inflow and outflow entered",IF($K120="Missing","⚠ missing evidence","")))</f>
        <v/>
      </c>
    </row>
    <row r="121">
      <c r="A121" s="4" t="n"/>
      <c r="B121" s="27" t="n"/>
      <c r="C121" s="4" t="n"/>
      <c r="D121" s="4" t="n"/>
      <c r="E121" s="4" t="n"/>
      <c r="F121" s="4" t="n"/>
      <c r="G121" s="28" t="n"/>
      <c r="H121" s="28" t="n"/>
      <c r="I121" s="4" t="n"/>
      <c r="J121" s="4" t="n"/>
      <c r="K121" s="4" t="n"/>
      <c r="L121">
        <f>IF($A121="","",IF(AND(ISNUMBER($G121),ISNUMBER($H121),$G121&gt;0,$H121&gt;0),"⚠ both inflow and outflow entered",IF($K121="Missing","⚠ missing evidence","")))</f>
        <v/>
      </c>
    </row>
    <row r="122">
      <c r="A122" s="4" t="n"/>
      <c r="B122" s="27" t="n"/>
      <c r="C122" s="4" t="n"/>
      <c r="D122" s="4" t="n"/>
      <c r="E122" s="4" t="n"/>
      <c r="F122" s="4" t="n"/>
      <c r="G122" s="28" t="n"/>
      <c r="H122" s="28" t="n"/>
      <c r="I122" s="4" t="n"/>
      <c r="J122" s="4" t="n"/>
      <c r="K122" s="4" t="n"/>
      <c r="L122">
        <f>IF($A122="","",IF(AND(ISNUMBER($G122),ISNUMBER($H122),$G122&gt;0,$H122&gt;0),"⚠ both inflow and outflow entered",IF($K122="Missing","⚠ missing evidence","")))</f>
        <v/>
      </c>
    </row>
    <row r="123">
      <c r="A123" s="4" t="n"/>
      <c r="B123" s="27" t="n"/>
      <c r="C123" s="4" t="n"/>
      <c r="D123" s="4" t="n"/>
      <c r="E123" s="4" t="n"/>
      <c r="F123" s="4" t="n"/>
      <c r="G123" s="28" t="n"/>
      <c r="H123" s="28" t="n"/>
      <c r="I123" s="4" t="n"/>
      <c r="J123" s="4" t="n"/>
      <c r="K123" s="4" t="n"/>
      <c r="L123">
        <f>IF($A123="","",IF(AND(ISNUMBER($G123),ISNUMBER($H123),$G123&gt;0,$H123&gt;0),"⚠ both inflow and outflow entered",IF($K123="Missing","⚠ missing evidence","")))</f>
        <v/>
      </c>
    </row>
    <row r="124">
      <c r="A124" s="4" t="n"/>
      <c r="B124" s="27" t="n"/>
      <c r="C124" s="4" t="n"/>
      <c r="D124" s="4" t="n"/>
      <c r="E124" s="4" t="n"/>
      <c r="F124" s="4" t="n"/>
      <c r="G124" s="28" t="n"/>
      <c r="H124" s="28" t="n"/>
      <c r="I124" s="4" t="n"/>
      <c r="J124" s="4" t="n"/>
      <c r="K124" s="4" t="n"/>
      <c r="L124">
        <f>IF($A124="","",IF(AND(ISNUMBER($G124),ISNUMBER($H124),$G124&gt;0,$H124&gt;0),"⚠ both inflow and outflow entered",IF($K124="Missing","⚠ missing evidence","")))</f>
        <v/>
      </c>
    </row>
    <row r="125">
      <c r="A125" s="4" t="n"/>
      <c r="B125" s="27" t="n"/>
      <c r="C125" s="4" t="n"/>
      <c r="D125" s="4" t="n"/>
      <c r="E125" s="4" t="n"/>
      <c r="F125" s="4" t="n"/>
      <c r="G125" s="28" t="n"/>
      <c r="H125" s="28" t="n"/>
      <c r="I125" s="4" t="n"/>
      <c r="J125" s="4" t="n"/>
      <c r="K125" s="4" t="n"/>
      <c r="L125">
        <f>IF($A125="","",IF(AND(ISNUMBER($G125),ISNUMBER($H125),$G125&gt;0,$H125&gt;0),"⚠ both inflow and outflow entered",IF($K125="Missing","⚠ missing evidence","")))</f>
        <v/>
      </c>
    </row>
    <row r="126">
      <c r="A126" s="4" t="n"/>
      <c r="B126" s="27" t="n"/>
      <c r="C126" s="4" t="n"/>
      <c r="D126" s="4" t="n"/>
      <c r="E126" s="4" t="n"/>
      <c r="F126" s="4" t="n"/>
      <c r="G126" s="28" t="n"/>
      <c r="H126" s="28" t="n"/>
      <c r="I126" s="4" t="n"/>
      <c r="J126" s="4" t="n"/>
      <c r="K126" s="4" t="n"/>
      <c r="L126">
        <f>IF($A126="","",IF(AND(ISNUMBER($G126),ISNUMBER($H126),$G126&gt;0,$H126&gt;0),"⚠ both inflow and outflow entered",IF($K126="Missing","⚠ missing evidence","")))</f>
        <v/>
      </c>
    </row>
    <row r="127">
      <c r="A127" s="4" t="n"/>
      <c r="B127" s="27" t="n"/>
      <c r="C127" s="4" t="n"/>
      <c r="D127" s="4" t="n"/>
      <c r="E127" s="4" t="n"/>
      <c r="F127" s="4" t="n"/>
      <c r="G127" s="28" t="n"/>
      <c r="H127" s="28" t="n"/>
      <c r="I127" s="4" t="n"/>
      <c r="J127" s="4" t="n"/>
      <c r="K127" s="4" t="n"/>
      <c r="L127">
        <f>IF($A127="","",IF(AND(ISNUMBER($G127),ISNUMBER($H127),$G127&gt;0,$H127&gt;0),"⚠ both inflow and outflow entered",IF($K127="Missing","⚠ missing evidence","")))</f>
        <v/>
      </c>
    </row>
    <row r="128">
      <c r="A128" s="4" t="n"/>
      <c r="B128" s="27" t="n"/>
      <c r="C128" s="4" t="n"/>
      <c r="D128" s="4" t="n"/>
      <c r="E128" s="4" t="n"/>
      <c r="F128" s="4" t="n"/>
      <c r="G128" s="28" t="n"/>
      <c r="H128" s="28" t="n"/>
      <c r="I128" s="4" t="n"/>
      <c r="J128" s="4" t="n"/>
      <c r="K128" s="4" t="n"/>
      <c r="L128">
        <f>IF($A128="","",IF(AND(ISNUMBER($G128),ISNUMBER($H128),$G128&gt;0,$H128&gt;0),"⚠ both inflow and outflow entered",IF($K128="Missing","⚠ missing evidence","")))</f>
        <v/>
      </c>
    </row>
    <row r="129">
      <c r="A129" s="4" t="n"/>
      <c r="B129" s="27" t="n"/>
      <c r="C129" s="4" t="n"/>
      <c r="D129" s="4" t="n"/>
      <c r="E129" s="4" t="n"/>
      <c r="F129" s="4" t="n"/>
      <c r="G129" s="28" t="n"/>
      <c r="H129" s="28" t="n"/>
      <c r="I129" s="4" t="n"/>
      <c r="J129" s="4" t="n"/>
      <c r="K129" s="4" t="n"/>
      <c r="L129">
        <f>IF($A129="","",IF(AND(ISNUMBER($G129),ISNUMBER($H129),$G129&gt;0,$H129&gt;0),"⚠ both inflow and outflow entered",IF($K129="Missing","⚠ missing evidence","")))</f>
        <v/>
      </c>
    </row>
    <row r="130">
      <c r="A130" s="4" t="n"/>
      <c r="B130" s="27" t="n"/>
      <c r="C130" s="4" t="n"/>
      <c r="D130" s="4" t="n"/>
      <c r="E130" s="4" t="n"/>
      <c r="F130" s="4" t="n"/>
      <c r="G130" s="28" t="n"/>
      <c r="H130" s="28" t="n"/>
      <c r="I130" s="4" t="n"/>
      <c r="J130" s="4" t="n"/>
      <c r="K130" s="4" t="n"/>
      <c r="L130">
        <f>IF($A130="","",IF(AND(ISNUMBER($G130),ISNUMBER($H130),$G130&gt;0,$H130&gt;0),"⚠ both inflow and outflow entered",IF($K130="Missing","⚠ missing evidence","")))</f>
        <v/>
      </c>
    </row>
    <row r="131">
      <c r="A131" s="4" t="n"/>
      <c r="B131" s="27" t="n"/>
      <c r="C131" s="4" t="n"/>
      <c r="D131" s="4" t="n"/>
      <c r="E131" s="4" t="n"/>
      <c r="F131" s="4" t="n"/>
      <c r="G131" s="28" t="n"/>
      <c r="H131" s="28" t="n"/>
      <c r="I131" s="4" t="n"/>
      <c r="J131" s="4" t="n"/>
      <c r="K131" s="4" t="n"/>
      <c r="L131">
        <f>IF($A131="","",IF(AND(ISNUMBER($G131),ISNUMBER($H131),$G131&gt;0,$H131&gt;0),"⚠ both inflow and outflow entered",IF($K131="Missing","⚠ missing evidence","")))</f>
        <v/>
      </c>
    </row>
    <row r="132">
      <c r="A132" s="4" t="n"/>
      <c r="B132" s="27" t="n"/>
      <c r="C132" s="4" t="n"/>
      <c r="D132" s="4" t="n"/>
      <c r="E132" s="4" t="n"/>
      <c r="F132" s="4" t="n"/>
      <c r="G132" s="28" t="n"/>
      <c r="H132" s="28" t="n"/>
      <c r="I132" s="4" t="n"/>
      <c r="J132" s="4" t="n"/>
      <c r="K132" s="4" t="n"/>
      <c r="L132">
        <f>IF($A132="","",IF(AND(ISNUMBER($G132),ISNUMBER($H132),$G132&gt;0,$H132&gt;0),"⚠ both inflow and outflow entered",IF($K132="Missing","⚠ missing evidence","")))</f>
        <v/>
      </c>
    </row>
    <row r="133">
      <c r="A133" s="4" t="n"/>
      <c r="B133" s="27" t="n"/>
      <c r="C133" s="4" t="n"/>
      <c r="D133" s="4" t="n"/>
      <c r="E133" s="4" t="n"/>
      <c r="F133" s="4" t="n"/>
      <c r="G133" s="28" t="n"/>
      <c r="H133" s="28" t="n"/>
      <c r="I133" s="4" t="n"/>
      <c r="J133" s="4" t="n"/>
      <c r="K133" s="4" t="n"/>
      <c r="L133">
        <f>IF($A133="","",IF(AND(ISNUMBER($G133),ISNUMBER($H133),$G133&gt;0,$H133&gt;0),"⚠ both inflow and outflow entered",IF($K133="Missing","⚠ missing evidence","")))</f>
        <v/>
      </c>
    </row>
    <row r="134">
      <c r="A134" s="4" t="n"/>
      <c r="B134" s="27" t="n"/>
      <c r="C134" s="4" t="n"/>
      <c r="D134" s="4" t="n"/>
      <c r="E134" s="4" t="n"/>
      <c r="F134" s="4" t="n"/>
      <c r="G134" s="28" t="n"/>
      <c r="H134" s="28" t="n"/>
      <c r="I134" s="4" t="n"/>
      <c r="J134" s="4" t="n"/>
      <c r="K134" s="4" t="n"/>
      <c r="L134">
        <f>IF($A134="","",IF(AND(ISNUMBER($G134),ISNUMBER($H134),$G134&gt;0,$H134&gt;0),"⚠ both inflow and outflow entered",IF($K134="Missing","⚠ missing evidence","")))</f>
        <v/>
      </c>
    </row>
    <row r="135">
      <c r="A135" s="4" t="n"/>
      <c r="B135" s="27" t="n"/>
      <c r="C135" s="4" t="n"/>
      <c r="D135" s="4" t="n"/>
      <c r="E135" s="4" t="n"/>
      <c r="F135" s="4" t="n"/>
      <c r="G135" s="28" t="n"/>
      <c r="H135" s="28" t="n"/>
      <c r="I135" s="4" t="n"/>
      <c r="J135" s="4" t="n"/>
      <c r="K135" s="4" t="n"/>
      <c r="L135">
        <f>IF($A135="","",IF(AND(ISNUMBER($G135),ISNUMBER($H135),$G135&gt;0,$H135&gt;0),"⚠ both inflow and outflow entered",IF($K135="Missing","⚠ missing evidence","")))</f>
        <v/>
      </c>
    </row>
    <row r="136">
      <c r="A136" s="4" t="n"/>
      <c r="B136" s="27" t="n"/>
      <c r="C136" s="4" t="n"/>
      <c r="D136" s="4" t="n"/>
      <c r="E136" s="4" t="n"/>
      <c r="F136" s="4" t="n"/>
      <c r="G136" s="28" t="n"/>
      <c r="H136" s="28" t="n"/>
      <c r="I136" s="4" t="n"/>
      <c r="J136" s="4" t="n"/>
      <c r="K136" s="4" t="n"/>
      <c r="L136">
        <f>IF($A136="","",IF(AND(ISNUMBER($G136),ISNUMBER($H136),$G136&gt;0,$H136&gt;0),"⚠ both inflow and outflow entered",IF($K136="Missing","⚠ missing evidence","")))</f>
        <v/>
      </c>
    </row>
    <row r="137">
      <c r="A137" s="4" t="n"/>
      <c r="B137" s="27" t="n"/>
      <c r="C137" s="4" t="n"/>
      <c r="D137" s="4" t="n"/>
      <c r="E137" s="4" t="n"/>
      <c r="F137" s="4" t="n"/>
      <c r="G137" s="28" t="n"/>
      <c r="H137" s="28" t="n"/>
      <c r="I137" s="4" t="n"/>
      <c r="J137" s="4" t="n"/>
      <c r="K137" s="4" t="n"/>
      <c r="L137">
        <f>IF($A137="","",IF(AND(ISNUMBER($G137),ISNUMBER($H137),$G137&gt;0,$H137&gt;0),"⚠ both inflow and outflow entered",IF($K137="Missing","⚠ missing evidence","")))</f>
        <v/>
      </c>
    </row>
    <row r="138">
      <c r="A138" s="4" t="n"/>
      <c r="B138" s="27" t="n"/>
      <c r="C138" s="4" t="n"/>
      <c r="D138" s="4" t="n"/>
      <c r="E138" s="4" t="n"/>
      <c r="F138" s="4" t="n"/>
      <c r="G138" s="28" t="n"/>
      <c r="H138" s="28" t="n"/>
      <c r="I138" s="4" t="n"/>
      <c r="J138" s="4" t="n"/>
      <c r="K138" s="4" t="n"/>
      <c r="L138">
        <f>IF($A138="","",IF(AND(ISNUMBER($G138),ISNUMBER($H138),$G138&gt;0,$H138&gt;0),"⚠ both inflow and outflow entered",IF($K138="Missing","⚠ missing evidence","")))</f>
        <v/>
      </c>
    </row>
    <row r="139">
      <c r="A139" s="4" t="n"/>
      <c r="B139" s="27" t="n"/>
      <c r="C139" s="4" t="n"/>
      <c r="D139" s="4" t="n"/>
      <c r="E139" s="4" t="n"/>
      <c r="F139" s="4" t="n"/>
      <c r="G139" s="28" t="n"/>
      <c r="H139" s="28" t="n"/>
      <c r="I139" s="4" t="n"/>
      <c r="J139" s="4" t="n"/>
      <c r="K139" s="4" t="n"/>
      <c r="L139">
        <f>IF($A139="","",IF(AND(ISNUMBER($G139),ISNUMBER($H139),$G139&gt;0,$H139&gt;0),"⚠ both inflow and outflow entered",IF($K139="Missing","⚠ missing evidence","")))</f>
        <v/>
      </c>
    </row>
    <row r="140">
      <c r="A140" s="4" t="n"/>
      <c r="B140" s="27" t="n"/>
      <c r="C140" s="4" t="n"/>
      <c r="D140" s="4" t="n"/>
      <c r="E140" s="4" t="n"/>
      <c r="F140" s="4" t="n"/>
      <c r="G140" s="28" t="n"/>
      <c r="H140" s="28" t="n"/>
      <c r="I140" s="4" t="n"/>
      <c r="J140" s="4" t="n"/>
      <c r="K140" s="4" t="n"/>
      <c r="L140">
        <f>IF($A140="","",IF(AND(ISNUMBER($G140),ISNUMBER($H140),$G140&gt;0,$H140&gt;0),"⚠ both inflow and outflow entered",IF($K140="Missing","⚠ missing evidence","")))</f>
        <v/>
      </c>
    </row>
    <row r="141">
      <c r="A141" s="4" t="n"/>
      <c r="B141" s="27" t="n"/>
      <c r="C141" s="4" t="n"/>
      <c r="D141" s="4" t="n"/>
      <c r="E141" s="4" t="n"/>
      <c r="F141" s="4" t="n"/>
      <c r="G141" s="28" t="n"/>
      <c r="H141" s="28" t="n"/>
      <c r="I141" s="4" t="n"/>
      <c r="J141" s="4" t="n"/>
      <c r="K141" s="4" t="n"/>
      <c r="L141">
        <f>IF($A141="","",IF(AND(ISNUMBER($G141),ISNUMBER($H141),$G141&gt;0,$H141&gt;0),"⚠ both inflow and outflow entered",IF($K141="Missing","⚠ missing evidence","")))</f>
        <v/>
      </c>
    </row>
    <row r="142">
      <c r="A142" s="4" t="n"/>
      <c r="B142" s="27" t="n"/>
      <c r="C142" s="4" t="n"/>
      <c r="D142" s="4" t="n"/>
      <c r="E142" s="4" t="n"/>
      <c r="F142" s="4" t="n"/>
      <c r="G142" s="28" t="n"/>
      <c r="H142" s="28" t="n"/>
      <c r="I142" s="4" t="n"/>
      <c r="J142" s="4" t="n"/>
      <c r="K142" s="4" t="n"/>
      <c r="L142">
        <f>IF($A142="","",IF(AND(ISNUMBER($G142),ISNUMBER($H142),$G142&gt;0,$H142&gt;0),"⚠ both inflow and outflow entered",IF($K142="Missing","⚠ missing evidence","")))</f>
        <v/>
      </c>
    </row>
    <row r="143">
      <c r="A143" s="4" t="n"/>
      <c r="B143" s="27" t="n"/>
      <c r="C143" s="4" t="n"/>
      <c r="D143" s="4" t="n"/>
      <c r="E143" s="4" t="n"/>
      <c r="F143" s="4" t="n"/>
      <c r="G143" s="28" t="n"/>
      <c r="H143" s="28" t="n"/>
      <c r="I143" s="4" t="n"/>
      <c r="J143" s="4" t="n"/>
      <c r="K143" s="4" t="n"/>
      <c r="L143">
        <f>IF($A143="","",IF(AND(ISNUMBER($G143),ISNUMBER($H143),$G143&gt;0,$H143&gt;0),"⚠ both inflow and outflow entered",IF($K143="Missing","⚠ missing evidence","")))</f>
        <v/>
      </c>
    </row>
    <row r="144">
      <c r="A144" s="4" t="n"/>
      <c r="B144" s="27" t="n"/>
      <c r="C144" s="4" t="n"/>
      <c r="D144" s="4" t="n"/>
      <c r="E144" s="4" t="n"/>
      <c r="F144" s="4" t="n"/>
      <c r="G144" s="28" t="n"/>
      <c r="H144" s="28" t="n"/>
      <c r="I144" s="4" t="n"/>
      <c r="J144" s="4" t="n"/>
      <c r="K144" s="4" t="n"/>
      <c r="L144">
        <f>IF($A144="","",IF(AND(ISNUMBER($G144),ISNUMBER($H144),$G144&gt;0,$H144&gt;0),"⚠ both inflow and outflow entered",IF($K144="Missing","⚠ missing evidence","")))</f>
        <v/>
      </c>
    </row>
    <row r="145">
      <c r="A145" s="4" t="n"/>
      <c r="B145" s="27" t="n"/>
      <c r="C145" s="4" t="n"/>
      <c r="D145" s="4" t="n"/>
      <c r="E145" s="4" t="n"/>
      <c r="F145" s="4" t="n"/>
      <c r="G145" s="28" t="n"/>
      <c r="H145" s="28" t="n"/>
      <c r="I145" s="4" t="n"/>
      <c r="J145" s="4" t="n"/>
      <c r="K145" s="4" t="n"/>
      <c r="L145">
        <f>IF($A145="","",IF(AND(ISNUMBER($G145),ISNUMBER($H145),$G145&gt;0,$H145&gt;0),"⚠ both inflow and outflow entered",IF($K145="Missing","⚠ missing evidence","")))</f>
        <v/>
      </c>
    </row>
    <row r="146">
      <c r="A146" s="4" t="n"/>
      <c r="B146" s="27" t="n"/>
      <c r="C146" s="4" t="n"/>
      <c r="D146" s="4" t="n"/>
      <c r="E146" s="4" t="n"/>
      <c r="F146" s="4" t="n"/>
      <c r="G146" s="28" t="n"/>
      <c r="H146" s="28" t="n"/>
      <c r="I146" s="4" t="n"/>
      <c r="J146" s="4" t="n"/>
      <c r="K146" s="4" t="n"/>
      <c r="L146">
        <f>IF($A146="","",IF(AND(ISNUMBER($G146),ISNUMBER($H146),$G146&gt;0,$H146&gt;0),"⚠ both inflow and outflow entered",IF($K146="Missing","⚠ missing evidence","")))</f>
        <v/>
      </c>
    </row>
    <row r="147">
      <c r="A147" s="4" t="n"/>
      <c r="B147" s="27" t="n"/>
      <c r="C147" s="4" t="n"/>
      <c r="D147" s="4" t="n"/>
      <c r="E147" s="4" t="n"/>
      <c r="F147" s="4" t="n"/>
      <c r="G147" s="28" t="n"/>
      <c r="H147" s="28" t="n"/>
      <c r="I147" s="4" t="n"/>
      <c r="J147" s="4" t="n"/>
      <c r="K147" s="4" t="n"/>
      <c r="L147">
        <f>IF($A147="","",IF(AND(ISNUMBER($G147),ISNUMBER($H147),$G147&gt;0,$H147&gt;0),"⚠ both inflow and outflow entered",IF($K147="Missing","⚠ missing evidence","")))</f>
        <v/>
      </c>
    </row>
    <row r="148">
      <c r="A148" s="4" t="n"/>
      <c r="B148" s="27" t="n"/>
      <c r="C148" s="4" t="n"/>
      <c r="D148" s="4" t="n"/>
      <c r="E148" s="4" t="n"/>
      <c r="F148" s="4" t="n"/>
      <c r="G148" s="28" t="n"/>
      <c r="H148" s="28" t="n"/>
      <c r="I148" s="4" t="n"/>
      <c r="J148" s="4" t="n"/>
      <c r="K148" s="4" t="n"/>
      <c r="L148">
        <f>IF($A148="","",IF(AND(ISNUMBER($G148),ISNUMBER($H148),$G148&gt;0,$H148&gt;0),"⚠ both inflow and outflow entered",IF($K148="Missing","⚠ missing evidence","")))</f>
        <v/>
      </c>
    </row>
    <row r="149">
      <c r="A149" s="4" t="n"/>
      <c r="B149" s="27" t="n"/>
      <c r="C149" s="4" t="n"/>
      <c r="D149" s="4" t="n"/>
      <c r="E149" s="4" t="n"/>
      <c r="F149" s="4" t="n"/>
      <c r="G149" s="28" t="n"/>
      <c r="H149" s="28" t="n"/>
      <c r="I149" s="4" t="n"/>
      <c r="J149" s="4" t="n"/>
      <c r="K149" s="4" t="n"/>
      <c r="L149">
        <f>IF($A149="","",IF(AND(ISNUMBER($G149),ISNUMBER($H149),$G149&gt;0,$H149&gt;0),"⚠ both inflow and outflow entered",IF($K149="Missing","⚠ missing evidence","")))</f>
        <v/>
      </c>
    </row>
    <row r="150">
      <c r="A150" s="4" t="n"/>
      <c r="B150" s="27" t="n"/>
      <c r="C150" s="4" t="n"/>
      <c r="D150" s="4" t="n"/>
      <c r="E150" s="4" t="n"/>
      <c r="F150" s="4" t="n"/>
      <c r="G150" s="28" t="n"/>
      <c r="H150" s="28" t="n"/>
      <c r="I150" s="4" t="n"/>
      <c r="J150" s="4" t="n"/>
      <c r="K150" s="4" t="n"/>
      <c r="L150">
        <f>IF($A150="","",IF(AND(ISNUMBER($G150),ISNUMBER($H150),$G150&gt;0,$H150&gt;0),"⚠ both inflow and outflow entered",IF($K150="Missing","⚠ missing evidence","")))</f>
        <v/>
      </c>
    </row>
    <row r="151">
      <c r="A151" s="4" t="n"/>
      <c r="B151" s="27" t="n"/>
      <c r="C151" s="4" t="n"/>
      <c r="D151" s="4" t="n"/>
      <c r="E151" s="4" t="n"/>
      <c r="F151" s="4" t="n"/>
      <c r="G151" s="28" t="n"/>
      <c r="H151" s="28" t="n"/>
      <c r="I151" s="4" t="n"/>
      <c r="J151" s="4" t="n"/>
      <c r="K151" s="4" t="n"/>
      <c r="L151">
        <f>IF($A151="","",IF(AND(ISNUMBER($G151),ISNUMBER($H151),$G151&gt;0,$H151&gt;0),"⚠ both inflow and outflow entered",IF($K151="Missing","⚠ missing evidence","")))</f>
        <v/>
      </c>
    </row>
    <row r="152">
      <c r="A152" s="4" t="n"/>
      <c r="B152" s="27" t="n"/>
      <c r="C152" s="4" t="n"/>
      <c r="D152" s="4" t="n"/>
      <c r="E152" s="4" t="n"/>
      <c r="F152" s="4" t="n"/>
      <c r="G152" s="28" t="n"/>
      <c r="H152" s="28" t="n"/>
      <c r="I152" s="4" t="n"/>
      <c r="J152" s="4" t="n"/>
      <c r="K152" s="4" t="n"/>
      <c r="L152">
        <f>IF($A152="","",IF(AND(ISNUMBER($G152),ISNUMBER($H152),$G152&gt;0,$H152&gt;0),"⚠ both inflow and outflow entered",IF($K152="Missing","⚠ missing evidence","")))</f>
        <v/>
      </c>
    </row>
    <row r="153">
      <c r="A153" s="4" t="n"/>
      <c r="B153" s="27" t="n"/>
      <c r="C153" s="4" t="n"/>
      <c r="D153" s="4" t="n"/>
      <c r="E153" s="4" t="n"/>
      <c r="F153" s="4" t="n"/>
      <c r="G153" s="28" t="n"/>
      <c r="H153" s="28" t="n"/>
      <c r="I153" s="4" t="n"/>
      <c r="J153" s="4" t="n"/>
      <c r="K153" s="4" t="n"/>
      <c r="L153">
        <f>IF($A153="","",IF(AND(ISNUMBER($G153),ISNUMBER($H153),$G153&gt;0,$H153&gt;0),"⚠ both inflow and outflow entered",IF($K153="Missing","⚠ missing evidence","")))</f>
        <v/>
      </c>
    </row>
    <row r="154">
      <c r="A154" s="4" t="n"/>
      <c r="B154" s="27" t="n"/>
      <c r="C154" s="4" t="n"/>
      <c r="D154" s="4" t="n"/>
      <c r="E154" s="4" t="n"/>
      <c r="F154" s="4" t="n"/>
      <c r="G154" s="28" t="n"/>
      <c r="H154" s="28" t="n"/>
      <c r="I154" s="4" t="n"/>
      <c r="J154" s="4" t="n"/>
      <c r="K154" s="4" t="n"/>
      <c r="L154">
        <f>IF($A154="","",IF(AND(ISNUMBER($G154),ISNUMBER($H154),$G154&gt;0,$H154&gt;0),"⚠ both inflow and outflow entered",IF($K154="Missing","⚠ missing evidence","")))</f>
        <v/>
      </c>
    </row>
    <row r="155">
      <c r="A155" s="4" t="n"/>
      <c r="B155" s="27" t="n"/>
      <c r="C155" s="4" t="n"/>
      <c r="D155" s="4" t="n"/>
      <c r="E155" s="4" t="n"/>
      <c r="F155" s="4" t="n"/>
      <c r="G155" s="28" t="n"/>
      <c r="H155" s="28" t="n"/>
      <c r="I155" s="4" t="n"/>
      <c r="J155" s="4" t="n"/>
      <c r="K155" s="4" t="n"/>
      <c r="L155">
        <f>IF($A155="","",IF(AND(ISNUMBER($G155),ISNUMBER($H155),$G155&gt;0,$H155&gt;0),"⚠ both inflow and outflow entered",IF($K155="Missing","⚠ missing evidence","")))</f>
        <v/>
      </c>
    </row>
    <row r="156">
      <c r="A156" s="4" t="n"/>
      <c r="B156" s="27" t="n"/>
      <c r="C156" s="4" t="n"/>
      <c r="D156" s="4" t="n"/>
      <c r="E156" s="4" t="n"/>
      <c r="F156" s="4" t="n"/>
      <c r="G156" s="28" t="n"/>
      <c r="H156" s="28" t="n"/>
      <c r="I156" s="4" t="n"/>
      <c r="J156" s="4" t="n"/>
      <c r="K156" s="4" t="n"/>
      <c r="L156">
        <f>IF($A156="","",IF(AND(ISNUMBER($G156),ISNUMBER($H156),$G156&gt;0,$H156&gt;0),"⚠ both inflow and outflow entered",IF($K156="Missing","⚠ missing evidence","")))</f>
        <v/>
      </c>
    </row>
    <row r="157">
      <c r="A157" s="4" t="n"/>
      <c r="B157" s="27" t="n"/>
      <c r="C157" s="4" t="n"/>
      <c r="D157" s="4" t="n"/>
      <c r="E157" s="4" t="n"/>
      <c r="F157" s="4" t="n"/>
      <c r="G157" s="28" t="n"/>
      <c r="H157" s="28" t="n"/>
      <c r="I157" s="4" t="n"/>
      <c r="J157" s="4" t="n"/>
      <c r="K157" s="4" t="n"/>
      <c r="L157">
        <f>IF($A157="","",IF(AND(ISNUMBER($G157),ISNUMBER($H157),$G157&gt;0,$H157&gt;0),"⚠ both inflow and outflow entered",IF($K157="Missing","⚠ missing evidence","")))</f>
        <v/>
      </c>
    </row>
    <row r="158">
      <c r="A158" s="4" t="n"/>
      <c r="B158" s="27" t="n"/>
      <c r="C158" s="4" t="n"/>
      <c r="D158" s="4" t="n"/>
      <c r="E158" s="4" t="n"/>
      <c r="F158" s="4" t="n"/>
      <c r="G158" s="28" t="n"/>
      <c r="H158" s="28" t="n"/>
      <c r="I158" s="4" t="n"/>
      <c r="J158" s="4" t="n"/>
      <c r="K158" s="4" t="n"/>
      <c r="L158">
        <f>IF($A158="","",IF(AND(ISNUMBER($G158),ISNUMBER($H158),$G158&gt;0,$H158&gt;0),"⚠ both inflow and outflow entered",IF($K158="Missing","⚠ missing evidence","")))</f>
        <v/>
      </c>
    </row>
    <row r="159">
      <c r="A159" s="4" t="n"/>
      <c r="B159" s="27" t="n"/>
      <c r="C159" s="4" t="n"/>
      <c r="D159" s="4" t="n"/>
      <c r="E159" s="4" t="n"/>
      <c r="F159" s="4" t="n"/>
      <c r="G159" s="28" t="n"/>
      <c r="H159" s="28" t="n"/>
      <c r="I159" s="4" t="n"/>
      <c r="J159" s="4" t="n"/>
      <c r="K159" s="4" t="n"/>
      <c r="L159">
        <f>IF($A159="","",IF(AND(ISNUMBER($G159),ISNUMBER($H159),$G159&gt;0,$H159&gt;0),"⚠ both inflow and outflow entered",IF($K159="Missing","⚠ missing evidence","")))</f>
        <v/>
      </c>
    </row>
    <row r="160">
      <c r="A160" s="4" t="n"/>
      <c r="B160" s="27" t="n"/>
      <c r="C160" s="4" t="n"/>
      <c r="D160" s="4" t="n"/>
      <c r="E160" s="4" t="n"/>
      <c r="F160" s="4" t="n"/>
      <c r="G160" s="28" t="n"/>
      <c r="H160" s="28" t="n"/>
      <c r="I160" s="4" t="n"/>
      <c r="J160" s="4" t="n"/>
      <c r="K160" s="4" t="n"/>
      <c r="L160">
        <f>IF($A160="","",IF(AND(ISNUMBER($G160),ISNUMBER($H160),$G160&gt;0,$H160&gt;0),"⚠ both inflow and outflow entered",IF($K160="Missing","⚠ missing evidence","")))</f>
        <v/>
      </c>
    </row>
    <row r="161">
      <c r="A161" s="4" t="n"/>
      <c r="B161" s="27" t="n"/>
      <c r="C161" s="4" t="n"/>
      <c r="D161" s="4" t="n"/>
      <c r="E161" s="4" t="n"/>
      <c r="F161" s="4" t="n"/>
      <c r="G161" s="28" t="n"/>
      <c r="H161" s="28" t="n"/>
      <c r="I161" s="4" t="n"/>
      <c r="J161" s="4" t="n"/>
      <c r="K161" s="4" t="n"/>
      <c r="L161">
        <f>IF($A161="","",IF(AND(ISNUMBER($G161),ISNUMBER($H161),$G161&gt;0,$H161&gt;0),"⚠ both inflow and outflow entered",IF($K161="Missing","⚠ missing evidence","")))</f>
        <v/>
      </c>
    </row>
    <row r="162">
      <c r="A162" s="4" t="n"/>
      <c r="B162" s="27" t="n"/>
      <c r="C162" s="4" t="n"/>
      <c r="D162" s="4" t="n"/>
      <c r="E162" s="4" t="n"/>
      <c r="F162" s="4" t="n"/>
      <c r="G162" s="28" t="n"/>
      <c r="H162" s="28" t="n"/>
      <c r="I162" s="4" t="n"/>
      <c r="J162" s="4" t="n"/>
      <c r="K162" s="4" t="n"/>
      <c r="L162">
        <f>IF($A162="","",IF(AND(ISNUMBER($G162),ISNUMBER($H162),$G162&gt;0,$H162&gt;0),"⚠ both inflow and outflow entered",IF($K162="Missing","⚠ missing evidence","")))</f>
        <v/>
      </c>
    </row>
    <row r="163">
      <c r="A163" s="4" t="n"/>
      <c r="B163" s="27" t="n"/>
      <c r="C163" s="4" t="n"/>
      <c r="D163" s="4" t="n"/>
      <c r="E163" s="4" t="n"/>
      <c r="F163" s="4" t="n"/>
      <c r="G163" s="28" t="n"/>
      <c r="H163" s="28" t="n"/>
      <c r="I163" s="4" t="n"/>
      <c r="J163" s="4" t="n"/>
      <c r="K163" s="4" t="n"/>
      <c r="L163">
        <f>IF($A163="","",IF(AND(ISNUMBER($G163),ISNUMBER($H163),$G163&gt;0,$H163&gt;0),"⚠ both inflow and outflow entered",IF($K163="Missing","⚠ missing evidence","")))</f>
        <v/>
      </c>
    </row>
    <row r="164">
      <c r="A164" s="4" t="n"/>
      <c r="B164" s="27" t="n"/>
      <c r="C164" s="4" t="n"/>
      <c r="D164" s="4" t="n"/>
      <c r="E164" s="4" t="n"/>
      <c r="F164" s="4" t="n"/>
      <c r="G164" s="28" t="n"/>
      <c r="H164" s="28" t="n"/>
      <c r="I164" s="4" t="n"/>
      <c r="J164" s="4" t="n"/>
      <c r="K164" s="4" t="n"/>
      <c r="L164">
        <f>IF($A164="","",IF(AND(ISNUMBER($G164),ISNUMBER($H164),$G164&gt;0,$H164&gt;0),"⚠ both inflow and outflow entered",IF($K164="Missing","⚠ missing evidence","")))</f>
        <v/>
      </c>
    </row>
    <row r="165">
      <c r="A165" s="4" t="n"/>
      <c r="B165" s="27" t="n"/>
      <c r="C165" s="4" t="n"/>
      <c r="D165" s="4" t="n"/>
      <c r="E165" s="4" t="n"/>
      <c r="F165" s="4" t="n"/>
      <c r="G165" s="28" t="n"/>
      <c r="H165" s="28" t="n"/>
      <c r="I165" s="4" t="n"/>
      <c r="J165" s="4" t="n"/>
      <c r="K165" s="4" t="n"/>
      <c r="L165">
        <f>IF($A165="","",IF(AND(ISNUMBER($G165),ISNUMBER($H165),$G165&gt;0,$H165&gt;0),"⚠ both inflow and outflow entered",IF($K165="Missing","⚠ missing evidence","")))</f>
        <v/>
      </c>
    </row>
    <row r="166">
      <c r="A166" s="4" t="n"/>
      <c r="B166" s="27" t="n"/>
      <c r="C166" s="4" t="n"/>
      <c r="D166" s="4" t="n"/>
      <c r="E166" s="4" t="n"/>
      <c r="F166" s="4" t="n"/>
      <c r="G166" s="28" t="n"/>
      <c r="H166" s="28" t="n"/>
      <c r="I166" s="4" t="n"/>
      <c r="J166" s="4" t="n"/>
      <c r="K166" s="4" t="n"/>
      <c r="L166">
        <f>IF($A166="","",IF(AND(ISNUMBER($G166),ISNUMBER($H166),$G166&gt;0,$H166&gt;0),"⚠ both inflow and outflow entered",IF($K166="Missing","⚠ missing evidence","")))</f>
        <v/>
      </c>
    </row>
    <row r="167">
      <c r="A167" s="4" t="n"/>
      <c r="B167" s="27" t="n"/>
      <c r="C167" s="4" t="n"/>
      <c r="D167" s="4" t="n"/>
      <c r="E167" s="4" t="n"/>
      <c r="F167" s="4" t="n"/>
      <c r="G167" s="28" t="n"/>
      <c r="H167" s="28" t="n"/>
      <c r="I167" s="4" t="n"/>
      <c r="J167" s="4" t="n"/>
      <c r="K167" s="4" t="n"/>
      <c r="L167">
        <f>IF($A167="","",IF(AND(ISNUMBER($G167),ISNUMBER($H167),$G167&gt;0,$H167&gt;0),"⚠ both inflow and outflow entered",IF($K167="Missing","⚠ missing evidence","")))</f>
        <v/>
      </c>
    </row>
    <row r="168">
      <c r="A168" s="4" t="n"/>
      <c r="B168" s="27" t="n"/>
      <c r="C168" s="4" t="n"/>
      <c r="D168" s="4" t="n"/>
      <c r="E168" s="4" t="n"/>
      <c r="F168" s="4" t="n"/>
      <c r="G168" s="28" t="n"/>
      <c r="H168" s="28" t="n"/>
      <c r="I168" s="4" t="n"/>
      <c r="J168" s="4" t="n"/>
      <c r="K168" s="4" t="n"/>
      <c r="L168">
        <f>IF($A168="","",IF(AND(ISNUMBER($G168),ISNUMBER($H168),$G168&gt;0,$H168&gt;0),"⚠ both inflow and outflow entered",IF($K168="Missing","⚠ missing evidence","")))</f>
        <v/>
      </c>
    </row>
    <row r="169">
      <c r="A169" s="4" t="n"/>
      <c r="B169" s="27" t="n"/>
      <c r="C169" s="4" t="n"/>
      <c r="D169" s="4" t="n"/>
      <c r="E169" s="4" t="n"/>
      <c r="F169" s="4" t="n"/>
      <c r="G169" s="28" t="n"/>
      <c r="H169" s="28" t="n"/>
      <c r="I169" s="4" t="n"/>
      <c r="J169" s="4" t="n"/>
      <c r="K169" s="4" t="n"/>
      <c r="L169">
        <f>IF($A169="","",IF(AND(ISNUMBER($G169),ISNUMBER($H169),$G169&gt;0,$H169&gt;0),"⚠ both inflow and outflow entered",IF($K169="Missing","⚠ missing evidence","")))</f>
        <v/>
      </c>
    </row>
    <row r="170">
      <c r="A170" s="4" t="n"/>
      <c r="B170" s="27" t="n"/>
      <c r="C170" s="4" t="n"/>
      <c r="D170" s="4" t="n"/>
      <c r="E170" s="4" t="n"/>
      <c r="F170" s="4" t="n"/>
      <c r="G170" s="28" t="n"/>
      <c r="H170" s="28" t="n"/>
      <c r="I170" s="4" t="n"/>
      <c r="J170" s="4" t="n"/>
      <c r="K170" s="4" t="n"/>
      <c r="L170">
        <f>IF($A170="","",IF(AND(ISNUMBER($G170),ISNUMBER($H170),$G170&gt;0,$H170&gt;0),"⚠ both inflow and outflow entered",IF($K170="Missing","⚠ missing evidence","")))</f>
        <v/>
      </c>
    </row>
    <row r="171">
      <c r="A171" s="4" t="n"/>
      <c r="B171" s="27" t="n"/>
      <c r="C171" s="4" t="n"/>
      <c r="D171" s="4" t="n"/>
      <c r="E171" s="4" t="n"/>
      <c r="F171" s="4" t="n"/>
      <c r="G171" s="28" t="n"/>
      <c r="H171" s="28" t="n"/>
      <c r="I171" s="4" t="n"/>
      <c r="J171" s="4" t="n"/>
      <c r="K171" s="4" t="n"/>
      <c r="L171">
        <f>IF($A171="","",IF(AND(ISNUMBER($G171),ISNUMBER($H171),$G171&gt;0,$H171&gt;0),"⚠ both inflow and outflow entered",IF($K171="Missing","⚠ missing evidence","")))</f>
        <v/>
      </c>
    </row>
    <row r="172">
      <c r="A172" s="4" t="n"/>
      <c r="B172" s="27" t="n"/>
      <c r="C172" s="4" t="n"/>
      <c r="D172" s="4" t="n"/>
      <c r="E172" s="4" t="n"/>
      <c r="F172" s="4" t="n"/>
      <c r="G172" s="28" t="n"/>
      <c r="H172" s="28" t="n"/>
      <c r="I172" s="4" t="n"/>
      <c r="J172" s="4" t="n"/>
      <c r="K172" s="4" t="n"/>
      <c r="L172">
        <f>IF($A172="","",IF(AND(ISNUMBER($G172),ISNUMBER($H172),$G172&gt;0,$H172&gt;0),"⚠ both inflow and outflow entered",IF($K172="Missing","⚠ missing evidence","")))</f>
        <v/>
      </c>
    </row>
    <row r="173">
      <c r="A173" s="4" t="n"/>
      <c r="B173" s="27" t="n"/>
      <c r="C173" s="4" t="n"/>
      <c r="D173" s="4" t="n"/>
      <c r="E173" s="4" t="n"/>
      <c r="F173" s="4" t="n"/>
      <c r="G173" s="28" t="n"/>
      <c r="H173" s="28" t="n"/>
      <c r="I173" s="4" t="n"/>
      <c r="J173" s="4" t="n"/>
      <c r="K173" s="4" t="n"/>
      <c r="L173">
        <f>IF($A173="","",IF(AND(ISNUMBER($G173),ISNUMBER($H173),$G173&gt;0,$H173&gt;0),"⚠ both inflow and outflow entered",IF($K173="Missing","⚠ missing evidence","")))</f>
        <v/>
      </c>
    </row>
    <row r="174">
      <c r="A174" s="4" t="n"/>
      <c r="B174" s="27" t="n"/>
      <c r="C174" s="4" t="n"/>
      <c r="D174" s="4" t="n"/>
      <c r="E174" s="4" t="n"/>
      <c r="F174" s="4" t="n"/>
      <c r="G174" s="28" t="n"/>
      <c r="H174" s="28" t="n"/>
      <c r="I174" s="4" t="n"/>
      <c r="J174" s="4" t="n"/>
      <c r="K174" s="4" t="n"/>
      <c r="L174">
        <f>IF($A174="","",IF(AND(ISNUMBER($G174),ISNUMBER($H174),$G174&gt;0,$H174&gt;0),"⚠ both inflow and outflow entered",IF($K174="Missing","⚠ missing evidence","")))</f>
        <v/>
      </c>
    </row>
    <row r="175">
      <c r="A175" s="4" t="n"/>
      <c r="B175" s="27" t="n"/>
      <c r="C175" s="4" t="n"/>
      <c r="D175" s="4" t="n"/>
      <c r="E175" s="4" t="n"/>
      <c r="F175" s="4" t="n"/>
      <c r="G175" s="28" t="n"/>
      <c r="H175" s="28" t="n"/>
      <c r="I175" s="4" t="n"/>
      <c r="J175" s="4" t="n"/>
      <c r="K175" s="4" t="n"/>
      <c r="L175">
        <f>IF($A175="","",IF(AND(ISNUMBER($G175),ISNUMBER($H175),$G175&gt;0,$H175&gt;0),"⚠ both inflow and outflow entered",IF($K175="Missing","⚠ missing evidence","")))</f>
        <v/>
      </c>
    </row>
    <row r="176">
      <c r="A176" s="4" t="n"/>
      <c r="B176" s="27" t="n"/>
      <c r="C176" s="4" t="n"/>
      <c r="D176" s="4" t="n"/>
      <c r="E176" s="4" t="n"/>
      <c r="F176" s="4" t="n"/>
      <c r="G176" s="28" t="n"/>
      <c r="H176" s="28" t="n"/>
      <c r="I176" s="4" t="n"/>
      <c r="J176" s="4" t="n"/>
      <c r="K176" s="4" t="n"/>
      <c r="L176">
        <f>IF($A176="","",IF(AND(ISNUMBER($G176),ISNUMBER($H176),$G176&gt;0,$H176&gt;0),"⚠ both inflow and outflow entered",IF($K176="Missing","⚠ missing evidence","")))</f>
        <v/>
      </c>
    </row>
    <row r="177">
      <c r="A177" s="4" t="n"/>
      <c r="B177" s="27" t="n"/>
      <c r="C177" s="4" t="n"/>
      <c r="D177" s="4" t="n"/>
      <c r="E177" s="4" t="n"/>
      <c r="F177" s="4" t="n"/>
      <c r="G177" s="28" t="n"/>
      <c r="H177" s="28" t="n"/>
      <c r="I177" s="4" t="n"/>
      <c r="J177" s="4" t="n"/>
      <c r="K177" s="4" t="n"/>
      <c r="L177">
        <f>IF($A177="","",IF(AND(ISNUMBER($G177),ISNUMBER($H177),$G177&gt;0,$H177&gt;0),"⚠ both inflow and outflow entered",IF($K177="Missing","⚠ missing evidence","")))</f>
        <v/>
      </c>
    </row>
    <row r="178">
      <c r="A178" s="4" t="n"/>
      <c r="B178" s="27" t="n"/>
      <c r="C178" s="4" t="n"/>
      <c r="D178" s="4" t="n"/>
      <c r="E178" s="4" t="n"/>
      <c r="F178" s="4" t="n"/>
      <c r="G178" s="28" t="n"/>
      <c r="H178" s="28" t="n"/>
      <c r="I178" s="4" t="n"/>
      <c r="J178" s="4" t="n"/>
      <c r="K178" s="4" t="n"/>
      <c r="L178">
        <f>IF($A178="","",IF(AND(ISNUMBER($G178),ISNUMBER($H178),$G178&gt;0,$H178&gt;0),"⚠ both inflow and outflow entered",IF($K178="Missing","⚠ missing evidence","")))</f>
        <v/>
      </c>
    </row>
    <row r="179">
      <c r="A179" s="4" t="n"/>
      <c r="B179" s="27" t="n"/>
      <c r="C179" s="4" t="n"/>
      <c r="D179" s="4" t="n"/>
      <c r="E179" s="4" t="n"/>
      <c r="F179" s="4" t="n"/>
      <c r="G179" s="28" t="n"/>
      <c r="H179" s="28" t="n"/>
      <c r="I179" s="4" t="n"/>
      <c r="J179" s="4" t="n"/>
      <c r="K179" s="4" t="n"/>
      <c r="L179">
        <f>IF($A179="","",IF(AND(ISNUMBER($G179),ISNUMBER($H179),$G179&gt;0,$H179&gt;0),"⚠ both inflow and outflow entered",IF($K179="Missing","⚠ missing evidence","")))</f>
        <v/>
      </c>
    </row>
    <row r="180">
      <c r="A180" s="4" t="n"/>
      <c r="B180" s="27" t="n"/>
      <c r="C180" s="4" t="n"/>
      <c r="D180" s="4" t="n"/>
      <c r="E180" s="4" t="n"/>
      <c r="F180" s="4" t="n"/>
      <c r="G180" s="28" t="n"/>
      <c r="H180" s="28" t="n"/>
      <c r="I180" s="4" t="n"/>
      <c r="J180" s="4" t="n"/>
      <c r="K180" s="4" t="n"/>
      <c r="L180">
        <f>IF($A180="","",IF(AND(ISNUMBER($G180),ISNUMBER($H180),$G180&gt;0,$H180&gt;0),"⚠ both inflow and outflow entered",IF($K180="Missing","⚠ missing evidence","")))</f>
        <v/>
      </c>
    </row>
    <row r="181">
      <c r="A181" s="4" t="n"/>
      <c r="B181" s="27" t="n"/>
      <c r="C181" s="4" t="n"/>
      <c r="D181" s="4" t="n"/>
      <c r="E181" s="4" t="n"/>
      <c r="F181" s="4" t="n"/>
      <c r="G181" s="28" t="n"/>
      <c r="H181" s="28" t="n"/>
      <c r="I181" s="4" t="n"/>
      <c r="J181" s="4" t="n"/>
      <c r="K181" s="4" t="n"/>
      <c r="L181">
        <f>IF($A181="","",IF(AND(ISNUMBER($G181),ISNUMBER($H181),$G181&gt;0,$H181&gt;0),"⚠ both inflow and outflow entered",IF($K181="Missing","⚠ missing evidence","")))</f>
        <v/>
      </c>
    </row>
    <row r="182">
      <c r="A182" s="4" t="n"/>
      <c r="B182" s="27" t="n"/>
      <c r="C182" s="4" t="n"/>
      <c r="D182" s="4" t="n"/>
      <c r="E182" s="4" t="n"/>
      <c r="F182" s="4" t="n"/>
      <c r="G182" s="28" t="n"/>
      <c r="H182" s="28" t="n"/>
      <c r="I182" s="4" t="n"/>
      <c r="J182" s="4" t="n"/>
      <c r="K182" s="4" t="n"/>
      <c r="L182">
        <f>IF($A182="","",IF(AND(ISNUMBER($G182),ISNUMBER($H182),$G182&gt;0,$H182&gt;0),"⚠ both inflow and outflow entered",IF($K182="Missing","⚠ missing evidence","")))</f>
        <v/>
      </c>
    </row>
    <row r="183">
      <c r="A183" s="4" t="n"/>
      <c r="B183" s="27" t="n"/>
      <c r="C183" s="4" t="n"/>
      <c r="D183" s="4" t="n"/>
      <c r="E183" s="4" t="n"/>
      <c r="F183" s="4" t="n"/>
      <c r="G183" s="28" t="n"/>
      <c r="H183" s="28" t="n"/>
      <c r="I183" s="4" t="n"/>
      <c r="J183" s="4" t="n"/>
      <c r="K183" s="4" t="n"/>
      <c r="L183">
        <f>IF($A183="","",IF(AND(ISNUMBER($G183),ISNUMBER($H183),$G183&gt;0,$H183&gt;0),"⚠ both inflow and outflow entered",IF($K183="Missing","⚠ missing evidence","")))</f>
        <v/>
      </c>
    </row>
    <row r="184">
      <c r="A184" s="4" t="n"/>
      <c r="B184" s="27" t="n"/>
      <c r="C184" s="4" t="n"/>
      <c r="D184" s="4" t="n"/>
      <c r="E184" s="4" t="n"/>
      <c r="F184" s="4" t="n"/>
      <c r="G184" s="28" t="n"/>
      <c r="H184" s="28" t="n"/>
      <c r="I184" s="4" t="n"/>
      <c r="J184" s="4" t="n"/>
      <c r="K184" s="4" t="n"/>
      <c r="L184">
        <f>IF($A184="","",IF(AND(ISNUMBER($G184),ISNUMBER($H184),$G184&gt;0,$H184&gt;0),"⚠ both inflow and outflow entered",IF($K184="Missing","⚠ missing evidence","")))</f>
        <v/>
      </c>
    </row>
    <row r="185">
      <c r="A185" s="4" t="n"/>
      <c r="B185" s="27" t="n"/>
      <c r="C185" s="4" t="n"/>
      <c r="D185" s="4" t="n"/>
      <c r="E185" s="4" t="n"/>
      <c r="F185" s="4" t="n"/>
      <c r="G185" s="28" t="n"/>
      <c r="H185" s="28" t="n"/>
      <c r="I185" s="4" t="n"/>
      <c r="J185" s="4" t="n"/>
      <c r="K185" s="4" t="n"/>
      <c r="L185">
        <f>IF($A185="","",IF(AND(ISNUMBER($G185),ISNUMBER($H185),$G185&gt;0,$H185&gt;0),"⚠ both inflow and outflow entered",IF($K185="Missing","⚠ missing evidence","")))</f>
        <v/>
      </c>
    </row>
    <row r="186">
      <c r="A186" s="4" t="n"/>
      <c r="B186" s="27" t="n"/>
      <c r="C186" s="4" t="n"/>
      <c r="D186" s="4" t="n"/>
      <c r="E186" s="4" t="n"/>
      <c r="F186" s="4" t="n"/>
      <c r="G186" s="28" t="n"/>
      <c r="H186" s="28" t="n"/>
      <c r="I186" s="4" t="n"/>
      <c r="J186" s="4" t="n"/>
      <c r="K186" s="4" t="n"/>
      <c r="L186">
        <f>IF($A186="","",IF(AND(ISNUMBER($G186),ISNUMBER($H186),$G186&gt;0,$H186&gt;0),"⚠ both inflow and outflow entered",IF($K186="Missing","⚠ missing evidence","")))</f>
        <v/>
      </c>
    </row>
    <row r="187">
      <c r="A187" s="4" t="n"/>
      <c r="B187" s="27" t="n"/>
      <c r="C187" s="4" t="n"/>
      <c r="D187" s="4" t="n"/>
      <c r="E187" s="4" t="n"/>
      <c r="F187" s="4" t="n"/>
      <c r="G187" s="28" t="n"/>
      <c r="H187" s="28" t="n"/>
      <c r="I187" s="4" t="n"/>
      <c r="J187" s="4" t="n"/>
      <c r="K187" s="4" t="n"/>
      <c r="L187">
        <f>IF($A187="","",IF(AND(ISNUMBER($G187),ISNUMBER($H187),$G187&gt;0,$H187&gt;0),"⚠ both inflow and outflow entered",IF($K187="Missing","⚠ missing evidence","")))</f>
        <v/>
      </c>
    </row>
    <row r="188">
      <c r="A188" s="4" t="n"/>
      <c r="B188" s="27" t="n"/>
      <c r="C188" s="4" t="n"/>
      <c r="D188" s="4" t="n"/>
      <c r="E188" s="4" t="n"/>
      <c r="F188" s="4" t="n"/>
      <c r="G188" s="28" t="n"/>
      <c r="H188" s="28" t="n"/>
      <c r="I188" s="4" t="n"/>
      <c r="J188" s="4" t="n"/>
      <c r="K188" s="4" t="n"/>
      <c r="L188">
        <f>IF($A188="","",IF(AND(ISNUMBER($G188),ISNUMBER($H188),$G188&gt;0,$H188&gt;0),"⚠ both inflow and outflow entered",IF($K188="Missing","⚠ missing evidence","")))</f>
        <v/>
      </c>
    </row>
    <row r="189">
      <c r="A189" s="4" t="n"/>
      <c r="B189" s="27" t="n"/>
      <c r="C189" s="4" t="n"/>
      <c r="D189" s="4" t="n"/>
      <c r="E189" s="4" t="n"/>
      <c r="F189" s="4" t="n"/>
      <c r="G189" s="28" t="n"/>
      <c r="H189" s="28" t="n"/>
      <c r="I189" s="4" t="n"/>
      <c r="J189" s="4" t="n"/>
      <c r="K189" s="4" t="n"/>
      <c r="L189">
        <f>IF($A189="","",IF(AND(ISNUMBER($G189),ISNUMBER($H189),$G189&gt;0,$H189&gt;0),"⚠ both inflow and outflow entered",IF($K189="Missing","⚠ missing evidence","")))</f>
        <v/>
      </c>
    </row>
    <row r="190">
      <c r="A190" s="4" t="n"/>
      <c r="B190" s="27" t="n"/>
      <c r="C190" s="4" t="n"/>
      <c r="D190" s="4" t="n"/>
      <c r="E190" s="4" t="n"/>
      <c r="F190" s="4" t="n"/>
      <c r="G190" s="28" t="n"/>
      <c r="H190" s="28" t="n"/>
      <c r="I190" s="4" t="n"/>
      <c r="J190" s="4" t="n"/>
      <c r="K190" s="4" t="n"/>
      <c r="L190">
        <f>IF($A190="","",IF(AND(ISNUMBER($G190),ISNUMBER($H190),$G190&gt;0,$H190&gt;0),"⚠ both inflow and outflow entered",IF($K190="Missing","⚠ missing evidence","")))</f>
        <v/>
      </c>
    </row>
    <row r="191">
      <c r="A191" s="4" t="n"/>
      <c r="B191" s="27" t="n"/>
      <c r="C191" s="4" t="n"/>
      <c r="D191" s="4" t="n"/>
      <c r="E191" s="4" t="n"/>
      <c r="F191" s="4" t="n"/>
      <c r="G191" s="28" t="n"/>
      <c r="H191" s="28" t="n"/>
      <c r="I191" s="4" t="n"/>
      <c r="J191" s="4" t="n"/>
      <c r="K191" s="4" t="n"/>
      <c r="L191">
        <f>IF($A191="","",IF(AND(ISNUMBER($G191),ISNUMBER($H191),$G191&gt;0,$H191&gt;0),"⚠ both inflow and outflow entered",IF($K191="Missing","⚠ missing evidence","")))</f>
        <v/>
      </c>
    </row>
    <row r="192">
      <c r="A192" s="4" t="n"/>
      <c r="B192" s="27" t="n"/>
      <c r="C192" s="4" t="n"/>
      <c r="D192" s="4" t="n"/>
      <c r="E192" s="4" t="n"/>
      <c r="F192" s="4" t="n"/>
      <c r="G192" s="28" t="n"/>
      <c r="H192" s="28" t="n"/>
      <c r="I192" s="4" t="n"/>
      <c r="J192" s="4" t="n"/>
      <c r="K192" s="4" t="n"/>
      <c r="L192">
        <f>IF($A192="","",IF(AND(ISNUMBER($G192),ISNUMBER($H192),$G192&gt;0,$H192&gt;0),"⚠ both inflow and outflow entered",IF($K192="Missing","⚠ missing evidence","")))</f>
        <v/>
      </c>
    </row>
    <row r="193">
      <c r="A193" s="4" t="n"/>
      <c r="B193" s="27" t="n"/>
      <c r="C193" s="4" t="n"/>
      <c r="D193" s="4" t="n"/>
      <c r="E193" s="4" t="n"/>
      <c r="F193" s="4" t="n"/>
      <c r="G193" s="28" t="n"/>
      <c r="H193" s="28" t="n"/>
      <c r="I193" s="4" t="n"/>
      <c r="J193" s="4" t="n"/>
      <c r="K193" s="4" t="n"/>
      <c r="L193">
        <f>IF($A193="","",IF(AND(ISNUMBER($G193),ISNUMBER($H193),$G193&gt;0,$H193&gt;0),"⚠ both inflow and outflow entered",IF($K193="Missing","⚠ missing evidence","")))</f>
        <v/>
      </c>
    </row>
    <row r="194">
      <c r="A194" s="4" t="n"/>
      <c r="B194" s="27" t="n"/>
      <c r="C194" s="4" t="n"/>
      <c r="D194" s="4" t="n"/>
      <c r="E194" s="4" t="n"/>
      <c r="F194" s="4" t="n"/>
      <c r="G194" s="28" t="n"/>
      <c r="H194" s="28" t="n"/>
      <c r="I194" s="4" t="n"/>
      <c r="J194" s="4" t="n"/>
      <c r="K194" s="4" t="n"/>
      <c r="L194">
        <f>IF($A194="","",IF(AND(ISNUMBER($G194),ISNUMBER($H194),$G194&gt;0,$H194&gt;0),"⚠ both inflow and outflow entered",IF($K194="Missing","⚠ missing evidence","")))</f>
        <v/>
      </c>
    </row>
    <row r="195">
      <c r="A195" s="4" t="n"/>
      <c r="B195" s="27" t="n"/>
      <c r="C195" s="4" t="n"/>
      <c r="D195" s="4" t="n"/>
      <c r="E195" s="4" t="n"/>
      <c r="F195" s="4" t="n"/>
      <c r="G195" s="28" t="n"/>
      <c r="H195" s="28" t="n"/>
      <c r="I195" s="4" t="n"/>
      <c r="J195" s="4" t="n"/>
      <c r="K195" s="4" t="n"/>
      <c r="L195">
        <f>IF($A195="","",IF(AND(ISNUMBER($G195),ISNUMBER($H195),$G195&gt;0,$H195&gt;0),"⚠ both inflow and outflow entered",IF($K195="Missing","⚠ missing evidence","")))</f>
        <v/>
      </c>
    </row>
    <row r="196">
      <c r="A196" s="4" t="n"/>
      <c r="B196" s="27" t="n"/>
      <c r="C196" s="4" t="n"/>
      <c r="D196" s="4" t="n"/>
      <c r="E196" s="4" t="n"/>
      <c r="F196" s="4" t="n"/>
      <c r="G196" s="28" t="n"/>
      <c r="H196" s="28" t="n"/>
      <c r="I196" s="4" t="n"/>
      <c r="J196" s="4" t="n"/>
      <c r="K196" s="4" t="n"/>
      <c r="L196">
        <f>IF($A196="","",IF(AND(ISNUMBER($G196),ISNUMBER($H196),$G196&gt;0,$H196&gt;0),"⚠ both inflow and outflow entered",IF($K196="Missing","⚠ missing evidence","")))</f>
        <v/>
      </c>
    </row>
    <row r="197">
      <c r="A197" s="4" t="n"/>
      <c r="B197" s="27" t="n"/>
      <c r="C197" s="4" t="n"/>
      <c r="D197" s="4" t="n"/>
      <c r="E197" s="4" t="n"/>
      <c r="F197" s="4" t="n"/>
      <c r="G197" s="28" t="n"/>
      <c r="H197" s="28" t="n"/>
      <c r="I197" s="4" t="n"/>
      <c r="J197" s="4" t="n"/>
      <c r="K197" s="4" t="n"/>
      <c r="L197">
        <f>IF($A197="","",IF(AND(ISNUMBER($G197),ISNUMBER($H197),$G197&gt;0,$H197&gt;0),"⚠ both inflow and outflow entered",IF($K197="Missing","⚠ missing evidence","")))</f>
        <v/>
      </c>
    </row>
    <row r="198">
      <c r="A198" s="4" t="n"/>
      <c r="B198" s="27" t="n"/>
      <c r="C198" s="4" t="n"/>
      <c r="D198" s="4" t="n"/>
      <c r="E198" s="4" t="n"/>
      <c r="F198" s="4" t="n"/>
      <c r="G198" s="28" t="n"/>
      <c r="H198" s="28" t="n"/>
      <c r="I198" s="4" t="n"/>
      <c r="J198" s="4" t="n"/>
      <c r="K198" s="4" t="n"/>
      <c r="L198">
        <f>IF($A198="","",IF(AND(ISNUMBER($G198),ISNUMBER($H198),$G198&gt;0,$H198&gt;0),"⚠ both inflow and outflow entered",IF($K198="Missing","⚠ missing evidence","")))</f>
        <v/>
      </c>
    </row>
    <row r="199">
      <c r="A199" s="4" t="n"/>
      <c r="B199" s="27" t="n"/>
      <c r="C199" s="4" t="n"/>
      <c r="D199" s="4" t="n"/>
      <c r="E199" s="4" t="n"/>
      <c r="F199" s="4" t="n"/>
      <c r="G199" s="28" t="n"/>
      <c r="H199" s="28" t="n"/>
      <c r="I199" s="4" t="n"/>
      <c r="J199" s="4" t="n"/>
      <c r="K199" s="4" t="n"/>
      <c r="L199">
        <f>IF($A199="","",IF(AND(ISNUMBER($G199),ISNUMBER($H199),$G199&gt;0,$H199&gt;0),"⚠ both inflow and outflow entered",IF($K199="Missing","⚠ missing evidence","")))</f>
        <v/>
      </c>
    </row>
    <row r="200">
      <c r="A200" s="4" t="n"/>
      <c r="B200" s="27" t="n"/>
      <c r="C200" s="4" t="n"/>
      <c r="D200" s="4" t="n"/>
      <c r="E200" s="4" t="n"/>
      <c r="F200" s="4" t="n"/>
      <c r="G200" s="28" t="n"/>
      <c r="H200" s="28" t="n"/>
      <c r="I200" s="4" t="n"/>
      <c r="J200" s="4" t="n"/>
      <c r="K200" s="4" t="n"/>
      <c r="L200">
        <f>IF($A200="","",IF(AND(ISNUMBER($G200),ISNUMBER($H200),$G200&gt;0,$H200&gt;0),"⚠ both inflow and outflow entered",IF($K200="Missing","⚠ missing evidence","")))</f>
        <v/>
      </c>
    </row>
    <row r="201">
      <c r="A201" s="4" t="n"/>
      <c r="B201" s="27" t="n"/>
      <c r="C201" s="4" t="n"/>
      <c r="D201" s="4" t="n"/>
      <c r="E201" s="4" t="n"/>
      <c r="F201" s="4" t="n"/>
      <c r="G201" s="28" t="n"/>
      <c r="H201" s="28" t="n"/>
      <c r="I201" s="4" t="n"/>
      <c r="J201" s="4" t="n"/>
      <c r="K201" s="4" t="n"/>
      <c r="L201">
        <f>IF($A201="","",IF(AND(ISNUMBER($G201),ISNUMBER($H201),$G201&gt;0,$H201&gt;0),"⚠ both inflow and outflow entered",IF($K201="Missing","⚠ missing evidence","")))</f>
        <v/>
      </c>
    </row>
    <row r="202">
      <c r="A202" s="4" t="n"/>
      <c r="B202" s="27" t="n"/>
      <c r="C202" s="4" t="n"/>
      <c r="D202" s="4" t="n"/>
      <c r="E202" s="4" t="n"/>
      <c r="F202" s="4" t="n"/>
      <c r="G202" s="28" t="n"/>
      <c r="H202" s="28" t="n"/>
      <c r="I202" s="4" t="n"/>
      <c r="J202" s="4" t="n"/>
      <c r="K202" s="4" t="n"/>
      <c r="L202">
        <f>IF($A202="","",IF(AND(ISNUMBER($G202),ISNUMBER($H202),$G202&gt;0,$H202&gt;0),"⚠ both inflow and outflow entered",IF($K202="Missing","⚠ missing evidence","")))</f>
        <v/>
      </c>
    </row>
    <row r="203">
      <c r="A203" s="4" t="n"/>
      <c r="B203" s="27" t="n"/>
      <c r="C203" s="4" t="n"/>
      <c r="D203" s="4" t="n"/>
      <c r="E203" s="4" t="n"/>
      <c r="F203" s="4" t="n"/>
      <c r="G203" s="28" t="n"/>
      <c r="H203" s="28" t="n"/>
      <c r="I203" s="4" t="n"/>
      <c r="J203" s="4" t="n"/>
      <c r="K203" s="4" t="n"/>
      <c r="L203">
        <f>IF($A203="","",IF(AND(ISNUMBER($G203),ISNUMBER($H203),$G203&gt;0,$H203&gt;0),"⚠ both inflow and outflow entered",IF($K203="Missing","⚠ missing evidence","")))</f>
        <v/>
      </c>
    </row>
    <row r="204">
      <c r="A204" s="4" t="n"/>
      <c r="B204" s="27" t="n"/>
      <c r="C204" s="4" t="n"/>
      <c r="D204" s="4" t="n"/>
      <c r="E204" s="4" t="n"/>
      <c r="F204" s="4" t="n"/>
      <c r="G204" s="28" t="n"/>
      <c r="H204" s="28" t="n"/>
      <c r="I204" s="4" t="n"/>
      <c r="J204" s="4" t="n"/>
      <c r="K204" s="4" t="n"/>
      <c r="L204">
        <f>IF($A204="","",IF(AND(ISNUMBER($G204),ISNUMBER($H204),$G204&gt;0,$H204&gt;0),"⚠ both inflow and outflow entered",IF($K204="Missing","⚠ missing evidence","")))</f>
        <v/>
      </c>
    </row>
    <row r="205">
      <c r="A205" s="4" t="n"/>
      <c r="B205" s="27" t="n"/>
      <c r="C205" s="4" t="n"/>
      <c r="D205" s="4" t="n"/>
      <c r="E205" s="4" t="n"/>
      <c r="F205" s="4" t="n"/>
      <c r="G205" s="28" t="n"/>
      <c r="H205" s="28" t="n"/>
      <c r="I205" s="4" t="n"/>
      <c r="J205" s="4" t="n"/>
      <c r="K205" s="4" t="n"/>
      <c r="L205">
        <f>IF($A205="","",IF(AND(ISNUMBER($G205),ISNUMBER($H205),$G205&gt;0,$H205&gt;0),"⚠ both inflow and outflow entered",IF($K205="Missing","⚠ missing evidence","")))</f>
        <v/>
      </c>
    </row>
    <row r="206">
      <c r="A206" s="4" t="n"/>
      <c r="B206" s="27" t="n"/>
      <c r="C206" s="4" t="n"/>
      <c r="D206" s="4" t="n"/>
      <c r="E206" s="4" t="n"/>
      <c r="F206" s="4" t="n"/>
      <c r="G206" s="28" t="n"/>
      <c r="H206" s="28" t="n"/>
      <c r="I206" s="4" t="n"/>
      <c r="J206" s="4" t="n"/>
      <c r="K206" s="4" t="n"/>
      <c r="L206">
        <f>IF($A206="","",IF(AND(ISNUMBER($G206),ISNUMBER($H206),$G206&gt;0,$H206&gt;0),"⚠ both inflow and outflow entered",IF($K206="Missing","⚠ missing evidence","")))</f>
        <v/>
      </c>
    </row>
    <row r="207">
      <c r="A207" s="4" t="n"/>
      <c r="B207" s="27" t="n"/>
      <c r="C207" s="4" t="n"/>
      <c r="D207" s="4" t="n"/>
      <c r="E207" s="4" t="n"/>
      <c r="F207" s="4" t="n"/>
      <c r="G207" s="28" t="n"/>
      <c r="H207" s="28" t="n"/>
      <c r="I207" s="4" t="n"/>
      <c r="J207" s="4" t="n"/>
      <c r="K207" s="4" t="n"/>
      <c r="L207">
        <f>IF($A207="","",IF(AND(ISNUMBER($G207),ISNUMBER($H207),$G207&gt;0,$H207&gt;0),"⚠ both inflow and outflow entered",IF($K207="Missing","⚠ missing evidence","")))</f>
        <v/>
      </c>
    </row>
    <row r="208">
      <c r="A208" s="4" t="n"/>
      <c r="B208" s="27" t="n"/>
      <c r="C208" s="4" t="n"/>
      <c r="D208" s="4" t="n"/>
      <c r="E208" s="4" t="n"/>
      <c r="F208" s="4" t="n"/>
      <c r="G208" s="28" t="n"/>
      <c r="H208" s="28" t="n"/>
      <c r="I208" s="4" t="n"/>
      <c r="J208" s="4" t="n"/>
      <c r="K208" s="4" t="n"/>
      <c r="L208">
        <f>IF($A208="","",IF(AND(ISNUMBER($G208),ISNUMBER($H208),$G208&gt;0,$H208&gt;0),"⚠ both inflow and outflow entered",IF($K208="Missing","⚠ missing evidence","")))</f>
        <v/>
      </c>
    </row>
    <row r="209">
      <c r="A209" s="4" t="n"/>
      <c r="B209" s="27" t="n"/>
      <c r="C209" s="4" t="n"/>
      <c r="D209" s="4" t="n"/>
      <c r="E209" s="4" t="n"/>
      <c r="F209" s="4" t="n"/>
      <c r="G209" s="28" t="n"/>
      <c r="H209" s="28" t="n"/>
      <c r="I209" s="4" t="n"/>
      <c r="J209" s="4" t="n"/>
      <c r="K209" s="4" t="n"/>
      <c r="L209">
        <f>IF($A209="","",IF(AND(ISNUMBER($G209),ISNUMBER($H209),$G209&gt;0,$H209&gt;0),"⚠ both inflow and outflow entered",IF($K209="Missing","⚠ missing evidence","")))</f>
        <v/>
      </c>
    </row>
    <row r="210">
      <c r="A210" s="4" t="n"/>
      <c r="B210" s="27" t="n"/>
      <c r="C210" s="4" t="n"/>
      <c r="D210" s="4" t="n"/>
      <c r="E210" s="4" t="n"/>
      <c r="F210" s="4" t="n"/>
      <c r="G210" s="28" t="n"/>
      <c r="H210" s="28" t="n"/>
      <c r="I210" s="4" t="n"/>
      <c r="J210" s="4" t="n"/>
      <c r="K210" s="4" t="n"/>
      <c r="L210">
        <f>IF($A210="","",IF(AND(ISNUMBER($G210),ISNUMBER($H210),$G210&gt;0,$H210&gt;0),"⚠ both inflow and outflow entered",IF($K210="Missing","⚠ missing evidence","")))</f>
        <v/>
      </c>
    </row>
    <row r="211">
      <c r="A211" s="4" t="n"/>
      <c r="B211" s="27" t="n"/>
      <c r="C211" s="4" t="n"/>
      <c r="D211" s="4" t="n"/>
      <c r="E211" s="4" t="n"/>
      <c r="F211" s="4" t="n"/>
      <c r="G211" s="28" t="n"/>
      <c r="H211" s="28" t="n"/>
      <c r="I211" s="4" t="n"/>
      <c r="J211" s="4" t="n"/>
      <c r="K211" s="4" t="n"/>
      <c r="L211">
        <f>IF($A211="","",IF(AND(ISNUMBER($G211),ISNUMBER($H211),$G211&gt;0,$H211&gt;0),"⚠ both inflow and outflow entered",IF($K211="Missing","⚠ missing evidence","")))</f>
        <v/>
      </c>
    </row>
    <row r="212">
      <c r="A212" s="4" t="n"/>
      <c r="B212" s="27" t="n"/>
      <c r="C212" s="4" t="n"/>
      <c r="D212" s="4" t="n"/>
      <c r="E212" s="4" t="n"/>
      <c r="F212" s="4" t="n"/>
      <c r="G212" s="28" t="n"/>
      <c r="H212" s="28" t="n"/>
      <c r="I212" s="4" t="n"/>
      <c r="J212" s="4" t="n"/>
      <c r="K212" s="4" t="n"/>
      <c r="L212">
        <f>IF($A212="","",IF(AND(ISNUMBER($G212),ISNUMBER($H212),$G212&gt;0,$H212&gt;0),"⚠ both inflow and outflow entered",IF($K212="Missing","⚠ missing evidence","")))</f>
        <v/>
      </c>
    </row>
    <row r="213">
      <c r="A213" s="4" t="n"/>
      <c r="B213" s="27" t="n"/>
      <c r="C213" s="4" t="n"/>
      <c r="D213" s="4" t="n"/>
      <c r="E213" s="4" t="n"/>
      <c r="F213" s="4" t="n"/>
      <c r="G213" s="28" t="n"/>
      <c r="H213" s="28" t="n"/>
      <c r="I213" s="4" t="n"/>
      <c r="J213" s="4" t="n"/>
      <c r="K213" s="4" t="n"/>
      <c r="L213">
        <f>IF($A213="","",IF(AND(ISNUMBER($G213),ISNUMBER($H213),$G213&gt;0,$H213&gt;0),"⚠ both inflow and outflow entered",IF($K213="Missing","⚠ missing evidence","")))</f>
        <v/>
      </c>
    </row>
    <row r="214">
      <c r="A214" s="4" t="n"/>
      <c r="B214" s="27" t="n"/>
      <c r="C214" s="4" t="n"/>
      <c r="D214" s="4" t="n"/>
      <c r="E214" s="4" t="n"/>
      <c r="F214" s="4" t="n"/>
      <c r="G214" s="28" t="n"/>
      <c r="H214" s="28" t="n"/>
      <c r="I214" s="4" t="n"/>
      <c r="J214" s="4" t="n"/>
      <c r="K214" s="4" t="n"/>
      <c r="L214">
        <f>IF($A214="","",IF(AND(ISNUMBER($G214),ISNUMBER($H214),$G214&gt;0,$H214&gt;0),"⚠ both inflow and outflow entered",IF($K214="Missing","⚠ missing evidence","")))</f>
        <v/>
      </c>
    </row>
    <row r="215">
      <c r="A215" s="4" t="n"/>
      <c r="B215" s="27" t="n"/>
      <c r="C215" s="4" t="n"/>
      <c r="D215" s="4" t="n"/>
      <c r="E215" s="4" t="n"/>
      <c r="F215" s="4" t="n"/>
      <c r="G215" s="28" t="n"/>
      <c r="H215" s="28" t="n"/>
      <c r="I215" s="4" t="n"/>
      <c r="J215" s="4" t="n"/>
      <c r="K215" s="4" t="n"/>
      <c r="L215">
        <f>IF($A215="","",IF(AND(ISNUMBER($G215),ISNUMBER($H215),$G215&gt;0,$H215&gt;0),"⚠ both inflow and outflow entered",IF($K215="Missing","⚠ missing evidence","")))</f>
        <v/>
      </c>
    </row>
    <row r="216">
      <c r="A216" s="4" t="n"/>
      <c r="B216" s="27" t="n"/>
      <c r="C216" s="4" t="n"/>
      <c r="D216" s="4" t="n"/>
      <c r="E216" s="4" t="n"/>
      <c r="F216" s="4" t="n"/>
      <c r="G216" s="28" t="n"/>
      <c r="H216" s="28" t="n"/>
      <c r="I216" s="4" t="n"/>
      <c r="J216" s="4" t="n"/>
      <c r="K216" s="4" t="n"/>
      <c r="L216">
        <f>IF($A216="","",IF(AND(ISNUMBER($G216),ISNUMBER($H216),$G216&gt;0,$H216&gt;0),"⚠ both inflow and outflow entered",IF($K216="Missing","⚠ missing evidence","")))</f>
        <v/>
      </c>
    </row>
    <row r="217">
      <c r="A217" s="4" t="n"/>
      <c r="B217" s="27" t="n"/>
      <c r="C217" s="4" t="n"/>
      <c r="D217" s="4" t="n"/>
      <c r="E217" s="4" t="n"/>
      <c r="F217" s="4" t="n"/>
      <c r="G217" s="28" t="n"/>
      <c r="H217" s="28" t="n"/>
      <c r="I217" s="4" t="n"/>
      <c r="J217" s="4" t="n"/>
      <c r="K217" s="4" t="n"/>
      <c r="L217">
        <f>IF($A217="","",IF(AND(ISNUMBER($G217),ISNUMBER($H217),$G217&gt;0,$H217&gt;0),"⚠ both inflow and outflow entered",IF($K217="Missing","⚠ missing evidence","")))</f>
        <v/>
      </c>
    </row>
    <row r="218">
      <c r="A218" s="4" t="n"/>
      <c r="B218" s="27" t="n"/>
      <c r="C218" s="4" t="n"/>
      <c r="D218" s="4" t="n"/>
      <c r="E218" s="4" t="n"/>
      <c r="F218" s="4" t="n"/>
      <c r="G218" s="28" t="n"/>
      <c r="H218" s="28" t="n"/>
      <c r="I218" s="4" t="n"/>
      <c r="J218" s="4" t="n"/>
      <c r="K218" s="4" t="n"/>
      <c r="L218">
        <f>IF($A218="","",IF(AND(ISNUMBER($G218),ISNUMBER($H218),$G218&gt;0,$H218&gt;0),"⚠ both inflow and outflow entered",IF($K218="Missing","⚠ missing evidence","")))</f>
        <v/>
      </c>
    </row>
    <row r="219">
      <c r="A219" s="4" t="n"/>
      <c r="B219" s="27" t="n"/>
      <c r="C219" s="4" t="n"/>
      <c r="D219" s="4" t="n"/>
      <c r="E219" s="4" t="n"/>
      <c r="F219" s="4" t="n"/>
      <c r="G219" s="28" t="n"/>
      <c r="H219" s="28" t="n"/>
      <c r="I219" s="4" t="n"/>
      <c r="J219" s="4" t="n"/>
      <c r="K219" s="4" t="n"/>
      <c r="L219">
        <f>IF($A219="","",IF(AND(ISNUMBER($G219),ISNUMBER($H219),$G219&gt;0,$H219&gt;0),"⚠ both inflow and outflow entered",IF($K219="Missing","⚠ missing evidence","")))</f>
        <v/>
      </c>
    </row>
    <row r="220">
      <c r="A220" s="4" t="n"/>
      <c r="B220" s="27" t="n"/>
      <c r="C220" s="4" t="n"/>
      <c r="D220" s="4" t="n"/>
      <c r="E220" s="4" t="n"/>
      <c r="F220" s="4" t="n"/>
      <c r="G220" s="28" t="n"/>
      <c r="H220" s="28" t="n"/>
      <c r="I220" s="4" t="n"/>
      <c r="J220" s="4" t="n"/>
      <c r="K220" s="4" t="n"/>
      <c r="L220">
        <f>IF($A220="","",IF(AND(ISNUMBER($G220),ISNUMBER($H220),$G220&gt;0,$H220&gt;0),"⚠ both inflow and outflow entered",IF($K220="Missing","⚠ missing evidence","")))</f>
        <v/>
      </c>
    </row>
    <row r="221">
      <c r="A221" s="4" t="n"/>
      <c r="B221" s="27" t="n"/>
      <c r="C221" s="4" t="n"/>
      <c r="D221" s="4" t="n"/>
      <c r="E221" s="4" t="n"/>
      <c r="F221" s="4" t="n"/>
      <c r="G221" s="28" t="n"/>
      <c r="H221" s="28" t="n"/>
      <c r="I221" s="4" t="n"/>
      <c r="J221" s="4" t="n"/>
      <c r="K221" s="4" t="n"/>
      <c r="L221">
        <f>IF($A221="","",IF(AND(ISNUMBER($G221),ISNUMBER($H221),$G221&gt;0,$H221&gt;0),"⚠ both inflow and outflow entered",IF($K221="Missing","⚠ missing evidence","")))</f>
        <v/>
      </c>
    </row>
    <row r="222">
      <c r="A222" s="4" t="n"/>
      <c r="B222" s="27" t="n"/>
      <c r="C222" s="4" t="n"/>
      <c r="D222" s="4" t="n"/>
      <c r="E222" s="4" t="n"/>
      <c r="F222" s="4" t="n"/>
      <c r="G222" s="28" t="n"/>
      <c r="H222" s="28" t="n"/>
      <c r="I222" s="4" t="n"/>
      <c r="J222" s="4" t="n"/>
      <c r="K222" s="4" t="n"/>
      <c r="L222">
        <f>IF($A222="","",IF(AND(ISNUMBER($G222),ISNUMBER($H222),$G222&gt;0,$H222&gt;0),"⚠ both inflow and outflow entered",IF($K222="Missing","⚠ missing evidence","")))</f>
        <v/>
      </c>
    </row>
    <row r="223">
      <c r="A223" s="4" t="n"/>
      <c r="B223" s="27" t="n"/>
      <c r="C223" s="4" t="n"/>
      <c r="D223" s="4" t="n"/>
      <c r="E223" s="4" t="n"/>
      <c r="F223" s="4" t="n"/>
      <c r="G223" s="28" t="n"/>
      <c r="H223" s="28" t="n"/>
      <c r="I223" s="4" t="n"/>
      <c r="J223" s="4" t="n"/>
      <c r="K223" s="4" t="n"/>
      <c r="L223">
        <f>IF($A223="","",IF(AND(ISNUMBER($G223),ISNUMBER($H223),$G223&gt;0,$H223&gt;0),"⚠ both inflow and outflow entered",IF($K223="Missing","⚠ missing evidence","")))</f>
        <v/>
      </c>
    </row>
    <row r="224">
      <c r="A224" s="4" t="n"/>
      <c r="B224" s="27" t="n"/>
      <c r="C224" s="4" t="n"/>
      <c r="D224" s="4" t="n"/>
      <c r="E224" s="4" t="n"/>
      <c r="F224" s="4" t="n"/>
      <c r="G224" s="28" t="n"/>
      <c r="H224" s="28" t="n"/>
      <c r="I224" s="4" t="n"/>
      <c r="J224" s="4" t="n"/>
      <c r="K224" s="4" t="n"/>
      <c r="L224">
        <f>IF($A224="","",IF(AND(ISNUMBER($G224),ISNUMBER($H224),$G224&gt;0,$H224&gt;0),"⚠ both inflow and outflow entered",IF($K224="Missing","⚠ missing evidence","")))</f>
        <v/>
      </c>
    </row>
    <row r="225">
      <c r="A225" s="4" t="n"/>
      <c r="B225" s="27" t="n"/>
      <c r="C225" s="4" t="n"/>
      <c r="D225" s="4" t="n"/>
      <c r="E225" s="4" t="n"/>
      <c r="F225" s="4" t="n"/>
      <c r="G225" s="28" t="n"/>
      <c r="H225" s="28" t="n"/>
      <c r="I225" s="4" t="n"/>
      <c r="J225" s="4" t="n"/>
      <c r="K225" s="4" t="n"/>
      <c r="L225">
        <f>IF($A225="","",IF(AND(ISNUMBER($G225),ISNUMBER($H225),$G225&gt;0,$H225&gt;0),"⚠ both inflow and outflow entered",IF($K225="Missing","⚠ missing evidence","")))</f>
        <v/>
      </c>
    </row>
    <row r="226">
      <c r="A226" s="4" t="n"/>
      <c r="B226" s="27" t="n"/>
      <c r="C226" s="4" t="n"/>
      <c r="D226" s="4" t="n"/>
      <c r="E226" s="4" t="n"/>
      <c r="F226" s="4" t="n"/>
      <c r="G226" s="28" t="n"/>
      <c r="H226" s="28" t="n"/>
      <c r="I226" s="4" t="n"/>
      <c r="J226" s="4" t="n"/>
      <c r="K226" s="4" t="n"/>
      <c r="L226">
        <f>IF($A226="","",IF(AND(ISNUMBER($G226),ISNUMBER($H226),$G226&gt;0,$H226&gt;0),"⚠ both inflow and outflow entered",IF($K226="Missing","⚠ missing evidence","")))</f>
        <v/>
      </c>
    </row>
    <row r="227">
      <c r="A227" s="4" t="n"/>
      <c r="B227" s="27" t="n"/>
      <c r="C227" s="4" t="n"/>
      <c r="D227" s="4" t="n"/>
      <c r="E227" s="4" t="n"/>
      <c r="F227" s="4" t="n"/>
      <c r="G227" s="28" t="n"/>
      <c r="H227" s="28" t="n"/>
      <c r="I227" s="4" t="n"/>
      <c r="J227" s="4" t="n"/>
      <c r="K227" s="4" t="n"/>
      <c r="L227">
        <f>IF($A227="","",IF(AND(ISNUMBER($G227),ISNUMBER($H227),$G227&gt;0,$H227&gt;0),"⚠ both inflow and outflow entered",IF($K227="Missing","⚠ missing evidence","")))</f>
        <v/>
      </c>
    </row>
    <row r="228">
      <c r="A228" s="4" t="n"/>
      <c r="B228" s="27" t="n"/>
      <c r="C228" s="4" t="n"/>
      <c r="D228" s="4" t="n"/>
      <c r="E228" s="4" t="n"/>
      <c r="F228" s="4" t="n"/>
      <c r="G228" s="28" t="n"/>
      <c r="H228" s="28" t="n"/>
      <c r="I228" s="4" t="n"/>
      <c r="J228" s="4" t="n"/>
      <c r="K228" s="4" t="n"/>
      <c r="L228">
        <f>IF($A228="","",IF(AND(ISNUMBER($G228),ISNUMBER($H228),$G228&gt;0,$H228&gt;0),"⚠ both inflow and outflow entered",IF($K228="Missing","⚠ missing evidence","")))</f>
        <v/>
      </c>
    </row>
    <row r="229">
      <c r="A229" s="4" t="n"/>
      <c r="B229" s="27" t="n"/>
      <c r="C229" s="4" t="n"/>
      <c r="D229" s="4" t="n"/>
      <c r="E229" s="4" t="n"/>
      <c r="F229" s="4" t="n"/>
      <c r="G229" s="28" t="n"/>
      <c r="H229" s="28" t="n"/>
      <c r="I229" s="4" t="n"/>
      <c r="J229" s="4" t="n"/>
      <c r="K229" s="4" t="n"/>
      <c r="L229">
        <f>IF($A229="","",IF(AND(ISNUMBER($G229),ISNUMBER($H229),$G229&gt;0,$H229&gt;0),"⚠ both inflow and outflow entered",IF($K229="Missing","⚠ missing evidence","")))</f>
        <v/>
      </c>
    </row>
    <row r="230">
      <c r="A230" s="4" t="n"/>
      <c r="B230" s="27" t="n"/>
      <c r="C230" s="4" t="n"/>
      <c r="D230" s="4" t="n"/>
      <c r="E230" s="4" t="n"/>
      <c r="F230" s="4" t="n"/>
      <c r="G230" s="28" t="n"/>
      <c r="H230" s="28" t="n"/>
      <c r="I230" s="4" t="n"/>
      <c r="J230" s="4" t="n"/>
      <c r="K230" s="4" t="n"/>
      <c r="L230">
        <f>IF($A230="","",IF(AND(ISNUMBER($G230),ISNUMBER($H230),$G230&gt;0,$H230&gt;0),"⚠ both inflow and outflow entered",IF($K230="Missing","⚠ missing evidence","")))</f>
        <v/>
      </c>
    </row>
    <row r="231">
      <c r="A231" s="4" t="n"/>
      <c r="B231" s="27" t="n"/>
      <c r="C231" s="4" t="n"/>
      <c r="D231" s="4" t="n"/>
      <c r="E231" s="4" t="n"/>
      <c r="F231" s="4" t="n"/>
      <c r="G231" s="28" t="n"/>
      <c r="H231" s="28" t="n"/>
      <c r="I231" s="4" t="n"/>
      <c r="J231" s="4" t="n"/>
      <c r="K231" s="4" t="n"/>
      <c r="L231">
        <f>IF($A231="","",IF(AND(ISNUMBER($G231),ISNUMBER($H231),$G231&gt;0,$H231&gt;0),"⚠ both inflow and outflow entered",IF($K231="Missing","⚠ missing evidence","")))</f>
        <v/>
      </c>
    </row>
    <row r="232">
      <c r="A232" s="4" t="n"/>
      <c r="B232" s="27" t="n"/>
      <c r="C232" s="4" t="n"/>
      <c r="D232" s="4" t="n"/>
      <c r="E232" s="4" t="n"/>
      <c r="F232" s="4" t="n"/>
      <c r="G232" s="28" t="n"/>
      <c r="H232" s="28" t="n"/>
      <c r="I232" s="4" t="n"/>
      <c r="J232" s="4" t="n"/>
      <c r="K232" s="4" t="n"/>
      <c r="L232">
        <f>IF($A232="","",IF(AND(ISNUMBER($G232),ISNUMBER($H232),$G232&gt;0,$H232&gt;0),"⚠ both inflow and outflow entered",IF($K232="Missing","⚠ missing evidence","")))</f>
        <v/>
      </c>
    </row>
    <row r="233">
      <c r="A233" s="4" t="n"/>
      <c r="B233" s="27" t="n"/>
      <c r="C233" s="4" t="n"/>
      <c r="D233" s="4" t="n"/>
      <c r="E233" s="4" t="n"/>
      <c r="F233" s="4" t="n"/>
      <c r="G233" s="28" t="n"/>
      <c r="H233" s="28" t="n"/>
      <c r="I233" s="4" t="n"/>
      <c r="J233" s="4" t="n"/>
      <c r="K233" s="4" t="n"/>
      <c r="L233">
        <f>IF($A233="","",IF(AND(ISNUMBER($G233),ISNUMBER($H233),$G233&gt;0,$H233&gt;0),"⚠ both inflow and outflow entered",IF($K233="Missing","⚠ missing evidence","")))</f>
        <v/>
      </c>
    </row>
    <row r="234">
      <c r="A234" s="4" t="n"/>
      <c r="B234" s="27" t="n"/>
      <c r="C234" s="4" t="n"/>
      <c r="D234" s="4" t="n"/>
      <c r="E234" s="4" t="n"/>
      <c r="F234" s="4" t="n"/>
      <c r="G234" s="28" t="n"/>
      <c r="H234" s="28" t="n"/>
      <c r="I234" s="4" t="n"/>
      <c r="J234" s="4" t="n"/>
      <c r="K234" s="4" t="n"/>
      <c r="L234">
        <f>IF($A234="","",IF(AND(ISNUMBER($G234),ISNUMBER($H234),$G234&gt;0,$H234&gt;0),"⚠ both inflow and outflow entered",IF($K234="Missing","⚠ missing evidence","")))</f>
        <v/>
      </c>
    </row>
    <row r="235">
      <c r="A235" s="4" t="n"/>
      <c r="B235" s="27" t="n"/>
      <c r="C235" s="4" t="n"/>
      <c r="D235" s="4" t="n"/>
      <c r="E235" s="4" t="n"/>
      <c r="F235" s="4" t="n"/>
      <c r="G235" s="28" t="n"/>
      <c r="H235" s="28" t="n"/>
      <c r="I235" s="4" t="n"/>
      <c r="J235" s="4" t="n"/>
      <c r="K235" s="4" t="n"/>
      <c r="L235">
        <f>IF($A235="","",IF(AND(ISNUMBER($G235),ISNUMBER($H235),$G235&gt;0,$H235&gt;0),"⚠ both inflow and outflow entered",IF($K235="Missing","⚠ missing evidence","")))</f>
        <v/>
      </c>
    </row>
    <row r="236">
      <c r="A236" s="4" t="n"/>
      <c r="B236" s="27" t="n"/>
      <c r="C236" s="4" t="n"/>
      <c r="D236" s="4" t="n"/>
      <c r="E236" s="4" t="n"/>
      <c r="F236" s="4" t="n"/>
      <c r="G236" s="28" t="n"/>
      <c r="H236" s="28" t="n"/>
      <c r="I236" s="4" t="n"/>
      <c r="J236" s="4" t="n"/>
      <c r="K236" s="4" t="n"/>
      <c r="L236">
        <f>IF($A236="","",IF(AND(ISNUMBER($G236),ISNUMBER($H236),$G236&gt;0,$H236&gt;0),"⚠ both inflow and outflow entered",IF($K236="Missing","⚠ missing evidence","")))</f>
        <v/>
      </c>
    </row>
    <row r="237">
      <c r="A237" s="4" t="n"/>
      <c r="B237" s="27" t="n"/>
      <c r="C237" s="4" t="n"/>
      <c r="D237" s="4" t="n"/>
      <c r="E237" s="4" t="n"/>
      <c r="F237" s="4" t="n"/>
      <c r="G237" s="28" t="n"/>
      <c r="H237" s="28" t="n"/>
      <c r="I237" s="4" t="n"/>
      <c r="J237" s="4" t="n"/>
      <c r="K237" s="4" t="n"/>
      <c r="L237">
        <f>IF($A237="","",IF(AND(ISNUMBER($G237),ISNUMBER($H237),$G237&gt;0,$H237&gt;0),"⚠ both inflow and outflow entered",IF($K237="Missing","⚠ missing evidence","")))</f>
        <v/>
      </c>
    </row>
    <row r="238">
      <c r="A238" s="4" t="n"/>
      <c r="B238" s="27" t="n"/>
      <c r="C238" s="4" t="n"/>
      <c r="D238" s="4" t="n"/>
      <c r="E238" s="4" t="n"/>
      <c r="F238" s="4" t="n"/>
      <c r="G238" s="28" t="n"/>
      <c r="H238" s="28" t="n"/>
      <c r="I238" s="4" t="n"/>
      <c r="J238" s="4" t="n"/>
      <c r="K238" s="4" t="n"/>
      <c r="L238">
        <f>IF($A238="","",IF(AND(ISNUMBER($G238),ISNUMBER($H238),$G238&gt;0,$H238&gt;0),"⚠ both inflow and outflow entered",IF($K238="Missing","⚠ missing evidence","")))</f>
        <v/>
      </c>
    </row>
    <row r="239">
      <c r="A239" s="4" t="n"/>
      <c r="B239" s="27" t="n"/>
      <c r="C239" s="4" t="n"/>
      <c r="D239" s="4" t="n"/>
      <c r="E239" s="4" t="n"/>
      <c r="F239" s="4" t="n"/>
      <c r="G239" s="28" t="n"/>
      <c r="H239" s="28" t="n"/>
      <c r="I239" s="4" t="n"/>
      <c r="J239" s="4" t="n"/>
      <c r="K239" s="4" t="n"/>
      <c r="L239">
        <f>IF($A239="","",IF(AND(ISNUMBER($G239),ISNUMBER($H239),$G239&gt;0,$H239&gt;0),"⚠ both inflow and outflow entered",IF($K239="Missing","⚠ missing evidence","")))</f>
        <v/>
      </c>
    </row>
    <row r="240">
      <c r="A240" s="4" t="n"/>
      <c r="B240" s="27" t="n"/>
      <c r="C240" s="4" t="n"/>
      <c r="D240" s="4" t="n"/>
      <c r="E240" s="4" t="n"/>
      <c r="F240" s="4" t="n"/>
      <c r="G240" s="28" t="n"/>
      <c r="H240" s="28" t="n"/>
      <c r="I240" s="4" t="n"/>
      <c r="J240" s="4" t="n"/>
      <c r="K240" s="4" t="n"/>
      <c r="L240">
        <f>IF($A240="","",IF(AND(ISNUMBER($G240),ISNUMBER($H240),$G240&gt;0,$H240&gt;0),"⚠ both inflow and outflow entered",IF($K240="Missing","⚠ missing evidence","")))</f>
        <v/>
      </c>
    </row>
    <row r="241">
      <c r="A241" s="4" t="n"/>
      <c r="B241" s="27" t="n"/>
      <c r="C241" s="4" t="n"/>
      <c r="D241" s="4" t="n"/>
      <c r="E241" s="4" t="n"/>
      <c r="F241" s="4" t="n"/>
      <c r="G241" s="28" t="n"/>
      <c r="H241" s="28" t="n"/>
      <c r="I241" s="4" t="n"/>
      <c r="J241" s="4" t="n"/>
      <c r="K241" s="4" t="n"/>
      <c r="L241">
        <f>IF($A241="","",IF(AND(ISNUMBER($G241),ISNUMBER($H241),$G241&gt;0,$H241&gt;0),"⚠ both inflow and outflow entered",IF($K241="Missing","⚠ missing evidence","")))</f>
        <v/>
      </c>
    </row>
    <row r="242">
      <c r="A242" s="4" t="n"/>
      <c r="B242" s="27" t="n"/>
      <c r="C242" s="4" t="n"/>
      <c r="D242" s="4" t="n"/>
      <c r="E242" s="4" t="n"/>
      <c r="F242" s="4" t="n"/>
      <c r="G242" s="28" t="n"/>
      <c r="H242" s="28" t="n"/>
      <c r="I242" s="4" t="n"/>
      <c r="J242" s="4" t="n"/>
      <c r="K242" s="4" t="n"/>
      <c r="L242">
        <f>IF($A242="","",IF(AND(ISNUMBER($G242),ISNUMBER($H242),$G242&gt;0,$H242&gt;0),"⚠ both inflow and outflow entered",IF($K242="Missing","⚠ missing evidence","")))</f>
        <v/>
      </c>
    </row>
    <row r="243">
      <c r="A243" s="4" t="n"/>
      <c r="B243" s="27" t="n"/>
      <c r="C243" s="4" t="n"/>
      <c r="D243" s="4" t="n"/>
      <c r="E243" s="4" t="n"/>
      <c r="F243" s="4" t="n"/>
      <c r="G243" s="28" t="n"/>
      <c r="H243" s="28" t="n"/>
      <c r="I243" s="4" t="n"/>
      <c r="J243" s="4" t="n"/>
      <c r="K243" s="4" t="n"/>
      <c r="L243">
        <f>IF($A243="","",IF(AND(ISNUMBER($G243),ISNUMBER($H243),$G243&gt;0,$H243&gt;0),"⚠ both inflow and outflow entered",IF($K243="Missing","⚠ missing evidence","")))</f>
        <v/>
      </c>
    </row>
    <row r="244">
      <c r="A244" s="4" t="n"/>
      <c r="B244" s="27" t="n"/>
      <c r="C244" s="4" t="n"/>
      <c r="D244" s="4" t="n"/>
      <c r="E244" s="4" t="n"/>
      <c r="F244" s="4" t="n"/>
      <c r="G244" s="28" t="n"/>
      <c r="H244" s="28" t="n"/>
      <c r="I244" s="4" t="n"/>
      <c r="J244" s="4" t="n"/>
      <c r="K244" s="4" t="n"/>
      <c r="L244">
        <f>IF($A244="","",IF(AND(ISNUMBER($G244),ISNUMBER($H244),$G244&gt;0,$H244&gt;0),"⚠ both inflow and outflow entered",IF($K244="Missing","⚠ missing evidence","")))</f>
        <v/>
      </c>
    </row>
    <row r="245">
      <c r="A245" s="4" t="n"/>
      <c r="B245" s="27" t="n"/>
      <c r="C245" s="4" t="n"/>
      <c r="D245" s="4" t="n"/>
      <c r="E245" s="4" t="n"/>
      <c r="F245" s="4" t="n"/>
      <c r="G245" s="28" t="n"/>
      <c r="H245" s="28" t="n"/>
      <c r="I245" s="4" t="n"/>
      <c r="J245" s="4" t="n"/>
      <c r="K245" s="4" t="n"/>
      <c r="L245">
        <f>IF($A245="","",IF(AND(ISNUMBER($G245),ISNUMBER($H245),$G245&gt;0,$H245&gt;0),"⚠ both inflow and outflow entered",IF($K245="Missing","⚠ missing evidence","")))</f>
        <v/>
      </c>
    </row>
    <row r="246">
      <c r="A246" s="4" t="n"/>
      <c r="B246" s="27" t="n"/>
      <c r="C246" s="4" t="n"/>
      <c r="D246" s="4" t="n"/>
      <c r="E246" s="4" t="n"/>
      <c r="F246" s="4" t="n"/>
      <c r="G246" s="28" t="n"/>
      <c r="H246" s="28" t="n"/>
      <c r="I246" s="4" t="n"/>
      <c r="J246" s="4" t="n"/>
      <c r="K246" s="4" t="n"/>
      <c r="L246">
        <f>IF($A246="","",IF(AND(ISNUMBER($G246),ISNUMBER($H246),$G246&gt;0,$H246&gt;0),"⚠ both inflow and outflow entered",IF($K246="Missing","⚠ missing evidence","")))</f>
        <v/>
      </c>
    </row>
    <row r="247">
      <c r="A247" s="4" t="n"/>
      <c r="B247" s="27" t="n"/>
      <c r="C247" s="4" t="n"/>
      <c r="D247" s="4" t="n"/>
      <c r="E247" s="4" t="n"/>
      <c r="F247" s="4" t="n"/>
      <c r="G247" s="28" t="n"/>
      <c r="H247" s="28" t="n"/>
      <c r="I247" s="4" t="n"/>
      <c r="J247" s="4" t="n"/>
      <c r="K247" s="4" t="n"/>
      <c r="L247">
        <f>IF($A247="","",IF(AND(ISNUMBER($G247),ISNUMBER($H247),$G247&gt;0,$H247&gt;0),"⚠ both inflow and outflow entered",IF($K247="Missing","⚠ missing evidence","")))</f>
        <v/>
      </c>
    </row>
    <row r="248">
      <c r="A248" s="4" t="n"/>
      <c r="B248" s="27" t="n"/>
      <c r="C248" s="4" t="n"/>
      <c r="D248" s="4" t="n"/>
      <c r="E248" s="4" t="n"/>
      <c r="F248" s="4" t="n"/>
      <c r="G248" s="28" t="n"/>
      <c r="H248" s="28" t="n"/>
      <c r="I248" s="4" t="n"/>
      <c r="J248" s="4" t="n"/>
      <c r="K248" s="4" t="n"/>
      <c r="L248">
        <f>IF($A248="","",IF(AND(ISNUMBER($G248),ISNUMBER($H248),$G248&gt;0,$H248&gt;0),"⚠ both inflow and outflow entered",IF($K248="Missing","⚠ missing evidence","")))</f>
        <v/>
      </c>
    </row>
    <row r="249">
      <c r="A249" s="4" t="n"/>
      <c r="B249" s="27" t="n"/>
      <c r="C249" s="4" t="n"/>
      <c r="D249" s="4" t="n"/>
      <c r="E249" s="4" t="n"/>
      <c r="F249" s="4" t="n"/>
      <c r="G249" s="28" t="n"/>
      <c r="H249" s="28" t="n"/>
      <c r="I249" s="4" t="n"/>
      <c r="J249" s="4" t="n"/>
      <c r="K249" s="4" t="n"/>
      <c r="L249">
        <f>IF($A249="","",IF(AND(ISNUMBER($G249),ISNUMBER($H249),$G249&gt;0,$H249&gt;0),"⚠ both inflow and outflow entered",IF($K249="Missing","⚠ missing evidence","")))</f>
        <v/>
      </c>
    </row>
    <row r="250">
      <c r="A250" s="4" t="n"/>
      <c r="B250" s="27" t="n"/>
      <c r="C250" s="4" t="n"/>
      <c r="D250" s="4" t="n"/>
      <c r="E250" s="4" t="n"/>
      <c r="F250" s="4" t="n"/>
      <c r="G250" s="28" t="n"/>
      <c r="H250" s="28" t="n"/>
      <c r="I250" s="4" t="n"/>
      <c r="J250" s="4" t="n"/>
      <c r="K250" s="4" t="n"/>
      <c r="L250">
        <f>IF($A250="","",IF(AND(ISNUMBER($G250),ISNUMBER($H250),$G250&gt;0,$H250&gt;0),"⚠ both inflow and outflow entered",IF($K250="Missing","⚠ missing evidence","")))</f>
        <v/>
      </c>
    </row>
    <row r="251">
      <c r="A251" s="4" t="n"/>
      <c r="B251" s="27" t="n"/>
      <c r="C251" s="4" t="n"/>
      <c r="D251" s="4" t="n"/>
      <c r="E251" s="4" t="n"/>
      <c r="F251" s="4" t="n"/>
      <c r="G251" s="28" t="n"/>
      <c r="H251" s="28" t="n"/>
      <c r="I251" s="4" t="n"/>
      <c r="J251" s="4" t="n"/>
      <c r="K251" s="4" t="n"/>
      <c r="L251">
        <f>IF($A251="","",IF(AND(ISNUMBER($G251),ISNUMBER($H251),$G251&gt;0,$H251&gt;0),"⚠ both inflow and outflow entered",IF($K251="Missing","⚠ missing evidence","")))</f>
        <v/>
      </c>
    </row>
    <row r="252">
      <c r="A252" s="4" t="n"/>
      <c r="B252" s="27" t="n"/>
      <c r="C252" s="4" t="n"/>
      <c r="D252" s="4" t="n"/>
      <c r="E252" s="4" t="n"/>
      <c r="F252" s="4" t="n"/>
      <c r="G252" s="28" t="n"/>
      <c r="H252" s="28" t="n"/>
      <c r="I252" s="4" t="n"/>
      <c r="J252" s="4" t="n"/>
      <c r="K252" s="4" t="n"/>
      <c r="L252">
        <f>IF($A252="","",IF(AND(ISNUMBER($G252),ISNUMBER($H252),$G252&gt;0,$H252&gt;0),"⚠ both inflow and outflow entered",IF($K252="Missing","⚠ missing evidence","")))</f>
        <v/>
      </c>
    </row>
    <row r="253">
      <c r="A253" s="4" t="n"/>
      <c r="B253" s="27" t="n"/>
      <c r="C253" s="4" t="n"/>
      <c r="D253" s="4" t="n"/>
      <c r="E253" s="4" t="n"/>
      <c r="F253" s="4" t="n"/>
      <c r="G253" s="28" t="n"/>
      <c r="H253" s="28" t="n"/>
      <c r="I253" s="4" t="n"/>
      <c r="J253" s="4" t="n"/>
      <c r="K253" s="4" t="n"/>
      <c r="L253">
        <f>IF($A253="","",IF(AND(ISNUMBER($G253),ISNUMBER($H253),$G253&gt;0,$H253&gt;0),"⚠ both inflow and outflow entered",IF($K253="Missing","⚠ missing evidence","")))</f>
        <v/>
      </c>
    </row>
    <row r="254">
      <c r="A254" s="4" t="n"/>
      <c r="B254" s="27" t="n"/>
      <c r="C254" s="4" t="n"/>
      <c r="D254" s="4" t="n"/>
      <c r="E254" s="4" t="n"/>
      <c r="F254" s="4" t="n"/>
      <c r="G254" s="28" t="n"/>
      <c r="H254" s="28" t="n"/>
      <c r="I254" s="4" t="n"/>
      <c r="J254" s="4" t="n"/>
      <c r="K254" s="4" t="n"/>
      <c r="L254">
        <f>IF($A254="","",IF(AND(ISNUMBER($G254),ISNUMBER($H254),$G254&gt;0,$H254&gt;0),"⚠ both inflow and outflow entered",IF($K254="Missing","⚠ missing evidence","")))</f>
        <v/>
      </c>
    </row>
    <row r="255">
      <c r="A255" s="4" t="n"/>
      <c r="B255" s="27" t="n"/>
      <c r="C255" s="4" t="n"/>
      <c r="D255" s="4" t="n"/>
      <c r="E255" s="4" t="n"/>
      <c r="F255" s="4" t="n"/>
      <c r="G255" s="28" t="n"/>
      <c r="H255" s="28" t="n"/>
      <c r="I255" s="4" t="n"/>
      <c r="J255" s="4" t="n"/>
      <c r="K255" s="4" t="n"/>
      <c r="L255">
        <f>IF($A255="","",IF(AND(ISNUMBER($G255),ISNUMBER($H255),$G255&gt;0,$H255&gt;0),"⚠ both inflow and outflow entered",IF($K255="Missing","⚠ missing evidence","")))</f>
        <v/>
      </c>
    </row>
    <row r="256">
      <c r="A256" s="4" t="n"/>
      <c r="B256" s="27" t="n"/>
      <c r="C256" s="4" t="n"/>
      <c r="D256" s="4" t="n"/>
      <c r="E256" s="4" t="n"/>
      <c r="F256" s="4" t="n"/>
      <c r="G256" s="28" t="n"/>
      <c r="H256" s="28" t="n"/>
      <c r="I256" s="4" t="n"/>
      <c r="J256" s="4" t="n"/>
      <c r="K256" s="4" t="n"/>
      <c r="L256">
        <f>IF($A256="","",IF(AND(ISNUMBER($G256),ISNUMBER($H256),$G256&gt;0,$H256&gt;0),"⚠ both inflow and outflow entered",IF($K256="Missing","⚠ missing evidence","")))</f>
        <v/>
      </c>
    </row>
    <row r="257">
      <c r="A257" s="4" t="n"/>
      <c r="B257" s="27" t="n"/>
      <c r="C257" s="4" t="n"/>
      <c r="D257" s="4" t="n"/>
      <c r="E257" s="4" t="n"/>
      <c r="F257" s="4" t="n"/>
      <c r="G257" s="28" t="n"/>
      <c r="H257" s="28" t="n"/>
      <c r="I257" s="4" t="n"/>
      <c r="J257" s="4" t="n"/>
      <c r="K257" s="4" t="n"/>
      <c r="L257">
        <f>IF($A257="","",IF(AND(ISNUMBER($G257),ISNUMBER($H257),$G257&gt;0,$H257&gt;0),"⚠ both inflow and outflow entered",IF($K257="Missing","⚠ missing evidence","")))</f>
        <v/>
      </c>
    </row>
    <row r="258">
      <c r="A258" s="4" t="n"/>
      <c r="B258" s="27" t="n"/>
      <c r="C258" s="4" t="n"/>
      <c r="D258" s="4" t="n"/>
      <c r="E258" s="4" t="n"/>
      <c r="F258" s="4" t="n"/>
      <c r="G258" s="28" t="n"/>
      <c r="H258" s="28" t="n"/>
      <c r="I258" s="4" t="n"/>
      <c r="J258" s="4" t="n"/>
      <c r="K258" s="4" t="n"/>
      <c r="L258">
        <f>IF($A258="","",IF(AND(ISNUMBER($G258),ISNUMBER($H258),$G258&gt;0,$H258&gt;0),"⚠ both inflow and outflow entered",IF($K258="Missing","⚠ missing evidence","")))</f>
        <v/>
      </c>
    </row>
    <row r="259">
      <c r="A259" s="4" t="n"/>
      <c r="B259" s="27" t="n"/>
      <c r="C259" s="4" t="n"/>
      <c r="D259" s="4" t="n"/>
      <c r="E259" s="4" t="n"/>
      <c r="F259" s="4" t="n"/>
      <c r="G259" s="28" t="n"/>
      <c r="H259" s="28" t="n"/>
      <c r="I259" s="4" t="n"/>
      <c r="J259" s="4" t="n"/>
      <c r="K259" s="4" t="n"/>
      <c r="L259">
        <f>IF($A259="","",IF(AND(ISNUMBER($G259),ISNUMBER($H259),$G259&gt;0,$H259&gt;0),"⚠ both inflow and outflow entered",IF($K259="Missing","⚠ missing evidence","")))</f>
        <v/>
      </c>
    </row>
    <row r="260">
      <c r="A260" s="4" t="n"/>
      <c r="B260" s="27" t="n"/>
      <c r="C260" s="4" t="n"/>
      <c r="D260" s="4" t="n"/>
      <c r="E260" s="4" t="n"/>
      <c r="F260" s="4" t="n"/>
      <c r="G260" s="28" t="n"/>
      <c r="H260" s="28" t="n"/>
      <c r="I260" s="4" t="n"/>
      <c r="J260" s="4" t="n"/>
      <c r="K260" s="4" t="n"/>
      <c r="L260">
        <f>IF($A260="","",IF(AND(ISNUMBER($G260),ISNUMBER($H260),$G260&gt;0,$H260&gt;0),"⚠ both inflow and outflow entered",IF($K260="Missing","⚠ missing evidence","")))</f>
        <v/>
      </c>
    </row>
    <row r="261">
      <c r="A261" s="4" t="n"/>
      <c r="B261" s="27" t="n"/>
      <c r="C261" s="4" t="n"/>
      <c r="D261" s="4" t="n"/>
      <c r="E261" s="4" t="n"/>
      <c r="F261" s="4" t="n"/>
      <c r="G261" s="28" t="n"/>
      <c r="H261" s="28" t="n"/>
      <c r="I261" s="4" t="n"/>
      <c r="J261" s="4" t="n"/>
      <c r="K261" s="4" t="n"/>
      <c r="L261">
        <f>IF($A261="","",IF(AND(ISNUMBER($G261),ISNUMBER($H261),$G261&gt;0,$H261&gt;0),"⚠ both inflow and outflow entered",IF($K261="Missing","⚠ missing evidence","")))</f>
        <v/>
      </c>
    </row>
    <row r="262">
      <c r="A262" s="4" t="n"/>
      <c r="B262" s="27" t="n"/>
      <c r="C262" s="4" t="n"/>
      <c r="D262" s="4" t="n"/>
      <c r="E262" s="4" t="n"/>
      <c r="F262" s="4" t="n"/>
      <c r="G262" s="28" t="n"/>
      <c r="H262" s="28" t="n"/>
      <c r="I262" s="4" t="n"/>
      <c r="J262" s="4" t="n"/>
      <c r="K262" s="4" t="n"/>
      <c r="L262">
        <f>IF($A262="","",IF(AND(ISNUMBER($G262),ISNUMBER($H262),$G262&gt;0,$H262&gt;0),"⚠ both inflow and outflow entered",IF($K262="Missing","⚠ missing evidence","")))</f>
        <v/>
      </c>
    </row>
    <row r="263">
      <c r="A263" s="4" t="n"/>
      <c r="B263" s="27" t="n"/>
      <c r="C263" s="4" t="n"/>
      <c r="D263" s="4" t="n"/>
      <c r="E263" s="4" t="n"/>
      <c r="F263" s="4" t="n"/>
      <c r="G263" s="28" t="n"/>
      <c r="H263" s="28" t="n"/>
      <c r="I263" s="4" t="n"/>
      <c r="J263" s="4" t="n"/>
      <c r="K263" s="4" t="n"/>
      <c r="L263">
        <f>IF($A263="","",IF(AND(ISNUMBER($G263),ISNUMBER($H263),$G263&gt;0,$H263&gt;0),"⚠ both inflow and outflow entered",IF($K263="Missing","⚠ missing evidence","")))</f>
        <v/>
      </c>
    </row>
    <row r="264">
      <c r="A264" s="4" t="n"/>
      <c r="B264" s="27" t="n"/>
      <c r="C264" s="4" t="n"/>
      <c r="D264" s="4" t="n"/>
      <c r="E264" s="4" t="n"/>
      <c r="F264" s="4" t="n"/>
      <c r="G264" s="28" t="n"/>
      <c r="H264" s="28" t="n"/>
      <c r="I264" s="4" t="n"/>
      <c r="J264" s="4" t="n"/>
      <c r="K264" s="4" t="n"/>
      <c r="L264">
        <f>IF($A264="","",IF(AND(ISNUMBER($G264),ISNUMBER($H264),$G264&gt;0,$H264&gt;0),"⚠ both inflow and outflow entered",IF($K264="Missing","⚠ missing evidence","")))</f>
        <v/>
      </c>
    </row>
    <row r="265">
      <c r="A265" s="4" t="n"/>
      <c r="B265" s="27" t="n"/>
      <c r="C265" s="4" t="n"/>
      <c r="D265" s="4" t="n"/>
      <c r="E265" s="4" t="n"/>
      <c r="F265" s="4" t="n"/>
      <c r="G265" s="28" t="n"/>
      <c r="H265" s="28" t="n"/>
      <c r="I265" s="4" t="n"/>
      <c r="J265" s="4" t="n"/>
      <c r="K265" s="4" t="n"/>
      <c r="L265">
        <f>IF($A265="","",IF(AND(ISNUMBER($G265),ISNUMBER($H265),$G265&gt;0,$H265&gt;0),"⚠ both inflow and outflow entered",IF($K265="Missing","⚠ missing evidence","")))</f>
        <v/>
      </c>
    </row>
    <row r="266">
      <c r="A266" s="4" t="n"/>
      <c r="B266" s="27" t="n"/>
      <c r="C266" s="4" t="n"/>
      <c r="D266" s="4" t="n"/>
      <c r="E266" s="4" t="n"/>
      <c r="F266" s="4" t="n"/>
      <c r="G266" s="28" t="n"/>
      <c r="H266" s="28" t="n"/>
      <c r="I266" s="4" t="n"/>
      <c r="J266" s="4" t="n"/>
      <c r="K266" s="4" t="n"/>
      <c r="L266">
        <f>IF($A266="","",IF(AND(ISNUMBER($G266),ISNUMBER($H266),$G266&gt;0,$H266&gt;0),"⚠ both inflow and outflow entered",IF($K266="Missing","⚠ missing evidence","")))</f>
        <v/>
      </c>
    </row>
    <row r="267">
      <c r="A267" s="4" t="n"/>
      <c r="B267" s="27" t="n"/>
      <c r="C267" s="4" t="n"/>
      <c r="D267" s="4" t="n"/>
      <c r="E267" s="4" t="n"/>
      <c r="F267" s="4" t="n"/>
      <c r="G267" s="28" t="n"/>
      <c r="H267" s="28" t="n"/>
      <c r="I267" s="4" t="n"/>
      <c r="J267" s="4" t="n"/>
      <c r="K267" s="4" t="n"/>
      <c r="L267">
        <f>IF($A267="","",IF(AND(ISNUMBER($G267),ISNUMBER($H267),$G267&gt;0,$H267&gt;0),"⚠ both inflow and outflow entered",IF($K267="Missing","⚠ missing evidence","")))</f>
        <v/>
      </c>
    </row>
    <row r="268">
      <c r="A268" s="4" t="n"/>
      <c r="B268" s="27" t="n"/>
      <c r="C268" s="4" t="n"/>
      <c r="D268" s="4" t="n"/>
      <c r="E268" s="4" t="n"/>
      <c r="F268" s="4" t="n"/>
      <c r="G268" s="28" t="n"/>
      <c r="H268" s="28" t="n"/>
      <c r="I268" s="4" t="n"/>
      <c r="J268" s="4" t="n"/>
      <c r="K268" s="4" t="n"/>
      <c r="L268">
        <f>IF($A268="","",IF(AND(ISNUMBER($G268),ISNUMBER($H268),$G268&gt;0,$H268&gt;0),"⚠ both inflow and outflow entered",IF($K268="Missing","⚠ missing evidence","")))</f>
        <v/>
      </c>
    </row>
    <row r="269">
      <c r="A269" s="4" t="n"/>
      <c r="B269" s="27" t="n"/>
      <c r="C269" s="4" t="n"/>
      <c r="D269" s="4" t="n"/>
      <c r="E269" s="4" t="n"/>
      <c r="F269" s="4" t="n"/>
      <c r="G269" s="28" t="n"/>
      <c r="H269" s="28" t="n"/>
      <c r="I269" s="4" t="n"/>
      <c r="J269" s="4" t="n"/>
      <c r="K269" s="4" t="n"/>
      <c r="L269">
        <f>IF($A269="","",IF(AND(ISNUMBER($G269),ISNUMBER($H269),$G269&gt;0,$H269&gt;0),"⚠ both inflow and outflow entered",IF($K269="Missing","⚠ missing evidence","")))</f>
        <v/>
      </c>
    </row>
    <row r="270">
      <c r="A270" s="4" t="n"/>
      <c r="B270" s="27" t="n"/>
      <c r="C270" s="4" t="n"/>
      <c r="D270" s="4" t="n"/>
      <c r="E270" s="4" t="n"/>
      <c r="F270" s="4" t="n"/>
      <c r="G270" s="28" t="n"/>
      <c r="H270" s="28" t="n"/>
      <c r="I270" s="4" t="n"/>
      <c r="J270" s="4" t="n"/>
      <c r="K270" s="4" t="n"/>
      <c r="L270">
        <f>IF($A270="","",IF(AND(ISNUMBER($G270),ISNUMBER($H270),$G270&gt;0,$H270&gt;0),"⚠ both inflow and outflow entered",IF($K270="Missing","⚠ missing evidence","")))</f>
        <v/>
      </c>
    </row>
    <row r="271">
      <c r="A271" s="4" t="n"/>
      <c r="B271" s="27" t="n"/>
      <c r="C271" s="4" t="n"/>
      <c r="D271" s="4" t="n"/>
      <c r="E271" s="4" t="n"/>
      <c r="F271" s="4" t="n"/>
      <c r="G271" s="28" t="n"/>
      <c r="H271" s="28" t="n"/>
      <c r="I271" s="4" t="n"/>
      <c r="J271" s="4" t="n"/>
      <c r="K271" s="4" t="n"/>
      <c r="L271">
        <f>IF($A271="","",IF(AND(ISNUMBER($G271),ISNUMBER($H271),$G271&gt;0,$H271&gt;0),"⚠ both inflow and outflow entered",IF($K271="Missing","⚠ missing evidence","")))</f>
        <v/>
      </c>
    </row>
    <row r="272">
      <c r="A272" s="4" t="n"/>
      <c r="B272" s="27" t="n"/>
      <c r="C272" s="4" t="n"/>
      <c r="D272" s="4" t="n"/>
      <c r="E272" s="4" t="n"/>
      <c r="F272" s="4" t="n"/>
      <c r="G272" s="28" t="n"/>
      <c r="H272" s="28" t="n"/>
      <c r="I272" s="4" t="n"/>
      <c r="J272" s="4" t="n"/>
      <c r="K272" s="4" t="n"/>
      <c r="L272">
        <f>IF($A272="","",IF(AND(ISNUMBER($G272),ISNUMBER($H272),$G272&gt;0,$H272&gt;0),"⚠ both inflow and outflow entered",IF($K272="Missing","⚠ missing evidence","")))</f>
        <v/>
      </c>
    </row>
    <row r="273">
      <c r="A273" s="4" t="n"/>
      <c r="B273" s="27" t="n"/>
      <c r="C273" s="4" t="n"/>
      <c r="D273" s="4" t="n"/>
      <c r="E273" s="4" t="n"/>
      <c r="F273" s="4" t="n"/>
      <c r="G273" s="28" t="n"/>
      <c r="H273" s="28" t="n"/>
      <c r="I273" s="4" t="n"/>
      <c r="J273" s="4" t="n"/>
      <c r="K273" s="4" t="n"/>
      <c r="L273">
        <f>IF($A273="","",IF(AND(ISNUMBER($G273),ISNUMBER($H273),$G273&gt;0,$H273&gt;0),"⚠ both inflow and outflow entered",IF($K273="Missing","⚠ missing evidence","")))</f>
        <v/>
      </c>
    </row>
    <row r="274">
      <c r="A274" s="4" t="n"/>
      <c r="B274" s="27" t="n"/>
      <c r="C274" s="4" t="n"/>
      <c r="D274" s="4" t="n"/>
      <c r="E274" s="4" t="n"/>
      <c r="F274" s="4" t="n"/>
      <c r="G274" s="28" t="n"/>
      <c r="H274" s="28" t="n"/>
      <c r="I274" s="4" t="n"/>
      <c r="J274" s="4" t="n"/>
      <c r="K274" s="4" t="n"/>
      <c r="L274">
        <f>IF($A274="","",IF(AND(ISNUMBER($G274),ISNUMBER($H274),$G274&gt;0,$H274&gt;0),"⚠ both inflow and outflow entered",IF($K274="Missing","⚠ missing evidence","")))</f>
        <v/>
      </c>
    </row>
    <row r="275">
      <c r="A275" s="4" t="n"/>
      <c r="B275" s="27" t="n"/>
      <c r="C275" s="4" t="n"/>
      <c r="D275" s="4" t="n"/>
      <c r="E275" s="4" t="n"/>
      <c r="F275" s="4" t="n"/>
      <c r="G275" s="28" t="n"/>
      <c r="H275" s="28" t="n"/>
      <c r="I275" s="4" t="n"/>
      <c r="J275" s="4" t="n"/>
      <c r="K275" s="4" t="n"/>
      <c r="L275">
        <f>IF($A275="","",IF(AND(ISNUMBER($G275),ISNUMBER($H275),$G275&gt;0,$H275&gt;0),"⚠ both inflow and outflow entered",IF($K275="Missing","⚠ missing evidence","")))</f>
        <v/>
      </c>
    </row>
    <row r="276">
      <c r="A276" s="4" t="n"/>
      <c r="B276" s="27" t="n"/>
      <c r="C276" s="4" t="n"/>
      <c r="D276" s="4" t="n"/>
      <c r="E276" s="4" t="n"/>
      <c r="F276" s="4" t="n"/>
      <c r="G276" s="28" t="n"/>
      <c r="H276" s="28" t="n"/>
      <c r="I276" s="4" t="n"/>
      <c r="J276" s="4" t="n"/>
      <c r="K276" s="4" t="n"/>
      <c r="L276">
        <f>IF($A276="","",IF(AND(ISNUMBER($G276),ISNUMBER($H276),$G276&gt;0,$H276&gt;0),"⚠ both inflow and outflow entered",IF($K276="Missing","⚠ missing evidence","")))</f>
        <v/>
      </c>
    </row>
    <row r="277">
      <c r="A277" s="4" t="n"/>
      <c r="B277" s="27" t="n"/>
      <c r="C277" s="4" t="n"/>
      <c r="D277" s="4" t="n"/>
      <c r="E277" s="4" t="n"/>
      <c r="F277" s="4" t="n"/>
      <c r="G277" s="28" t="n"/>
      <c r="H277" s="28" t="n"/>
      <c r="I277" s="4" t="n"/>
      <c r="J277" s="4" t="n"/>
      <c r="K277" s="4" t="n"/>
      <c r="L277">
        <f>IF($A277="","",IF(AND(ISNUMBER($G277),ISNUMBER($H277),$G277&gt;0,$H277&gt;0),"⚠ both inflow and outflow entered",IF($K277="Missing","⚠ missing evidence","")))</f>
        <v/>
      </c>
    </row>
    <row r="278">
      <c r="A278" s="4" t="n"/>
      <c r="B278" s="27" t="n"/>
      <c r="C278" s="4" t="n"/>
      <c r="D278" s="4" t="n"/>
      <c r="E278" s="4" t="n"/>
      <c r="F278" s="4" t="n"/>
      <c r="G278" s="28" t="n"/>
      <c r="H278" s="28" t="n"/>
      <c r="I278" s="4" t="n"/>
      <c r="J278" s="4" t="n"/>
      <c r="K278" s="4" t="n"/>
      <c r="L278">
        <f>IF($A278="","",IF(AND(ISNUMBER($G278),ISNUMBER($H278),$G278&gt;0,$H278&gt;0),"⚠ both inflow and outflow entered",IF($K278="Missing","⚠ missing evidence","")))</f>
        <v/>
      </c>
    </row>
    <row r="279">
      <c r="A279" s="4" t="n"/>
      <c r="B279" s="27" t="n"/>
      <c r="C279" s="4" t="n"/>
      <c r="D279" s="4" t="n"/>
      <c r="E279" s="4" t="n"/>
      <c r="F279" s="4" t="n"/>
      <c r="G279" s="28" t="n"/>
      <c r="H279" s="28" t="n"/>
      <c r="I279" s="4" t="n"/>
      <c r="J279" s="4" t="n"/>
      <c r="K279" s="4" t="n"/>
      <c r="L279">
        <f>IF($A279="","",IF(AND(ISNUMBER($G279),ISNUMBER($H279),$G279&gt;0,$H279&gt;0),"⚠ both inflow and outflow entered",IF($K279="Missing","⚠ missing evidence","")))</f>
        <v/>
      </c>
    </row>
    <row r="280">
      <c r="A280" s="4" t="n"/>
      <c r="B280" s="27" t="n"/>
      <c r="C280" s="4" t="n"/>
      <c r="D280" s="4" t="n"/>
      <c r="E280" s="4" t="n"/>
      <c r="F280" s="4" t="n"/>
      <c r="G280" s="28" t="n"/>
      <c r="H280" s="28" t="n"/>
      <c r="I280" s="4" t="n"/>
      <c r="J280" s="4" t="n"/>
      <c r="K280" s="4" t="n"/>
      <c r="L280">
        <f>IF($A280="","",IF(AND(ISNUMBER($G280),ISNUMBER($H280),$G280&gt;0,$H280&gt;0),"⚠ both inflow and outflow entered",IF($K280="Missing","⚠ missing evidence","")))</f>
        <v/>
      </c>
    </row>
    <row r="281">
      <c r="A281" s="4" t="n"/>
      <c r="B281" s="27" t="n"/>
      <c r="C281" s="4" t="n"/>
      <c r="D281" s="4" t="n"/>
      <c r="E281" s="4" t="n"/>
      <c r="F281" s="4" t="n"/>
      <c r="G281" s="28" t="n"/>
      <c r="H281" s="28" t="n"/>
      <c r="I281" s="4" t="n"/>
      <c r="J281" s="4" t="n"/>
      <c r="K281" s="4" t="n"/>
      <c r="L281">
        <f>IF($A281="","",IF(AND(ISNUMBER($G281),ISNUMBER($H281),$G281&gt;0,$H281&gt;0),"⚠ both inflow and outflow entered",IF($K281="Missing","⚠ missing evidence","")))</f>
        <v/>
      </c>
    </row>
    <row r="282">
      <c r="A282" s="4" t="n"/>
      <c r="B282" s="27" t="n"/>
      <c r="C282" s="4" t="n"/>
      <c r="D282" s="4" t="n"/>
      <c r="E282" s="4" t="n"/>
      <c r="F282" s="4" t="n"/>
      <c r="G282" s="28" t="n"/>
      <c r="H282" s="28" t="n"/>
      <c r="I282" s="4" t="n"/>
      <c r="J282" s="4" t="n"/>
      <c r="K282" s="4" t="n"/>
      <c r="L282">
        <f>IF($A282="","",IF(AND(ISNUMBER($G282),ISNUMBER($H282),$G282&gt;0,$H282&gt;0),"⚠ both inflow and outflow entered",IF($K282="Missing","⚠ missing evidence","")))</f>
        <v/>
      </c>
    </row>
    <row r="283">
      <c r="A283" s="4" t="n"/>
      <c r="B283" s="27" t="n"/>
      <c r="C283" s="4" t="n"/>
      <c r="D283" s="4" t="n"/>
      <c r="E283" s="4" t="n"/>
      <c r="F283" s="4" t="n"/>
      <c r="G283" s="28" t="n"/>
      <c r="H283" s="28" t="n"/>
      <c r="I283" s="4" t="n"/>
      <c r="J283" s="4" t="n"/>
      <c r="K283" s="4" t="n"/>
      <c r="L283">
        <f>IF($A283="","",IF(AND(ISNUMBER($G283),ISNUMBER($H283),$G283&gt;0,$H283&gt;0),"⚠ both inflow and outflow entered",IF($K283="Missing","⚠ missing evidence","")))</f>
        <v/>
      </c>
    </row>
    <row r="284">
      <c r="A284" s="4" t="n"/>
      <c r="B284" s="27" t="n"/>
      <c r="C284" s="4" t="n"/>
      <c r="D284" s="4" t="n"/>
      <c r="E284" s="4" t="n"/>
      <c r="F284" s="4" t="n"/>
      <c r="G284" s="28" t="n"/>
      <c r="H284" s="28" t="n"/>
      <c r="I284" s="4" t="n"/>
      <c r="J284" s="4" t="n"/>
      <c r="K284" s="4" t="n"/>
      <c r="L284">
        <f>IF($A284="","",IF(AND(ISNUMBER($G284),ISNUMBER($H284),$G284&gt;0,$H284&gt;0),"⚠ both inflow and outflow entered",IF($K284="Missing","⚠ missing evidence","")))</f>
        <v/>
      </c>
    </row>
    <row r="285">
      <c r="A285" s="4" t="n"/>
      <c r="B285" s="27" t="n"/>
      <c r="C285" s="4" t="n"/>
      <c r="D285" s="4" t="n"/>
      <c r="E285" s="4" t="n"/>
      <c r="F285" s="4" t="n"/>
      <c r="G285" s="28" t="n"/>
      <c r="H285" s="28" t="n"/>
      <c r="I285" s="4" t="n"/>
      <c r="J285" s="4" t="n"/>
      <c r="K285" s="4" t="n"/>
      <c r="L285">
        <f>IF($A285="","",IF(AND(ISNUMBER($G285),ISNUMBER($H285),$G285&gt;0,$H285&gt;0),"⚠ both inflow and outflow entered",IF($K285="Missing","⚠ missing evidence","")))</f>
        <v/>
      </c>
    </row>
    <row r="286">
      <c r="A286" s="4" t="n"/>
      <c r="B286" s="27" t="n"/>
      <c r="C286" s="4" t="n"/>
      <c r="D286" s="4" t="n"/>
      <c r="E286" s="4" t="n"/>
      <c r="F286" s="4" t="n"/>
      <c r="G286" s="28" t="n"/>
      <c r="H286" s="28" t="n"/>
      <c r="I286" s="4" t="n"/>
      <c r="J286" s="4" t="n"/>
      <c r="K286" s="4" t="n"/>
      <c r="L286">
        <f>IF($A286="","",IF(AND(ISNUMBER($G286),ISNUMBER($H286),$G286&gt;0,$H286&gt;0),"⚠ both inflow and outflow entered",IF($K286="Missing","⚠ missing evidence","")))</f>
        <v/>
      </c>
    </row>
    <row r="287">
      <c r="A287" s="4" t="n"/>
      <c r="B287" s="27" t="n"/>
      <c r="C287" s="4" t="n"/>
      <c r="D287" s="4" t="n"/>
      <c r="E287" s="4" t="n"/>
      <c r="F287" s="4" t="n"/>
      <c r="G287" s="28" t="n"/>
      <c r="H287" s="28" t="n"/>
      <c r="I287" s="4" t="n"/>
      <c r="J287" s="4" t="n"/>
      <c r="K287" s="4" t="n"/>
      <c r="L287">
        <f>IF($A287="","",IF(AND(ISNUMBER($G287),ISNUMBER($H287),$G287&gt;0,$H287&gt;0),"⚠ both inflow and outflow entered",IF($K287="Missing","⚠ missing evidence","")))</f>
        <v/>
      </c>
    </row>
    <row r="288">
      <c r="A288" s="4" t="n"/>
      <c r="B288" s="27" t="n"/>
      <c r="C288" s="4" t="n"/>
      <c r="D288" s="4" t="n"/>
      <c r="E288" s="4" t="n"/>
      <c r="F288" s="4" t="n"/>
      <c r="G288" s="28" t="n"/>
      <c r="H288" s="28" t="n"/>
      <c r="I288" s="4" t="n"/>
      <c r="J288" s="4" t="n"/>
      <c r="K288" s="4" t="n"/>
      <c r="L288">
        <f>IF($A288="","",IF(AND(ISNUMBER($G288),ISNUMBER($H288),$G288&gt;0,$H288&gt;0),"⚠ both inflow and outflow entered",IF($K288="Missing","⚠ missing evidence","")))</f>
        <v/>
      </c>
    </row>
    <row r="289">
      <c r="A289" s="4" t="n"/>
      <c r="B289" s="27" t="n"/>
      <c r="C289" s="4" t="n"/>
      <c r="D289" s="4" t="n"/>
      <c r="E289" s="4" t="n"/>
      <c r="F289" s="4" t="n"/>
      <c r="G289" s="28" t="n"/>
      <c r="H289" s="28" t="n"/>
      <c r="I289" s="4" t="n"/>
      <c r="J289" s="4" t="n"/>
      <c r="K289" s="4" t="n"/>
      <c r="L289">
        <f>IF($A289="","",IF(AND(ISNUMBER($G289),ISNUMBER($H289),$G289&gt;0,$H289&gt;0),"⚠ both inflow and outflow entered",IF($K289="Missing","⚠ missing evidence","")))</f>
        <v/>
      </c>
    </row>
    <row r="290">
      <c r="A290" s="4" t="n"/>
      <c r="B290" s="27" t="n"/>
      <c r="C290" s="4" t="n"/>
      <c r="D290" s="4" t="n"/>
      <c r="E290" s="4" t="n"/>
      <c r="F290" s="4" t="n"/>
      <c r="G290" s="28" t="n"/>
      <c r="H290" s="28" t="n"/>
      <c r="I290" s="4" t="n"/>
      <c r="J290" s="4" t="n"/>
      <c r="K290" s="4" t="n"/>
      <c r="L290">
        <f>IF($A290="","",IF(AND(ISNUMBER($G290),ISNUMBER($H290),$G290&gt;0,$H290&gt;0),"⚠ both inflow and outflow entered",IF($K290="Missing","⚠ missing evidence","")))</f>
        <v/>
      </c>
    </row>
    <row r="291">
      <c r="A291" s="4" t="n"/>
      <c r="B291" s="27" t="n"/>
      <c r="C291" s="4" t="n"/>
      <c r="D291" s="4" t="n"/>
      <c r="E291" s="4" t="n"/>
      <c r="F291" s="4" t="n"/>
      <c r="G291" s="28" t="n"/>
      <c r="H291" s="28" t="n"/>
      <c r="I291" s="4" t="n"/>
      <c r="J291" s="4" t="n"/>
      <c r="K291" s="4" t="n"/>
      <c r="L291">
        <f>IF($A291="","",IF(AND(ISNUMBER($G291),ISNUMBER($H291),$G291&gt;0,$H291&gt;0),"⚠ both inflow and outflow entered",IF($K291="Missing","⚠ missing evidence","")))</f>
        <v/>
      </c>
    </row>
    <row r="292">
      <c r="A292" s="4" t="n"/>
      <c r="B292" s="27" t="n"/>
      <c r="C292" s="4" t="n"/>
      <c r="D292" s="4" t="n"/>
      <c r="E292" s="4" t="n"/>
      <c r="F292" s="4" t="n"/>
      <c r="G292" s="28" t="n"/>
      <c r="H292" s="28" t="n"/>
      <c r="I292" s="4" t="n"/>
      <c r="J292" s="4" t="n"/>
      <c r="K292" s="4" t="n"/>
      <c r="L292">
        <f>IF($A292="","",IF(AND(ISNUMBER($G292),ISNUMBER($H292),$G292&gt;0,$H292&gt;0),"⚠ both inflow and outflow entered",IF($K292="Missing","⚠ missing evidence","")))</f>
        <v/>
      </c>
    </row>
    <row r="293">
      <c r="A293" s="4" t="n"/>
      <c r="B293" s="27" t="n"/>
      <c r="C293" s="4" t="n"/>
      <c r="D293" s="4" t="n"/>
      <c r="E293" s="4" t="n"/>
      <c r="F293" s="4" t="n"/>
      <c r="G293" s="28" t="n"/>
      <c r="H293" s="28" t="n"/>
      <c r="I293" s="4" t="n"/>
      <c r="J293" s="4" t="n"/>
      <c r="K293" s="4" t="n"/>
      <c r="L293">
        <f>IF($A293="","",IF(AND(ISNUMBER($G293),ISNUMBER($H293),$G293&gt;0,$H293&gt;0),"⚠ both inflow and outflow entered",IF($K293="Missing","⚠ missing evidence","")))</f>
        <v/>
      </c>
    </row>
    <row r="294">
      <c r="A294" s="4" t="n"/>
      <c r="B294" s="27" t="n"/>
      <c r="C294" s="4" t="n"/>
      <c r="D294" s="4" t="n"/>
      <c r="E294" s="4" t="n"/>
      <c r="F294" s="4" t="n"/>
      <c r="G294" s="28" t="n"/>
      <c r="H294" s="28" t="n"/>
      <c r="I294" s="4" t="n"/>
      <c r="J294" s="4" t="n"/>
      <c r="K294" s="4" t="n"/>
      <c r="L294">
        <f>IF($A294="","",IF(AND(ISNUMBER($G294),ISNUMBER($H294),$G294&gt;0,$H294&gt;0),"⚠ both inflow and outflow entered",IF($K294="Missing","⚠ missing evidence","")))</f>
        <v/>
      </c>
    </row>
    <row r="295">
      <c r="A295" s="4" t="n"/>
      <c r="B295" s="27" t="n"/>
      <c r="C295" s="4" t="n"/>
      <c r="D295" s="4" t="n"/>
      <c r="E295" s="4" t="n"/>
      <c r="F295" s="4" t="n"/>
      <c r="G295" s="28" t="n"/>
      <c r="H295" s="28" t="n"/>
      <c r="I295" s="4" t="n"/>
      <c r="J295" s="4" t="n"/>
      <c r="K295" s="4" t="n"/>
      <c r="L295">
        <f>IF($A295="","",IF(AND(ISNUMBER($G295),ISNUMBER($H295),$G295&gt;0,$H295&gt;0),"⚠ both inflow and outflow entered",IF($K295="Missing","⚠ missing evidence","")))</f>
        <v/>
      </c>
    </row>
    <row r="296">
      <c r="A296" s="4" t="n"/>
      <c r="B296" s="27" t="n"/>
      <c r="C296" s="4" t="n"/>
      <c r="D296" s="4" t="n"/>
      <c r="E296" s="4" t="n"/>
      <c r="F296" s="4" t="n"/>
      <c r="G296" s="28" t="n"/>
      <c r="H296" s="28" t="n"/>
      <c r="I296" s="4" t="n"/>
      <c r="J296" s="4" t="n"/>
      <c r="K296" s="4" t="n"/>
      <c r="L296">
        <f>IF($A296="","",IF(AND(ISNUMBER($G296),ISNUMBER($H296),$G296&gt;0,$H296&gt;0),"⚠ both inflow and outflow entered",IF($K296="Missing","⚠ missing evidence","")))</f>
        <v/>
      </c>
    </row>
    <row r="297">
      <c r="A297" s="4" t="n"/>
      <c r="B297" s="27" t="n"/>
      <c r="C297" s="4" t="n"/>
      <c r="D297" s="4" t="n"/>
      <c r="E297" s="4" t="n"/>
      <c r="F297" s="4" t="n"/>
      <c r="G297" s="28" t="n"/>
      <c r="H297" s="28" t="n"/>
      <c r="I297" s="4" t="n"/>
      <c r="J297" s="4" t="n"/>
      <c r="K297" s="4" t="n"/>
      <c r="L297">
        <f>IF($A297="","",IF(AND(ISNUMBER($G297),ISNUMBER($H297),$G297&gt;0,$H297&gt;0),"⚠ both inflow and outflow entered",IF($K297="Missing","⚠ missing evidence","")))</f>
        <v/>
      </c>
    </row>
    <row r="298">
      <c r="A298" s="4" t="n"/>
      <c r="B298" s="27" t="n"/>
      <c r="C298" s="4" t="n"/>
      <c r="D298" s="4" t="n"/>
      <c r="E298" s="4" t="n"/>
      <c r="F298" s="4" t="n"/>
      <c r="G298" s="28" t="n"/>
      <c r="H298" s="28" t="n"/>
      <c r="I298" s="4" t="n"/>
      <c r="J298" s="4" t="n"/>
      <c r="K298" s="4" t="n"/>
      <c r="L298">
        <f>IF($A298="","",IF(AND(ISNUMBER($G298),ISNUMBER($H298),$G298&gt;0,$H298&gt;0),"⚠ both inflow and outflow entered",IF($K298="Missing","⚠ missing evidence","")))</f>
        <v/>
      </c>
    </row>
    <row r="299">
      <c r="A299" s="4" t="n"/>
      <c r="B299" s="27" t="n"/>
      <c r="C299" s="4" t="n"/>
      <c r="D299" s="4" t="n"/>
      <c r="E299" s="4" t="n"/>
      <c r="F299" s="4" t="n"/>
      <c r="G299" s="28" t="n"/>
      <c r="H299" s="28" t="n"/>
      <c r="I299" s="4" t="n"/>
      <c r="J299" s="4" t="n"/>
      <c r="K299" s="4" t="n"/>
      <c r="L299">
        <f>IF($A299="","",IF(AND(ISNUMBER($G299),ISNUMBER($H299),$G299&gt;0,$H299&gt;0),"⚠ both inflow and outflow entered",IF($K299="Missing","⚠ missing evidence","")))</f>
        <v/>
      </c>
    </row>
    <row r="300">
      <c r="A300" s="4" t="n"/>
      <c r="B300" s="27" t="n"/>
      <c r="C300" s="4" t="n"/>
      <c r="D300" s="4" t="n"/>
      <c r="E300" s="4" t="n"/>
      <c r="F300" s="4" t="n"/>
      <c r="G300" s="28" t="n"/>
      <c r="H300" s="28" t="n"/>
      <c r="I300" s="4" t="n"/>
      <c r="J300" s="4" t="n"/>
      <c r="K300" s="4" t="n"/>
      <c r="L300">
        <f>IF($A300="","",IF(AND(ISNUMBER($G300),ISNUMBER($H300),$G300&gt;0,$H300&gt;0),"⚠ both inflow and outflow entered",IF($K300="Missing","⚠ missing evidence","")))</f>
        <v/>
      </c>
    </row>
    <row r="301">
      <c r="A301" s="4" t="n"/>
      <c r="B301" s="27" t="n"/>
      <c r="C301" s="4" t="n"/>
      <c r="D301" s="4" t="n"/>
      <c r="E301" s="4" t="n"/>
      <c r="F301" s="4" t="n"/>
      <c r="G301" s="28" t="n"/>
      <c r="H301" s="28" t="n"/>
      <c r="I301" s="4" t="n"/>
      <c r="J301" s="4" t="n"/>
      <c r="K301" s="4" t="n"/>
      <c r="L301">
        <f>IF($A301="","",IF(AND(ISNUMBER($G301),ISNUMBER($H301),$G301&gt;0,$H301&gt;0),"⚠ both inflow and outflow entered",IF($K301="Missing","⚠ missing evidence","")))</f>
        <v/>
      </c>
    </row>
    <row r="302">
      <c r="A302" s="4" t="n"/>
      <c r="B302" s="27" t="n"/>
      <c r="C302" s="4" t="n"/>
      <c r="D302" s="4" t="n"/>
      <c r="E302" s="4" t="n"/>
      <c r="F302" s="4" t="n"/>
      <c r="G302" s="28" t="n"/>
      <c r="H302" s="28" t="n"/>
      <c r="I302" s="4" t="n"/>
      <c r="J302" s="4" t="n"/>
      <c r="K302" s="4" t="n"/>
      <c r="L302">
        <f>IF($A302="","",IF(AND(ISNUMBER($G302),ISNUMBER($H302),$G302&gt;0,$H302&gt;0),"⚠ both inflow and outflow entered",IF($K302="Missing","⚠ missing evidence","")))</f>
        <v/>
      </c>
    </row>
    <row r="303">
      <c r="A303" s="4" t="n"/>
      <c r="B303" s="27" t="n"/>
      <c r="C303" s="4" t="n"/>
      <c r="D303" s="4" t="n"/>
      <c r="E303" s="4" t="n"/>
      <c r="F303" s="4" t="n"/>
      <c r="G303" s="28" t="n"/>
      <c r="H303" s="28" t="n"/>
      <c r="I303" s="4" t="n"/>
      <c r="J303" s="4" t="n"/>
      <c r="K303" s="4" t="n"/>
      <c r="L303">
        <f>IF($A303="","",IF(AND(ISNUMBER($G303),ISNUMBER($H303),$G303&gt;0,$H303&gt;0),"⚠ both inflow and outflow entered",IF($K303="Missing","⚠ missing evidence","")))</f>
        <v/>
      </c>
    </row>
    <row r="304">
      <c r="A304" s="4" t="n"/>
      <c r="B304" s="27" t="n"/>
      <c r="C304" s="4" t="n"/>
      <c r="D304" s="4" t="n"/>
      <c r="E304" s="4" t="n"/>
      <c r="F304" s="4" t="n"/>
      <c r="G304" s="28" t="n"/>
      <c r="H304" s="28" t="n"/>
      <c r="I304" s="4" t="n"/>
      <c r="J304" s="4" t="n"/>
      <c r="K304" s="4" t="n"/>
      <c r="L304">
        <f>IF($A304="","",IF(AND(ISNUMBER($G304),ISNUMBER($H304),$G304&gt;0,$H304&gt;0),"⚠ both inflow and outflow entered",IF($K304="Missing","⚠ missing evidence","")))</f>
        <v/>
      </c>
    </row>
    <row r="305">
      <c r="A305" s="4" t="n"/>
      <c r="B305" s="27" t="n"/>
      <c r="C305" s="4" t="n"/>
      <c r="D305" s="4" t="n"/>
      <c r="E305" s="4" t="n"/>
      <c r="F305" s="4" t="n"/>
      <c r="G305" s="28" t="n"/>
      <c r="H305" s="28" t="n"/>
      <c r="I305" s="4" t="n"/>
      <c r="J305" s="4" t="n"/>
      <c r="K305" s="4" t="n"/>
      <c r="L305">
        <f>IF($A305="","",IF(AND(ISNUMBER($G305),ISNUMBER($H305),$G305&gt;0,$H305&gt;0),"⚠ both inflow and outflow entered",IF($K305="Missing","⚠ missing evidence","")))</f>
        <v/>
      </c>
    </row>
    <row r="306">
      <c r="A306" s="4" t="n"/>
      <c r="B306" s="27" t="n"/>
      <c r="C306" s="4" t="n"/>
      <c r="D306" s="4" t="n"/>
      <c r="E306" s="4" t="n"/>
      <c r="F306" s="4" t="n"/>
      <c r="G306" s="28" t="n"/>
      <c r="H306" s="28" t="n"/>
      <c r="I306" s="4" t="n"/>
      <c r="J306" s="4" t="n"/>
      <c r="K306" s="4" t="n"/>
      <c r="L306">
        <f>IF($A306="","",IF(AND(ISNUMBER($G306),ISNUMBER($H306),$G306&gt;0,$H306&gt;0),"⚠ both inflow and outflow entered",IF($K306="Missing","⚠ missing evidence","")))</f>
        <v/>
      </c>
    </row>
    <row r="307">
      <c r="A307" s="4" t="n"/>
      <c r="B307" s="27" t="n"/>
      <c r="C307" s="4" t="n"/>
      <c r="D307" s="4" t="n"/>
      <c r="E307" s="4" t="n"/>
      <c r="F307" s="4" t="n"/>
      <c r="G307" s="28" t="n"/>
      <c r="H307" s="28" t="n"/>
      <c r="I307" s="4" t="n"/>
      <c r="J307" s="4" t="n"/>
      <c r="K307" s="4" t="n"/>
      <c r="L307">
        <f>IF($A307="","",IF(AND(ISNUMBER($G307),ISNUMBER($H307),$G307&gt;0,$H307&gt;0),"⚠ both inflow and outflow entered",IF($K307="Missing","⚠ missing evidence","")))</f>
        <v/>
      </c>
    </row>
    <row r="308">
      <c r="A308" s="4" t="n"/>
      <c r="B308" s="27" t="n"/>
      <c r="C308" s="4" t="n"/>
      <c r="D308" s="4" t="n"/>
      <c r="E308" s="4" t="n"/>
      <c r="F308" s="4" t="n"/>
      <c r="G308" s="28" t="n"/>
      <c r="H308" s="28" t="n"/>
      <c r="I308" s="4" t="n"/>
      <c r="J308" s="4" t="n"/>
      <c r="K308" s="4" t="n"/>
      <c r="L308">
        <f>IF($A308="","",IF(AND(ISNUMBER($G308),ISNUMBER($H308),$G308&gt;0,$H308&gt;0),"⚠ both inflow and outflow entered",IF($K308="Missing","⚠ missing evidence","")))</f>
        <v/>
      </c>
    </row>
    <row r="309">
      <c r="A309" s="4" t="n"/>
      <c r="B309" s="27" t="n"/>
      <c r="C309" s="4" t="n"/>
      <c r="D309" s="4" t="n"/>
      <c r="E309" s="4" t="n"/>
      <c r="F309" s="4" t="n"/>
      <c r="G309" s="28" t="n"/>
      <c r="H309" s="28" t="n"/>
      <c r="I309" s="4" t="n"/>
      <c r="J309" s="4" t="n"/>
      <c r="K309" s="4" t="n"/>
      <c r="L309">
        <f>IF($A309="","",IF(AND(ISNUMBER($G309),ISNUMBER($H309),$G309&gt;0,$H309&gt;0),"⚠ both inflow and outflow entered",IF($K309="Missing","⚠ missing evidence","")))</f>
        <v/>
      </c>
    </row>
    <row r="310">
      <c r="A310" s="4" t="n"/>
      <c r="B310" s="27" t="n"/>
      <c r="C310" s="4" t="n"/>
      <c r="D310" s="4" t="n"/>
      <c r="E310" s="4" t="n"/>
      <c r="F310" s="4" t="n"/>
      <c r="G310" s="28" t="n"/>
      <c r="H310" s="28" t="n"/>
      <c r="I310" s="4" t="n"/>
      <c r="J310" s="4" t="n"/>
      <c r="K310" s="4" t="n"/>
      <c r="L310">
        <f>IF($A310="","",IF(AND(ISNUMBER($G310),ISNUMBER($H310),$G310&gt;0,$H310&gt;0),"⚠ both inflow and outflow entered",IF($K310="Missing","⚠ missing evidence","")))</f>
        <v/>
      </c>
    </row>
    <row r="311">
      <c r="A311" s="4" t="n"/>
      <c r="B311" s="27" t="n"/>
      <c r="C311" s="4" t="n"/>
      <c r="D311" s="4" t="n"/>
      <c r="E311" s="4" t="n"/>
      <c r="F311" s="4" t="n"/>
      <c r="G311" s="28" t="n"/>
      <c r="H311" s="28" t="n"/>
      <c r="I311" s="4" t="n"/>
      <c r="J311" s="4" t="n"/>
      <c r="K311" s="4" t="n"/>
      <c r="L311">
        <f>IF($A311="","",IF(AND(ISNUMBER($G311),ISNUMBER($H311),$G311&gt;0,$H311&gt;0),"⚠ both inflow and outflow entered",IF($K311="Missing","⚠ missing evidence","")))</f>
        <v/>
      </c>
    </row>
    <row r="312">
      <c r="A312" s="4" t="n"/>
      <c r="B312" s="27" t="n"/>
      <c r="C312" s="4" t="n"/>
      <c r="D312" s="4" t="n"/>
      <c r="E312" s="4" t="n"/>
      <c r="F312" s="4" t="n"/>
      <c r="G312" s="28" t="n"/>
      <c r="H312" s="28" t="n"/>
      <c r="I312" s="4" t="n"/>
      <c r="J312" s="4" t="n"/>
      <c r="K312" s="4" t="n"/>
      <c r="L312">
        <f>IF($A312="","",IF(AND(ISNUMBER($G312),ISNUMBER($H312),$G312&gt;0,$H312&gt;0),"⚠ both inflow and outflow entered",IF($K312="Missing","⚠ missing evidence","")))</f>
        <v/>
      </c>
    </row>
    <row r="313">
      <c r="A313" s="4" t="n"/>
      <c r="B313" s="27" t="n"/>
      <c r="C313" s="4" t="n"/>
      <c r="D313" s="4" t="n"/>
      <c r="E313" s="4" t="n"/>
      <c r="F313" s="4" t="n"/>
      <c r="G313" s="28" t="n"/>
      <c r="H313" s="28" t="n"/>
      <c r="I313" s="4" t="n"/>
      <c r="J313" s="4" t="n"/>
      <c r="K313" s="4" t="n"/>
      <c r="L313">
        <f>IF($A313="","",IF(AND(ISNUMBER($G313),ISNUMBER($H313),$G313&gt;0,$H313&gt;0),"⚠ both inflow and outflow entered",IF($K313="Missing","⚠ missing evidence","")))</f>
        <v/>
      </c>
    </row>
    <row r="314">
      <c r="A314" s="4" t="n"/>
      <c r="B314" s="27" t="n"/>
      <c r="C314" s="4" t="n"/>
      <c r="D314" s="4" t="n"/>
      <c r="E314" s="4" t="n"/>
      <c r="F314" s="4" t="n"/>
      <c r="G314" s="28" t="n"/>
      <c r="H314" s="28" t="n"/>
      <c r="I314" s="4" t="n"/>
      <c r="J314" s="4" t="n"/>
      <c r="K314" s="4" t="n"/>
      <c r="L314">
        <f>IF($A314="","",IF(AND(ISNUMBER($G314),ISNUMBER($H314),$G314&gt;0,$H314&gt;0),"⚠ both inflow and outflow entered",IF($K314="Missing","⚠ missing evidence","")))</f>
        <v/>
      </c>
    </row>
    <row r="315">
      <c r="A315" s="4" t="n"/>
      <c r="B315" s="27" t="n"/>
      <c r="C315" s="4" t="n"/>
      <c r="D315" s="4" t="n"/>
      <c r="E315" s="4" t="n"/>
      <c r="F315" s="4" t="n"/>
      <c r="G315" s="28" t="n"/>
      <c r="H315" s="28" t="n"/>
      <c r="I315" s="4" t="n"/>
      <c r="J315" s="4" t="n"/>
      <c r="K315" s="4" t="n"/>
      <c r="L315">
        <f>IF($A315="","",IF(AND(ISNUMBER($G315),ISNUMBER($H315),$G315&gt;0,$H315&gt;0),"⚠ both inflow and outflow entered",IF($K315="Missing","⚠ missing evidence","")))</f>
        <v/>
      </c>
    </row>
    <row r="316">
      <c r="A316" s="4" t="n"/>
      <c r="B316" s="27" t="n"/>
      <c r="C316" s="4" t="n"/>
      <c r="D316" s="4" t="n"/>
      <c r="E316" s="4" t="n"/>
      <c r="F316" s="4" t="n"/>
      <c r="G316" s="28" t="n"/>
      <c r="H316" s="28" t="n"/>
      <c r="I316" s="4" t="n"/>
      <c r="J316" s="4" t="n"/>
      <c r="K316" s="4" t="n"/>
      <c r="L316">
        <f>IF($A316="","",IF(AND(ISNUMBER($G316),ISNUMBER($H316),$G316&gt;0,$H316&gt;0),"⚠ both inflow and outflow entered",IF($K316="Missing","⚠ missing evidence","")))</f>
        <v/>
      </c>
    </row>
    <row r="317">
      <c r="A317" s="4" t="n"/>
      <c r="B317" s="27" t="n"/>
      <c r="C317" s="4" t="n"/>
      <c r="D317" s="4" t="n"/>
      <c r="E317" s="4" t="n"/>
      <c r="F317" s="4" t="n"/>
      <c r="G317" s="28" t="n"/>
      <c r="H317" s="28" t="n"/>
      <c r="I317" s="4" t="n"/>
      <c r="J317" s="4" t="n"/>
      <c r="K317" s="4" t="n"/>
      <c r="L317">
        <f>IF($A317="","",IF(AND(ISNUMBER($G317),ISNUMBER($H317),$G317&gt;0,$H317&gt;0),"⚠ both inflow and outflow entered",IF($K317="Missing","⚠ missing evidence","")))</f>
        <v/>
      </c>
    </row>
    <row r="318">
      <c r="A318" s="4" t="n"/>
      <c r="B318" s="27" t="n"/>
      <c r="C318" s="4" t="n"/>
      <c r="D318" s="4" t="n"/>
      <c r="E318" s="4" t="n"/>
      <c r="F318" s="4" t="n"/>
      <c r="G318" s="28" t="n"/>
      <c r="H318" s="28" t="n"/>
      <c r="I318" s="4" t="n"/>
      <c r="J318" s="4" t="n"/>
      <c r="K318" s="4" t="n"/>
      <c r="L318">
        <f>IF($A318="","",IF(AND(ISNUMBER($G318),ISNUMBER($H318),$G318&gt;0,$H318&gt;0),"⚠ both inflow and outflow entered",IF($K318="Missing","⚠ missing evidence","")))</f>
        <v/>
      </c>
    </row>
    <row r="319">
      <c r="A319" s="4" t="n"/>
      <c r="B319" s="27" t="n"/>
      <c r="C319" s="4" t="n"/>
      <c r="D319" s="4" t="n"/>
      <c r="E319" s="4" t="n"/>
      <c r="F319" s="4" t="n"/>
      <c r="G319" s="28" t="n"/>
      <c r="H319" s="28" t="n"/>
      <c r="I319" s="4" t="n"/>
      <c r="J319" s="4" t="n"/>
      <c r="K319" s="4" t="n"/>
      <c r="L319">
        <f>IF($A319="","",IF(AND(ISNUMBER($G319),ISNUMBER($H319),$G319&gt;0,$H319&gt;0),"⚠ both inflow and outflow entered",IF($K319="Missing","⚠ missing evidence","")))</f>
        <v/>
      </c>
    </row>
    <row r="320">
      <c r="A320" s="4" t="n"/>
      <c r="B320" s="27" t="n"/>
      <c r="C320" s="4" t="n"/>
      <c r="D320" s="4" t="n"/>
      <c r="E320" s="4" t="n"/>
      <c r="F320" s="4" t="n"/>
      <c r="G320" s="28" t="n"/>
      <c r="H320" s="28" t="n"/>
      <c r="I320" s="4" t="n"/>
      <c r="J320" s="4" t="n"/>
      <c r="K320" s="4" t="n"/>
      <c r="L320">
        <f>IF($A320="","",IF(AND(ISNUMBER($G320),ISNUMBER($H320),$G320&gt;0,$H320&gt;0),"⚠ both inflow and outflow entered",IF($K320="Missing","⚠ missing evidence","")))</f>
        <v/>
      </c>
    </row>
    <row r="321">
      <c r="A321" s="4" t="n"/>
      <c r="B321" s="27" t="n"/>
      <c r="C321" s="4" t="n"/>
      <c r="D321" s="4" t="n"/>
      <c r="E321" s="4" t="n"/>
      <c r="F321" s="4" t="n"/>
      <c r="G321" s="28" t="n"/>
      <c r="H321" s="28" t="n"/>
      <c r="I321" s="4" t="n"/>
      <c r="J321" s="4" t="n"/>
      <c r="K321" s="4" t="n"/>
      <c r="L321">
        <f>IF($A321="","",IF(AND(ISNUMBER($G321),ISNUMBER($H321),$G321&gt;0,$H321&gt;0),"⚠ both inflow and outflow entered",IF($K321="Missing","⚠ missing evidence","")))</f>
        <v/>
      </c>
    </row>
    <row r="322">
      <c r="A322" s="4" t="n"/>
      <c r="B322" s="27" t="n"/>
      <c r="C322" s="4" t="n"/>
      <c r="D322" s="4" t="n"/>
      <c r="E322" s="4" t="n"/>
      <c r="F322" s="4" t="n"/>
      <c r="G322" s="28" t="n"/>
      <c r="H322" s="28" t="n"/>
      <c r="I322" s="4" t="n"/>
      <c r="J322" s="4" t="n"/>
      <c r="K322" s="4" t="n"/>
      <c r="L322">
        <f>IF($A322="","",IF(AND(ISNUMBER($G322),ISNUMBER($H322),$G322&gt;0,$H322&gt;0),"⚠ both inflow and outflow entered",IF($K322="Missing","⚠ missing evidence","")))</f>
        <v/>
      </c>
    </row>
    <row r="323">
      <c r="A323" s="4" t="n"/>
      <c r="B323" s="27" t="n"/>
      <c r="C323" s="4" t="n"/>
      <c r="D323" s="4" t="n"/>
      <c r="E323" s="4" t="n"/>
      <c r="F323" s="4" t="n"/>
      <c r="G323" s="28" t="n"/>
      <c r="H323" s="28" t="n"/>
      <c r="I323" s="4" t="n"/>
      <c r="J323" s="4" t="n"/>
      <c r="K323" s="4" t="n"/>
      <c r="L323">
        <f>IF($A323="","",IF(AND(ISNUMBER($G323),ISNUMBER($H323),$G323&gt;0,$H323&gt;0),"⚠ both inflow and outflow entered",IF($K323="Missing","⚠ missing evidence","")))</f>
        <v/>
      </c>
    </row>
    <row r="324">
      <c r="A324" s="4" t="n"/>
      <c r="B324" s="27" t="n"/>
      <c r="C324" s="4" t="n"/>
      <c r="D324" s="4" t="n"/>
      <c r="E324" s="4" t="n"/>
      <c r="F324" s="4" t="n"/>
      <c r="G324" s="28" t="n"/>
      <c r="H324" s="28" t="n"/>
      <c r="I324" s="4" t="n"/>
      <c r="J324" s="4" t="n"/>
      <c r="K324" s="4" t="n"/>
      <c r="L324">
        <f>IF($A324="","",IF(AND(ISNUMBER($G324),ISNUMBER($H324),$G324&gt;0,$H324&gt;0),"⚠ both inflow and outflow entered",IF($K324="Missing","⚠ missing evidence","")))</f>
        <v/>
      </c>
    </row>
    <row r="325">
      <c r="A325" s="4" t="n"/>
      <c r="B325" s="27" t="n"/>
      <c r="C325" s="4" t="n"/>
      <c r="D325" s="4" t="n"/>
      <c r="E325" s="4" t="n"/>
      <c r="F325" s="4" t="n"/>
      <c r="G325" s="28" t="n"/>
      <c r="H325" s="28" t="n"/>
      <c r="I325" s="4" t="n"/>
      <c r="J325" s="4" t="n"/>
      <c r="K325" s="4" t="n"/>
      <c r="L325">
        <f>IF($A325="","",IF(AND(ISNUMBER($G325),ISNUMBER($H325),$G325&gt;0,$H325&gt;0),"⚠ both inflow and outflow entered",IF($K325="Missing","⚠ missing evidence","")))</f>
        <v/>
      </c>
    </row>
    <row r="326">
      <c r="A326" s="4" t="n"/>
      <c r="B326" s="27" t="n"/>
      <c r="C326" s="4" t="n"/>
      <c r="D326" s="4" t="n"/>
      <c r="E326" s="4" t="n"/>
      <c r="F326" s="4" t="n"/>
      <c r="G326" s="28" t="n"/>
      <c r="H326" s="28" t="n"/>
      <c r="I326" s="4" t="n"/>
      <c r="J326" s="4" t="n"/>
      <c r="K326" s="4" t="n"/>
      <c r="L326">
        <f>IF($A326="","",IF(AND(ISNUMBER($G326),ISNUMBER($H326),$G326&gt;0,$H326&gt;0),"⚠ both inflow and outflow entered",IF($K326="Missing","⚠ missing evidence","")))</f>
        <v/>
      </c>
    </row>
    <row r="327">
      <c r="A327" s="4" t="n"/>
      <c r="B327" s="27" t="n"/>
      <c r="C327" s="4" t="n"/>
      <c r="D327" s="4" t="n"/>
      <c r="E327" s="4" t="n"/>
      <c r="F327" s="4" t="n"/>
      <c r="G327" s="28" t="n"/>
      <c r="H327" s="28" t="n"/>
      <c r="I327" s="4" t="n"/>
      <c r="J327" s="4" t="n"/>
      <c r="K327" s="4" t="n"/>
      <c r="L327">
        <f>IF($A327="","",IF(AND(ISNUMBER($G327),ISNUMBER($H327),$G327&gt;0,$H327&gt;0),"⚠ both inflow and outflow entered",IF($K327="Missing","⚠ missing evidence","")))</f>
        <v/>
      </c>
    </row>
    <row r="328">
      <c r="A328" s="4" t="n"/>
      <c r="B328" s="27" t="n"/>
      <c r="C328" s="4" t="n"/>
      <c r="D328" s="4" t="n"/>
      <c r="E328" s="4" t="n"/>
      <c r="F328" s="4" t="n"/>
      <c r="G328" s="28" t="n"/>
      <c r="H328" s="28" t="n"/>
      <c r="I328" s="4" t="n"/>
      <c r="J328" s="4" t="n"/>
      <c r="K328" s="4" t="n"/>
      <c r="L328">
        <f>IF($A328="","",IF(AND(ISNUMBER($G328),ISNUMBER($H328),$G328&gt;0,$H328&gt;0),"⚠ both inflow and outflow entered",IF($K328="Missing","⚠ missing evidence","")))</f>
        <v/>
      </c>
    </row>
    <row r="329">
      <c r="A329" s="4" t="n"/>
      <c r="B329" s="27" t="n"/>
      <c r="C329" s="4" t="n"/>
      <c r="D329" s="4" t="n"/>
      <c r="E329" s="4" t="n"/>
      <c r="F329" s="4" t="n"/>
      <c r="G329" s="28" t="n"/>
      <c r="H329" s="28" t="n"/>
      <c r="I329" s="4" t="n"/>
      <c r="J329" s="4" t="n"/>
      <c r="K329" s="4" t="n"/>
      <c r="L329">
        <f>IF($A329="","",IF(AND(ISNUMBER($G329),ISNUMBER($H329),$G329&gt;0,$H329&gt;0),"⚠ both inflow and outflow entered",IF($K329="Missing","⚠ missing evidence","")))</f>
        <v/>
      </c>
    </row>
    <row r="330">
      <c r="A330" s="4" t="n"/>
      <c r="B330" s="27" t="n"/>
      <c r="C330" s="4" t="n"/>
      <c r="D330" s="4" t="n"/>
      <c r="E330" s="4" t="n"/>
      <c r="F330" s="4" t="n"/>
      <c r="G330" s="28" t="n"/>
      <c r="H330" s="28" t="n"/>
      <c r="I330" s="4" t="n"/>
      <c r="J330" s="4" t="n"/>
      <c r="K330" s="4" t="n"/>
      <c r="L330">
        <f>IF($A330="","",IF(AND(ISNUMBER($G330),ISNUMBER($H330),$G330&gt;0,$H330&gt;0),"⚠ both inflow and outflow entered",IF($K330="Missing","⚠ missing evidence","")))</f>
        <v/>
      </c>
    </row>
    <row r="331">
      <c r="A331" s="4" t="n"/>
      <c r="B331" s="27" t="n"/>
      <c r="C331" s="4" t="n"/>
      <c r="D331" s="4" t="n"/>
      <c r="E331" s="4" t="n"/>
      <c r="F331" s="4" t="n"/>
      <c r="G331" s="28" t="n"/>
      <c r="H331" s="28" t="n"/>
      <c r="I331" s="4" t="n"/>
      <c r="J331" s="4" t="n"/>
      <c r="K331" s="4" t="n"/>
      <c r="L331">
        <f>IF($A331="","",IF(AND(ISNUMBER($G331),ISNUMBER($H331),$G331&gt;0,$H331&gt;0),"⚠ both inflow and outflow entered",IF($K331="Missing","⚠ missing evidence","")))</f>
        <v/>
      </c>
    </row>
    <row r="332">
      <c r="A332" s="4" t="n"/>
      <c r="B332" s="27" t="n"/>
      <c r="C332" s="4" t="n"/>
      <c r="D332" s="4" t="n"/>
      <c r="E332" s="4" t="n"/>
      <c r="F332" s="4" t="n"/>
      <c r="G332" s="28" t="n"/>
      <c r="H332" s="28" t="n"/>
      <c r="I332" s="4" t="n"/>
      <c r="J332" s="4" t="n"/>
      <c r="K332" s="4" t="n"/>
      <c r="L332">
        <f>IF($A332="","",IF(AND(ISNUMBER($G332),ISNUMBER($H332),$G332&gt;0,$H332&gt;0),"⚠ both inflow and outflow entered",IF($K332="Missing","⚠ missing evidence","")))</f>
        <v/>
      </c>
    </row>
    <row r="333">
      <c r="A333" s="4" t="n"/>
      <c r="B333" s="27" t="n"/>
      <c r="C333" s="4" t="n"/>
      <c r="D333" s="4" t="n"/>
      <c r="E333" s="4" t="n"/>
      <c r="F333" s="4" t="n"/>
      <c r="G333" s="28" t="n"/>
      <c r="H333" s="28" t="n"/>
      <c r="I333" s="4" t="n"/>
      <c r="J333" s="4" t="n"/>
      <c r="K333" s="4" t="n"/>
      <c r="L333">
        <f>IF($A333="","",IF(AND(ISNUMBER($G333),ISNUMBER($H333),$G333&gt;0,$H333&gt;0),"⚠ both inflow and outflow entered",IF($K333="Missing","⚠ missing evidence","")))</f>
        <v/>
      </c>
    </row>
    <row r="334">
      <c r="A334" s="4" t="n"/>
      <c r="B334" s="27" t="n"/>
      <c r="C334" s="4" t="n"/>
      <c r="D334" s="4" t="n"/>
      <c r="E334" s="4" t="n"/>
      <c r="F334" s="4" t="n"/>
      <c r="G334" s="28" t="n"/>
      <c r="H334" s="28" t="n"/>
      <c r="I334" s="4" t="n"/>
      <c r="J334" s="4" t="n"/>
      <c r="K334" s="4" t="n"/>
      <c r="L334">
        <f>IF($A334="","",IF(AND(ISNUMBER($G334),ISNUMBER($H334),$G334&gt;0,$H334&gt;0),"⚠ both inflow and outflow entered",IF($K334="Missing","⚠ missing evidence","")))</f>
        <v/>
      </c>
    </row>
    <row r="335">
      <c r="A335" s="4" t="n"/>
      <c r="B335" s="27" t="n"/>
      <c r="C335" s="4" t="n"/>
      <c r="D335" s="4" t="n"/>
      <c r="E335" s="4" t="n"/>
      <c r="F335" s="4" t="n"/>
      <c r="G335" s="28" t="n"/>
      <c r="H335" s="28" t="n"/>
      <c r="I335" s="4" t="n"/>
      <c r="J335" s="4" t="n"/>
      <c r="K335" s="4" t="n"/>
      <c r="L335">
        <f>IF($A335="","",IF(AND(ISNUMBER($G335),ISNUMBER($H335),$G335&gt;0,$H335&gt;0),"⚠ both inflow and outflow entered",IF($K335="Missing","⚠ missing evidence","")))</f>
        <v/>
      </c>
    </row>
    <row r="336">
      <c r="A336" s="4" t="n"/>
      <c r="B336" s="27" t="n"/>
      <c r="C336" s="4" t="n"/>
      <c r="D336" s="4" t="n"/>
      <c r="E336" s="4" t="n"/>
      <c r="F336" s="4" t="n"/>
      <c r="G336" s="28" t="n"/>
      <c r="H336" s="28" t="n"/>
      <c r="I336" s="4" t="n"/>
      <c r="J336" s="4" t="n"/>
      <c r="K336" s="4" t="n"/>
      <c r="L336">
        <f>IF($A336="","",IF(AND(ISNUMBER($G336),ISNUMBER($H336),$G336&gt;0,$H336&gt;0),"⚠ both inflow and outflow entered",IF($K336="Missing","⚠ missing evidence","")))</f>
        <v/>
      </c>
    </row>
    <row r="337">
      <c r="A337" s="4" t="n"/>
      <c r="B337" s="27" t="n"/>
      <c r="C337" s="4" t="n"/>
      <c r="D337" s="4" t="n"/>
      <c r="E337" s="4" t="n"/>
      <c r="F337" s="4" t="n"/>
      <c r="G337" s="28" t="n"/>
      <c r="H337" s="28" t="n"/>
      <c r="I337" s="4" t="n"/>
      <c r="J337" s="4" t="n"/>
      <c r="K337" s="4" t="n"/>
      <c r="L337">
        <f>IF($A337="","",IF(AND(ISNUMBER($G337),ISNUMBER($H337),$G337&gt;0,$H337&gt;0),"⚠ both inflow and outflow entered",IF($K337="Missing","⚠ missing evidence","")))</f>
        <v/>
      </c>
    </row>
    <row r="338">
      <c r="A338" s="4" t="n"/>
      <c r="B338" s="27" t="n"/>
      <c r="C338" s="4" t="n"/>
      <c r="D338" s="4" t="n"/>
      <c r="E338" s="4" t="n"/>
      <c r="F338" s="4" t="n"/>
      <c r="G338" s="28" t="n"/>
      <c r="H338" s="28" t="n"/>
      <c r="I338" s="4" t="n"/>
      <c r="J338" s="4" t="n"/>
      <c r="K338" s="4" t="n"/>
      <c r="L338">
        <f>IF($A338="","",IF(AND(ISNUMBER($G338),ISNUMBER($H338),$G338&gt;0,$H338&gt;0),"⚠ both inflow and outflow entered",IF($K338="Missing","⚠ missing evidence","")))</f>
        <v/>
      </c>
    </row>
    <row r="339">
      <c r="A339" s="4" t="n"/>
      <c r="B339" s="27" t="n"/>
      <c r="C339" s="4" t="n"/>
      <c r="D339" s="4" t="n"/>
      <c r="E339" s="4" t="n"/>
      <c r="F339" s="4" t="n"/>
      <c r="G339" s="28" t="n"/>
      <c r="H339" s="28" t="n"/>
      <c r="I339" s="4" t="n"/>
      <c r="J339" s="4" t="n"/>
      <c r="K339" s="4" t="n"/>
      <c r="L339">
        <f>IF($A339="","",IF(AND(ISNUMBER($G339),ISNUMBER($H339),$G339&gt;0,$H339&gt;0),"⚠ both inflow and outflow entered",IF($K339="Missing","⚠ missing evidence","")))</f>
        <v/>
      </c>
    </row>
    <row r="340">
      <c r="A340" s="4" t="n"/>
      <c r="B340" s="27" t="n"/>
      <c r="C340" s="4" t="n"/>
      <c r="D340" s="4" t="n"/>
      <c r="E340" s="4" t="n"/>
      <c r="F340" s="4" t="n"/>
      <c r="G340" s="28" t="n"/>
      <c r="H340" s="28" t="n"/>
      <c r="I340" s="4" t="n"/>
      <c r="J340" s="4" t="n"/>
      <c r="K340" s="4" t="n"/>
      <c r="L340">
        <f>IF($A340="","",IF(AND(ISNUMBER($G340),ISNUMBER($H340),$G340&gt;0,$H340&gt;0),"⚠ both inflow and outflow entered",IF($K340="Missing","⚠ missing evidence","")))</f>
        <v/>
      </c>
    </row>
    <row r="341">
      <c r="A341" s="4" t="n"/>
      <c r="B341" s="27" t="n"/>
      <c r="C341" s="4" t="n"/>
      <c r="D341" s="4" t="n"/>
      <c r="E341" s="4" t="n"/>
      <c r="F341" s="4" t="n"/>
      <c r="G341" s="28" t="n"/>
      <c r="H341" s="28" t="n"/>
      <c r="I341" s="4" t="n"/>
      <c r="J341" s="4" t="n"/>
      <c r="K341" s="4" t="n"/>
      <c r="L341">
        <f>IF($A341="","",IF(AND(ISNUMBER($G341),ISNUMBER($H341),$G341&gt;0,$H341&gt;0),"⚠ both inflow and outflow entered",IF($K341="Missing","⚠ missing evidence","")))</f>
        <v/>
      </c>
    </row>
    <row r="342">
      <c r="A342" s="4" t="n"/>
      <c r="B342" s="27" t="n"/>
      <c r="C342" s="4" t="n"/>
      <c r="D342" s="4" t="n"/>
      <c r="E342" s="4" t="n"/>
      <c r="F342" s="4" t="n"/>
      <c r="G342" s="28" t="n"/>
      <c r="H342" s="28" t="n"/>
      <c r="I342" s="4" t="n"/>
      <c r="J342" s="4" t="n"/>
      <c r="K342" s="4" t="n"/>
      <c r="L342">
        <f>IF($A342="","",IF(AND(ISNUMBER($G342),ISNUMBER($H342),$G342&gt;0,$H342&gt;0),"⚠ both inflow and outflow entered",IF($K342="Missing","⚠ missing evidence","")))</f>
        <v/>
      </c>
    </row>
    <row r="343">
      <c r="A343" s="4" t="n"/>
      <c r="B343" s="27" t="n"/>
      <c r="C343" s="4" t="n"/>
      <c r="D343" s="4" t="n"/>
      <c r="E343" s="4" t="n"/>
      <c r="F343" s="4" t="n"/>
      <c r="G343" s="28" t="n"/>
      <c r="H343" s="28" t="n"/>
      <c r="I343" s="4" t="n"/>
      <c r="J343" s="4" t="n"/>
      <c r="K343" s="4" t="n"/>
      <c r="L343">
        <f>IF($A343="","",IF(AND(ISNUMBER($G343),ISNUMBER($H343),$G343&gt;0,$H343&gt;0),"⚠ both inflow and outflow entered",IF($K343="Missing","⚠ missing evidence","")))</f>
        <v/>
      </c>
    </row>
    <row r="344">
      <c r="A344" s="4" t="n"/>
      <c r="B344" s="27" t="n"/>
      <c r="C344" s="4" t="n"/>
      <c r="D344" s="4" t="n"/>
      <c r="E344" s="4" t="n"/>
      <c r="F344" s="4" t="n"/>
      <c r="G344" s="28" t="n"/>
      <c r="H344" s="28" t="n"/>
      <c r="I344" s="4" t="n"/>
      <c r="J344" s="4" t="n"/>
      <c r="K344" s="4" t="n"/>
      <c r="L344">
        <f>IF($A344="","",IF(AND(ISNUMBER($G344),ISNUMBER($H344),$G344&gt;0,$H344&gt;0),"⚠ both inflow and outflow entered",IF($K344="Missing","⚠ missing evidence","")))</f>
        <v/>
      </c>
    </row>
    <row r="345">
      <c r="A345" s="4" t="n"/>
      <c r="B345" s="27" t="n"/>
      <c r="C345" s="4" t="n"/>
      <c r="D345" s="4" t="n"/>
      <c r="E345" s="4" t="n"/>
      <c r="F345" s="4" t="n"/>
      <c r="G345" s="28" t="n"/>
      <c r="H345" s="28" t="n"/>
      <c r="I345" s="4" t="n"/>
      <c r="J345" s="4" t="n"/>
      <c r="K345" s="4" t="n"/>
      <c r="L345">
        <f>IF($A345="","",IF(AND(ISNUMBER($G345),ISNUMBER($H345),$G345&gt;0,$H345&gt;0),"⚠ both inflow and outflow entered",IF($K345="Missing","⚠ missing evidence","")))</f>
        <v/>
      </c>
    </row>
    <row r="346">
      <c r="A346" s="4" t="n"/>
      <c r="B346" s="27" t="n"/>
      <c r="C346" s="4" t="n"/>
      <c r="D346" s="4" t="n"/>
      <c r="E346" s="4" t="n"/>
      <c r="F346" s="4" t="n"/>
      <c r="G346" s="28" t="n"/>
      <c r="H346" s="28" t="n"/>
      <c r="I346" s="4" t="n"/>
      <c r="J346" s="4" t="n"/>
      <c r="K346" s="4" t="n"/>
      <c r="L346">
        <f>IF($A346="","",IF(AND(ISNUMBER($G346),ISNUMBER($H346),$G346&gt;0,$H346&gt;0),"⚠ both inflow and outflow entered",IF($K346="Missing","⚠ missing evidence","")))</f>
        <v/>
      </c>
    </row>
    <row r="347">
      <c r="A347" s="4" t="n"/>
      <c r="B347" s="27" t="n"/>
      <c r="C347" s="4" t="n"/>
      <c r="D347" s="4" t="n"/>
      <c r="E347" s="4" t="n"/>
      <c r="F347" s="4" t="n"/>
      <c r="G347" s="28" t="n"/>
      <c r="H347" s="28" t="n"/>
      <c r="I347" s="4" t="n"/>
      <c r="J347" s="4" t="n"/>
      <c r="K347" s="4" t="n"/>
      <c r="L347">
        <f>IF($A347="","",IF(AND(ISNUMBER($G347),ISNUMBER($H347),$G347&gt;0,$H347&gt;0),"⚠ both inflow and outflow entered",IF($K347="Missing","⚠ missing evidence","")))</f>
        <v/>
      </c>
    </row>
    <row r="348">
      <c r="A348" s="4" t="n"/>
      <c r="B348" s="27" t="n"/>
      <c r="C348" s="4" t="n"/>
      <c r="D348" s="4" t="n"/>
      <c r="E348" s="4" t="n"/>
      <c r="F348" s="4" t="n"/>
      <c r="G348" s="28" t="n"/>
      <c r="H348" s="28" t="n"/>
      <c r="I348" s="4" t="n"/>
      <c r="J348" s="4" t="n"/>
      <c r="K348" s="4" t="n"/>
      <c r="L348">
        <f>IF($A348="","",IF(AND(ISNUMBER($G348),ISNUMBER($H348),$G348&gt;0,$H348&gt;0),"⚠ both inflow and outflow entered",IF($K348="Missing","⚠ missing evidence","")))</f>
        <v/>
      </c>
    </row>
    <row r="349">
      <c r="A349" s="4" t="n"/>
      <c r="B349" s="27" t="n"/>
      <c r="C349" s="4" t="n"/>
      <c r="D349" s="4" t="n"/>
      <c r="E349" s="4" t="n"/>
      <c r="F349" s="4" t="n"/>
      <c r="G349" s="28" t="n"/>
      <c r="H349" s="28" t="n"/>
      <c r="I349" s="4" t="n"/>
      <c r="J349" s="4" t="n"/>
      <c r="K349" s="4" t="n"/>
      <c r="L349">
        <f>IF($A349="","",IF(AND(ISNUMBER($G349),ISNUMBER($H349),$G349&gt;0,$H349&gt;0),"⚠ both inflow and outflow entered",IF($K349="Missing","⚠ missing evidence","")))</f>
        <v/>
      </c>
    </row>
    <row r="350">
      <c r="A350" s="4" t="n"/>
      <c r="B350" s="27" t="n"/>
      <c r="C350" s="4" t="n"/>
      <c r="D350" s="4" t="n"/>
      <c r="E350" s="4" t="n"/>
      <c r="F350" s="4" t="n"/>
      <c r="G350" s="28" t="n"/>
      <c r="H350" s="28" t="n"/>
      <c r="I350" s="4" t="n"/>
      <c r="J350" s="4" t="n"/>
      <c r="K350" s="4" t="n"/>
      <c r="L350">
        <f>IF($A350="","",IF(AND(ISNUMBER($G350),ISNUMBER($H350),$G350&gt;0,$H350&gt;0),"⚠ both inflow and outflow entered",IF($K350="Missing","⚠ missing evidence","")))</f>
        <v/>
      </c>
    </row>
    <row r="351">
      <c r="A351" s="4" t="n"/>
      <c r="B351" s="27" t="n"/>
      <c r="C351" s="4" t="n"/>
      <c r="D351" s="4" t="n"/>
      <c r="E351" s="4" t="n"/>
      <c r="F351" s="4" t="n"/>
      <c r="G351" s="28" t="n"/>
      <c r="H351" s="28" t="n"/>
      <c r="I351" s="4" t="n"/>
      <c r="J351" s="4" t="n"/>
      <c r="K351" s="4" t="n"/>
      <c r="L351">
        <f>IF($A351="","",IF(AND(ISNUMBER($G351),ISNUMBER($H351),$G351&gt;0,$H351&gt;0),"⚠ both inflow and outflow entered",IF($K351="Missing","⚠ missing evidence","")))</f>
        <v/>
      </c>
    </row>
    <row r="352">
      <c r="A352" s="4" t="n"/>
      <c r="B352" s="27" t="n"/>
      <c r="C352" s="4" t="n"/>
      <c r="D352" s="4" t="n"/>
      <c r="E352" s="4" t="n"/>
      <c r="F352" s="4" t="n"/>
      <c r="G352" s="28" t="n"/>
      <c r="H352" s="28" t="n"/>
      <c r="I352" s="4" t="n"/>
      <c r="J352" s="4" t="n"/>
      <c r="K352" s="4" t="n"/>
      <c r="L352">
        <f>IF($A352="","",IF(AND(ISNUMBER($G352),ISNUMBER($H352),$G352&gt;0,$H352&gt;0),"⚠ both inflow and outflow entered",IF($K352="Missing","⚠ missing evidence","")))</f>
        <v/>
      </c>
    </row>
    <row r="353">
      <c r="A353" s="4" t="n"/>
      <c r="B353" s="27" t="n"/>
      <c r="C353" s="4" t="n"/>
      <c r="D353" s="4" t="n"/>
      <c r="E353" s="4" t="n"/>
      <c r="F353" s="4" t="n"/>
      <c r="G353" s="28" t="n"/>
      <c r="H353" s="28" t="n"/>
      <c r="I353" s="4" t="n"/>
      <c r="J353" s="4" t="n"/>
      <c r="K353" s="4" t="n"/>
      <c r="L353">
        <f>IF($A353="","",IF(AND(ISNUMBER($G353),ISNUMBER($H353),$G353&gt;0,$H353&gt;0),"⚠ both inflow and outflow entered",IF($K353="Missing","⚠ missing evidence","")))</f>
        <v/>
      </c>
    </row>
    <row r="354">
      <c r="A354" s="4" t="n"/>
      <c r="B354" s="27" t="n"/>
      <c r="C354" s="4" t="n"/>
      <c r="D354" s="4" t="n"/>
      <c r="E354" s="4" t="n"/>
      <c r="F354" s="4" t="n"/>
      <c r="G354" s="28" t="n"/>
      <c r="H354" s="28" t="n"/>
      <c r="I354" s="4" t="n"/>
      <c r="J354" s="4" t="n"/>
      <c r="K354" s="4" t="n"/>
      <c r="L354">
        <f>IF($A354="","",IF(AND(ISNUMBER($G354),ISNUMBER($H354),$G354&gt;0,$H354&gt;0),"⚠ both inflow and outflow entered",IF($K354="Missing","⚠ missing evidence","")))</f>
        <v/>
      </c>
    </row>
    <row r="355">
      <c r="A355" s="4" t="n"/>
      <c r="B355" s="27" t="n"/>
      <c r="C355" s="4" t="n"/>
      <c r="D355" s="4" t="n"/>
      <c r="E355" s="4" t="n"/>
      <c r="F355" s="4" t="n"/>
      <c r="G355" s="28" t="n"/>
      <c r="H355" s="28" t="n"/>
      <c r="I355" s="4" t="n"/>
      <c r="J355" s="4" t="n"/>
      <c r="K355" s="4" t="n"/>
      <c r="L355">
        <f>IF($A355="","",IF(AND(ISNUMBER($G355),ISNUMBER($H355),$G355&gt;0,$H355&gt;0),"⚠ both inflow and outflow entered",IF($K355="Missing","⚠ missing evidence","")))</f>
        <v/>
      </c>
    </row>
    <row r="356">
      <c r="A356" s="4" t="n"/>
      <c r="B356" s="27" t="n"/>
      <c r="C356" s="4" t="n"/>
      <c r="D356" s="4" t="n"/>
      <c r="E356" s="4" t="n"/>
      <c r="F356" s="4" t="n"/>
      <c r="G356" s="28" t="n"/>
      <c r="H356" s="28" t="n"/>
      <c r="I356" s="4" t="n"/>
      <c r="J356" s="4" t="n"/>
      <c r="K356" s="4" t="n"/>
      <c r="L356">
        <f>IF($A356="","",IF(AND(ISNUMBER($G356),ISNUMBER($H356),$G356&gt;0,$H356&gt;0),"⚠ both inflow and outflow entered",IF($K356="Missing","⚠ missing evidence","")))</f>
        <v/>
      </c>
    </row>
    <row r="357">
      <c r="A357" s="4" t="n"/>
      <c r="B357" s="27" t="n"/>
      <c r="C357" s="4" t="n"/>
      <c r="D357" s="4" t="n"/>
      <c r="E357" s="4" t="n"/>
      <c r="F357" s="4" t="n"/>
      <c r="G357" s="28" t="n"/>
      <c r="H357" s="28" t="n"/>
      <c r="I357" s="4" t="n"/>
      <c r="J357" s="4" t="n"/>
      <c r="K357" s="4" t="n"/>
      <c r="L357">
        <f>IF($A357="","",IF(AND(ISNUMBER($G357),ISNUMBER($H357),$G357&gt;0,$H357&gt;0),"⚠ both inflow and outflow entered",IF($K357="Missing","⚠ missing evidence","")))</f>
        <v/>
      </c>
    </row>
    <row r="358">
      <c r="A358" s="4" t="n"/>
      <c r="B358" s="27" t="n"/>
      <c r="C358" s="4" t="n"/>
      <c r="D358" s="4" t="n"/>
      <c r="E358" s="4" t="n"/>
      <c r="F358" s="4" t="n"/>
      <c r="G358" s="28" t="n"/>
      <c r="H358" s="28" t="n"/>
      <c r="I358" s="4" t="n"/>
      <c r="J358" s="4" t="n"/>
      <c r="K358" s="4" t="n"/>
      <c r="L358">
        <f>IF($A358="","",IF(AND(ISNUMBER($G358),ISNUMBER($H358),$G358&gt;0,$H358&gt;0),"⚠ both inflow and outflow entered",IF($K358="Missing","⚠ missing evidence","")))</f>
        <v/>
      </c>
    </row>
    <row r="359">
      <c r="A359" s="4" t="n"/>
      <c r="B359" s="27" t="n"/>
      <c r="C359" s="4" t="n"/>
      <c r="D359" s="4" t="n"/>
      <c r="E359" s="4" t="n"/>
      <c r="F359" s="4" t="n"/>
      <c r="G359" s="28" t="n"/>
      <c r="H359" s="28" t="n"/>
      <c r="I359" s="4" t="n"/>
      <c r="J359" s="4" t="n"/>
      <c r="K359" s="4" t="n"/>
      <c r="L359">
        <f>IF($A359="","",IF(AND(ISNUMBER($G359),ISNUMBER($H359),$G359&gt;0,$H359&gt;0),"⚠ both inflow and outflow entered",IF($K359="Missing","⚠ missing evidence","")))</f>
        <v/>
      </c>
    </row>
    <row r="360">
      <c r="A360" s="4" t="n"/>
      <c r="B360" s="27" t="n"/>
      <c r="C360" s="4" t="n"/>
      <c r="D360" s="4" t="n"/>
      <c r="E360" s="4" t="n"/>
      <c r="F360" s="4" t="n"/>
      <c r="G360" s="28" t="n"/>
      <c r="H360" s="28" t="n"/>
      <c r="I360" s="4" t="n"/>
      <c r="J360" s="4" t="n"/>
      <c r="K360" s="4" t="n"/>
      <c r="L360">
        <f>IF($A360="","",IF(AND(ISNUMBER($G360),ISNUMBER($H360),$G360&gt;0,$H360&gt;0),"⚠ both inflow and outflow entered",IF($K360="Missing","⚠ missing evidence","")))</f>
        <v/>
      </c>
    </row>
    <row r="361">
      <c r="A361" s="4" t="n"/>
      <c r="B361" s="27" t="n"/>
      <c r="C361" s="4" t="n"/>
      <c r="D361" s="4" t="n"/>
      <c r="E361" s="4" t="n"/>
      <c r="F361" s="4" t="n"/>
      <c r="G361" s="28" t="n"/>
      <c r="H361" s="28" t="n"/>
      <c r="I361" s="4" t="n"/>
      <c r="J361" s="4" t="n"/>
      <c r="K361" s="4" t="n"/>
      <c r="L361">
        <f>IF($A361="","",IF(AND(ISNUMBER($G361),ISNUMBER($H361),$G361&gt;0,$H361&gt;0),"⚠ both inflow and outflow entered",IF($K361="Missing","⚠ missing evidence","")))</f>
        <v/>
      </c>
    </row>
    <row r="362">
      <c r="A362" s="4" t="n"/>
      <c r="B362" s="27" t="n"/>
      <c r="C362" s="4" t="n"/>
      <c r="D362" s="4" t="n"/>
      <c r="E362" s="4" t="n"/>
      <c r="F362" s="4" t="n"/>
      <c r="G362" s="28" t="n"/>
      <c r="H362" s="28" t="n"/>
      <c r="I362" s="4" t="n"/>
      <c r="J362" s="4" t="n"/>
      <c r="K362" s="4" t="n"/>
      <c r="L362">
        <f>IF($A362="","",IF(AND(ISNUMBER($G362),ISNUMBER($H362),$G362&gt;0,$H362&gt;0),"⚠ both inflow and outflow entered",IF($K362="Missing","⚠ missing evidence","")))</f>
        <v/>
      </c>
    </row>
    <row r="363">
      <c r="A363" s="4" t="n"/>
      <c r="B363" s="27" t="n"/>
      <c r="C363" s="4" t="n"/>
      <c r="D363" s="4" t="n"/>
      <c r="E363" s="4" t="n"/>
      <c r="F363" s="4" t="n"/>
      <c r="G363" s="28" t="n"/>
      <c r="H363" s="28" t="n"/>
      <c r="I363" s="4" t="n"/>
      <c r="J363" s="4" t="n"/>
      <c r="K363" s="4" t="n"/>
      <c r="L363">
        <f>IF($A363="","",IF(AND(ISNUMBER($G363),ISNUMBER($H363),$G363&gt;0,$H363&gt;0),"⚠ both inflow and outflow entered",IF($K363="Missing","⚠ missing evidence","")))</f>
        <v/>
      </c>
    </row>
    <row r="364">
      <c r="A364" s="4" t="n"/>
      <c r="B364" s="27" t="n"/>
      <c r="C364" s="4" t="n"/>
      <c r="D364" s="4" t="n"/>
      <c r="E364" s="4" t="n"/>
      <c r="F364" s="4" t="n"/>
      <c r="G364" s="28" t="n"/>
      <c r="H364" s="28" t="n"/>
      <c r="I364" s="4" t="n"/>
      <c r="J364" s="4" t="n"/>
      <c r="K364" s="4" t="n"/>
      <c r="L364">
        <f>IF($A364="","",IF(AND(ISNUMBER($G364),ISNUMBER($H364),$G364&gt;0,$H364&gt;0),"⚠ both inflow and outflow entered",IF($K364="Missing","⚠ missing evidence","")))</f>
        <v/>
      </c>
    </row>
    <row r="365">
      <c r="A365" s="4" t="n"/>
      <c r="B365" s="27" t="n"/>
      <c r="C365" s="4" t="n"/>
      <c r="D365" s="4" t="n"/>
      <c r="E365" s="4" t="n"/>
      <c r="F365" s="4" t="n"/>
      <c r="G365" s="28" t="n"/>
      <c r="H365" s="28" t="n"/>
      <c r="I365" s="4" t="n"/>
      <c r="J365" s="4" t="n"/>
      <c r="K365" s="4" t="n"/>
      <c r="L365">
        <f>IF($A365="","",IF(AND(ISNUMBER($G365),ISNUMBER($H365),$G365&gt;0,$H365&gt;0),"⚠ both inflow and outflow entered",IF($K365="Missing","⚠ missing evidence","")))</f>
        <v/>
      </c>
    </row>
    <row r="366">
      <c r="A366" s="4" t="n"/>
      <c r="B366" s="27" t="n"/>
      <c r="C366" s="4" t="n"/>
      <c r="D366" s="4" t="n"/>
      <c r="E366" s="4" t="n"/>
      <c r="F366" s="4" t="n"/>
      <c r="G366" s="28" t="n"/>
      <c r="H366" s="28" t="n"/>
      <c r="I366" s="4" t="n"/>
      <c r="J366" s="4" t="n"/>
      <c r="K366" s="4" t="n"/>
      <c r="L366">
        <f>IF($A366="","",IF(AND(ISNUMBER($G366),ISNUMBER($H366),$G366&gt;0,$H366&gt;0),"⚠ both inflow and outflow entered",IF($K366="Missing","⚠ missing evidence","")))</f>
        <v/>
      </c>
    </row>
    <row r="367">
      <c r="A367" s="4" t="n"/>
      <c r="B367" s="27" t="n"/>
      <c r="C367" s="4" t="n"/>
      <c r="D367" s="4" t="n"/>
      <c r="E367" s="4" t="n"/>
      <c r="F367" s="4" t="n"/>
      <c r="G367" s="28" t="n"/>
      <c r="H367" s="28" t="n"/>
      <c r="I367" s="4" t="n"/>
      <c r="J367" s="4" t="n"/>
      <c r="K367" s="4" t="n"/>
      <c r="L367">
        <f>IF($A367="","",IF(AND(ISNUMBER($G367),ISNUMBER($H367),$G367&gt;0,$H367&gt;0),"⚠ both inflow and outflow entered",IF($K367="Missing","⚠ missing evidence","")))</f>
        <v/>
      </c>
    </row>
    <row r="368">
      <c r="A368" s="4" t="n"/>
      <c r="B368" s="27" t="n"/>
      <c r="C368" s="4" t="n"/>
      <c r="D368" s="4" t="n"/>
      <c r="E368" s="4" t="n"/>
      <c r="F368" s="4" t="n"/>
      <c r="G368" s="28" t="n"/>
      <c r="H368" s="28" t="n"/>
      <c r="I368" s="4" t="n"/>
      <c r="J368" s="4" t="n"/>
      <c r="K368" s="4" t="n"/>
      <c r="L368">
        <f>IF($A368="","",IF(AND(ISNUMBER($G368),ISNUMBER($H368),$G368&gt;0,$H368&gt;0),"⚠ both inflow and outflow entered",IF($K368="Missing","⚠ missing evidence","")))</f>
        <v/>
      </c>
    </row>
    <row r="369">
      <c r="A369" s="4" t="n"/>
      <c r="B369" s="27" t="n"/>
      <c r="C369" s="4" t="n"/>
      <c r="D369" s="4" t="n"/>
      <c r="E369" s="4" t="n"/>
      <c r="F369" s="4" t="n"/>
      <c r="G369" s="28" t="n"/>
      <c r="H369" s="28" t="n"/>
      <c r="I369" s="4" t="n"/>
      <c r="J369" s="4" t="n"/>
      <c r="K369" s="4" t="n"/>
      <c r="L369">
        <f>IF($A369="","",IF(AND(ISNUMBER($G369),ISNUMBER($H369),$G369&gt;0,$H369&gt;0),"⚠ both inflow and outflow entered",IF($K369="Missing","⚠ missing evidence","")))</f>
        <v/>
      </c>
    </row>
    <row r="370">
      <c r="A370" s="4" t="n"/>
      <c r="B370" s="27" t="n"/>
      <c r="C370" s="4" t="n"/>
      <c r="D370" s="4" t="n"/>
      <c r="E370" s="4" t="n"/>
      <c r="F370" s="4" t="n"/>
      <c r="G370" s="28" t="n"/>
      <c r="H370" s="28" t="n"/>
      <c r="I370" s="4" t="n"/>
      <c r="J370" s="4" t="n"/>
      <c r="K370" s="4" t="n"/>
      <c r="L370">
        <f>IF($A370="","",IF(AND(ISNUMBER($G370),ISNUMBER($H370),$G370&gt;0,$H370&gt;0),"⚠ both inflow and outflow entered",IF($K370="Missing","⚠ missing evidence","")))</f>
        <v/>
      </c>
    </row>
    <row r="371">
      <c r="A371" s="4" t="n"/>
      <c r="B371" s="27" t="n"/>
      <c r="C371" s="4" t="n"/>
      <c r="D371" s="4" t="n"/>
      <c r="E371" s="4" t="n"/>
      <c r="F371" s="4" t="n"/>
      <c r="G371" s="28" t="n"/>
      <c r="H371" s="28" t="n"/>
      <c r="I371" s="4" t="n"/>
      <c r="J371" s="4" t="n"/>
      <c r="K371" s="4" t="n"/>
      <c r="L371">
        <f>IF($A371="","",IF(AND(ISNUMBER($G371),ISNUMBER($H371),$G371&gt;0,$H371&gt;0),"⚠ both inflow and outflow entered",IF($K371="Missing","⚠ missing evidence","")))</f>
        <v/>
      </c>
    </row>
    <row r="372">
      <c r="A372" s="4" t="n"/>
      <c r="B372" s="27" t="n"/>
      <c r="C372" s="4" t="n"/>
      <c r="D372" s="4" t="n"/>
      <c r="E372" s="4" t="n"/>
      <c r="F372" s="4" t="n"/>
      <c r="G372" s="28" t="n"/>
      <c r="H372" s="28" t="n"/>
      <c r="I372" s="4" t="n"/>
      <c r="J372" s="4" t="n"/>
      <c r="K372" s="4" t="n"/>
      <c r="L372">
        <f>IF($A372="","",IF(AND(ISNUMBER($G372),ISNUMBER($H372),$G372&gt;0,$H372&gt;0),"⚠ both inflow and outflow entered",IF($K372="Missing","⚠ missing evidence","")))</f>
        <v/>
      </c>
    </row>
    <row r="373">
      <c r="A373" s="4" t="n"/>
      <c r="B373" s="27" t="n"/>
      <c r="C373" s="4" t="n"/>
      <c r="D373" s="4" t="n"/>
      <c r="E373" s="4" t="n"/>
      <c r="F373" s="4" t="n"/>
      <c r="G373" s="28" t="n"/>
      <c r="H373" s="28" t="n"/>
      <c r="I373" s="4" t="n"/>
      <c r="J373" s="4" t="n"/>
      <c r="K373" s="4" t="n"/>
      <c r="L373">
        <f>IF($A373="","",IF(AND(ISNUMBER($G373),ISNUMBER($H373),$G373&gt;0,$H373&gt;0),"⚠ both inflow and outflow entered",IF($K373="Missing","⚠ missing evidence","")))</f>
        <v/>
      </c>
    </row>
    <row r="374">
      <c r="A374" s="4" t="n"/>
      <c r="B374" s="27" t="n"/>
      <c r="C374" s="4" t="n"/>
      <c r="D374" s="4" t="n"/>
      <c r="E374" s="4" t="n"/>
      <c r="F374" s="4" t="n"/>
      <c r="G374" s="28" t="n"/>
      <c r="H374" s="28" t="n"/>
      <c r="I374" s="4" t="n"/>
      <c r="J374" s="4" t="n"/>
      <c r="K374" s="4" t="n"/>
      <c r="L374">
        <f>IF($A374="","",IF(AND(ISNUMBER($G374),ISNUMBER($H374),$G374&gt;0,$H374&gt;0),"⚠ both inflow and outflow entered",IF($K374="Missing","⚠ missing evidence","")))</f>
        <v/>
      </c>
    </row>
    <row r="375">
      <c r="A375" s="4" t="n"/>
      <c r="B375" s="27" t="n"/>
      <c r="C375" s="4" t="n"/>
      <c r="D375" s="4" t="n"/>
      <c r="E375" s="4" t="n"/>
      <c r="F375" s="4" t="n"/>
      <c r="G375" s="28" t="n"/>
      <c r="H375" s="28" t="n"/>
      <c r="I375" s="4" t="n"/>
      <c r="J375" s="4" t="n"/>
      <c r="K375" s="4" t="n"/>
      <c r="L375">
        <f>IF($A375="","",IF(AND(ISNUMBER($G375),ISNUMBER($H375),$G375&gt;0,$H375&gt;0),"⚠ both inflow and outflow entered",IF($K375="Missing","⚠ missing evidence","")))</f>
        <v/>
      </c>
    </row>
    <row r="376">
      <c r="A376" s="4" t="n"/>
      <c r="B376" s="27" t="n"/>
      <c r="C376" s="4" t="n"/>
      <c r="D376" s="4" t="n"/>
      <c r="E376" s="4" t="n"/>
      <c r="F376" s="4" t="n"/>
      <c r="G376" s="28" t="n"/>
      <c r="H376" s="28" t="n"/>
      <c r="I376" s="4" t="n"/>
      <c r="J376" s="4" t="n"/>
      <c r="K376" s="4" t="n"/>
      <c r="L376">
        <f>IF($A376="","",IF(AND(ISNUMBER($G376),ISNUMBER($H376),$G376&gt;0,$H376&gt;0),"⚠ both inflow and outflow entered",IF($K376="Missing","⚠ missing evidence","")))</f>
        <v/>
      </c>
    </row>
    <row r="377">
      <c r="A377" s="4" t="n"/>
      <c r="B377" s="27" t="n"/>
      <c r="C377" s="4" t="n"/>
      <c r="D377" s="4" t="n"/>
      <c r="E377" s="4" t="n"/>
      <c r="F377" s="4" t="n"/>
      <c r="G377" s="28" t="n"/>
      <c r="H377" s="28" t="n"/>
      <c r="I377" s="4" t="n"/>
      <c r="J377" s="4" t="n"/>
      <c r="K377" s="4" t="n"/>
      <c r="L377">
        <f>IF($A377="","",IF(AND(ISNUMBER($G377),ISNUMBER($H377),$G377&gt;0,$H377&gt;0),"⚠ both inflow and outflow entered",IF($K377="Missing","⚠ missing evidence","")))</f>
        <v/>
      </c>
    </row>
    <row r="378">
      <c r="A378" s="4" t="n"/>
      <c r="B378" s="27" t="n"/>
      <c r="C378" s="4" t="n"/>
      <c r="D378" s="4" t="n"/>
      <c r="E378" s="4" t="n"/>
      <c r="F378" s="4" t="n"/>
      <c r="G378" s="28" t="n"/>
      <c r="H378" s="28" t="n"/>
      <c r="I378" s="4" t="n"/>
      <c r="J378" s="4" t="n"/>
      <c r="K378" s="4" t="n"/>
      <c r="L378">
        <f>IF($A378="","",IF(AND(ISNUMBER($G378),ISNUMBER($H378),$G378&gt;0,$H378&gt;0),"⚠ both inflow and outflow entered",IF($K378="Missing","⚠ missing evidence","")))</f>
        <v/>
      </c>
    </row>
    <row r="379">
      <c r="A379" s="4" t="n"/>
      <c r="B379" s="27" t="n"/>
      <c r="C379" s="4" t="n"/>
      <c r="D379" s="4" t="n"/>
      <c r="E379" s="4" t="n"/>
      <c r="F379" s="4" t="n"/>
      <c r="G379" s="28" t="n"/>
      <c r="H379" s="28" t="n"/>
      <c r="I379" s="4" t="n"/>
      <c r="J379" s="4" t="n"/>
      <c r="K379" s="4" t="n"/>
      <c r="L379">
        <f>IF($A379="","",IF(AND(ISNUMBER($G379),ISNUMBER($H379),$G379&gt;0,$H379&gt;0),"⚠ both inflow and outflow entered",IF($K379="Missing","⚠ missing evidence","")))</f>
        <v/>
      </c>
    </row>
    <row r="380">
      <c r="A380" s="4" t="n"/>
      <c r="B380" s="27" t="n"/>
      <c r="C380" s="4" t="n"/>
      <c r="D380" s="4" t="n"/>
      <c r="E380" s="4" t="n"/>
      <c r="F380" s="4" t="n"/>
      <c r="G380" s="28" t="n"/>
      <c r="H380" s="28" t="n"/>
      <c r="I380" s="4" t="n"/>
      <c r="J380" s="4" t="n"/>
      <c r="K380" s="4" t="n"/>
      <c r="L380">
        <f>IF($A380="","",IF(AND(ISNUMBER($G380),ISNUMBER($H380),$G380&gt;0,$H380&gt;0),"⚠ both inflow and outflow entered",IF($K380="Missing","⚠ missing evidence","")))</f>
        <v/>
      </c>
    </row>
    <row r="381">
      <c r="A381" s="4" t="n"/>
      <c r="B381" s="27" t="n"/>
      <c r="C381" s="4" t="n"/>
      <c r="D381" s="4" t="n"/>
      <c r="E381" s="4" t="n"/>
      <c r="F381" s="4" t="n"/>
      <c r="G381" s="28" t="n"/>
      <c r="H381" s="28" t="n"/>
      <c r="I381" s="4" t="n"/>
      <c r="J381" s="4" t="n"/>
      <c r="K381" s="4" t="n"/>
      <c r="L381">
        <f>IF($A381="","",IF(AND(ISNUMBER($G381),ISNUMBER($H381),$G381&gt;0,$H381&gt;0),"⚠ both inflow and outflow entered",IF($K381="Missing","⚠ missing evidence","")))</f>
        <v/>
      </c>
    </row>
    <row r="382">
      <c r="A382" s="4" t="n"/>
      <c r="B382" s="27" t="n"/>
      <c r="C382" s="4" t="n"/>
      <c r="D382" s="4" t="n"/>
      <c r="E382" s="4" t="n"/>
      <c r="F382" s="4" t="n"/>
      <c r="G382" s="28" t="n"/>
      <c r="H382" s="28" t="n"/>
      <c r="I382" s="4" t="n"/>
      <c r="J382" s="4" t="n"/>
      <c r="K382" s="4" t="n"/>
      <c r="L382">
        <f>IF($A382="","",IF(AND(ISNUMBER($G382),ISNUMBER($H382),$G382&gt;0,$H382&gt;0),"⚠ both inflow and outflow entered",IF($K382="Missing","⚠ missing evidence","")))</f>
        <v/>
      </c>
    </row>
    <row r="383">
      <c r="A383" s="4" t="n"/>
      <c r="B383" s="27" t="n"/>
      <c r="C383" s="4" t="n"/>
      <c r="D383" s="4" t="n"/>
      <c r="E383" s="4" t="n"/>
      <c r="F383" s="4" t="n"/>
      <c r="G383" s="28" t="n"/>
      <c r="H383" s="28" t="n"/>
      <c r="I383" s="4" t="n"/>
      <c r="J383" s="4" t="n"/>
      <c r="K383" s="4" t="n"/>
      <c r="L383">
        <f>IF($A383="","",IF(AND(ISNUMBER($G383),ISNUMBER($H383),$G383&gt;0,$H383&gt;0),"⚠ both inflow and outflow entered",IF($K383="Missing","⚠ missing evidence","")))</f>
        <v/>
      </c>
    </row>
    <row r="384">
      <c r="A384" s="4" t="n"/>
      <c r="B384" s="27" t="n"/>
      <c r="C384" s="4" t="n"/>
      <c r="D384" s="4" t="n"/>
      <c r="E384" s="4" t="n"/>
      <c r="F384" s="4" t="n"/>
      <c r="G384" s="28" t="n"/>
      <c r="H384" s="28" t="n"/>
      <c r="I384" s="4" t="n"/>
      <c r="J384" s="4" t="n"/>
      <c r="K384" s="4" t="n"/>
      <c r="L384">
        <f>IF($A384="","",IF(AND(ISNUMBER($G384),ISNUMBER($H384),$G384&gt;0,$H384&gt;0),"⚠ both inflow and outflow entered",IF($K384="Missing","⚠ missing evidence","")))</f>
        <v/>
      </c>
    </row>
    <row r="385">
      <c r="A385" s="4" t="n"/>
      <c r="B385" s="27" t="n"/>
      <c r="C385" s="4" t="n"/>
      <c r="D385" s="4" t="n"/>
      <c r="E385" s="4" t="n"/>
      <c r="F385" s="4" t="n"/>
      <c r="G385" s="28" t="n"/>
      <c r="H385" s="28" t="n"/>
      <c r="I385" s="4" t="n"/>
      <c r="J385" s="4" t="n"/>
      <c r="K385" s="4" t="n"/>
      <c r="L385">
        <f>IF($A385="","",IF(AND(ISNUMBER($G385),ISNUMBER($H385),$G385&gt;0,$H385&gt;0),"⚠ both inflow and outflow entered",IF($K385="Missing","⚠ missing evidence","")))</f>
        <v/>
      </c>
    </row>
    <row r="386">
      <c r="A386" s="4" t="n"/>
      <c r="B386" s="27" t="n"/>
      <c r="C386" s="4" t="n"/>
      <c r="D386" s="4" t="n"/>
      <c r="E386" s="4" t="n"/>
      <c r="F386" s="4" t="n"/>
      <c r="G386" s="28" t="n"/>
      <c r="H386" s="28" t="n"/>
      <c r="I386" s="4" t="n"/>
      <c r="J386" s="4" t="n"/>
      <c r="K386" s="4" t="n"/>
      <c r="L386">
        <f>IF($A386="","",IF(AND(ISNUMBER($G386),ISNUMBER($H386),$G386&gt;0,$H386&gt;0),"⚠ both inflow and outflow entered",IF($K386="Missing","⚠ missing evidence","")))</f>
        <v/>
      </c>
    </row>
    <row r="387">
      <c r="A387" s="4" t="n"/>
      <c r="B387" s="27" t="n"/>
      <c r="C387" s="4" t="n"/>
      <c r="D387" s="4" t="n"/>
      <c r="E387" s="4" t="n"/>
      <c r="F387" s="4" t="n"/>
      <c r="G387" s="28" t="n"/>
      <c r="H387" s="28" t="n"/>
      <c r="I387" s="4" t="n"/>
      <c r="J387" s="4" t="n"/>
      <c r="K387" s="4" t="n"/>
      <c r="L387">
        <f>IF($A387="","",IF(AND(ISNUMBER($G387),ISNUMBER($H387),$G387&gt;0,$H387&gt;0),"⚠ both inflow and outflow entered",IF($K387="Missing","⚠ missing evidence","")))</f>
        <v/>
      </c>
    </row>
    <row r="388">
      <c r="A388" s="4" t="n"/>
      <c r="B388" s="27" t="n"/>
      <c r="C388" s="4" t="n"/>
      <c r="D388" s="4" t="n"/>
      <c r="E388" s="4" t="n"/>
      <c r="F388" s="4" t="n"/>
      <c r="G388" s="28" t="n"/>
      <c r="H388" s="28" t="n"/>
      <c r="I388" s="4" t="n"/>
      <c r="J388" s="4" t="n"/>
      <c r="K388" s="4" t="n"/>
      <c r="L388">
        <f>IF($A388="","",IF(AND(ISNUMBER($G388),ISNUMBER($H388),$G388&gt;0,$H388&gt;0),"⚠ both inflow and outflow entered",IF($K388="Missing","⚠ missing evidence","")))</f>
        <v/>
      </c>
    </row>
    <row r="389">
      <c r="A389" s="4" t="n"/>
      <c r="B389" s="27" t="n"/>
      <c r="C389" s="4" t="n"/>
      <c r="D389" s="4" t="n"/>
      <c r="E389" s="4" t="n"/>
      <c r="F389" s="4" t="n"/>
      <c r="G389" s="28" t="n"/>
      <c r="H389" s="28" t="n"/>
      <c r="I389" s="4" t="n"/>
      <c r="J389" s="4" t="n"/>
      <c r="K389" s="4" t="n"/>
      <c r="L389">
        <f>IF($A389="","",IF(AND(ISNUMBER($G389),ISNUMBER($H389),$G389&gt;0,$H389&gt;0),"⚠ both inflow and outflow entered",IF($K389="Missing","⚠ missing evidence","")))</f>
        <v/>
      </c>
    </row>
    <row r="390">
      <c r="A390" s="4" t="n"/>
      <c r="B390" s="27" t="n"/>
      <c r="C390" s="4" t="n"/>
      <c r="D390" s="4" t="n"/>
      <c r="E390" s="4" t="n"/>
      <c r="F390" s="4" t="n"/>
      <c r="G390" s="28" t="n"/>
      <c r="H390" s="28" t="n"/>
      <c r="I390" s="4" t="n"/>
      <c r="J390" s="4" t="n"/>
      <c r="K390" s="4" t="n"/>
      <c r="L390">
        <f>IF($A390="","",IF(AND(ISNUMBER($G390),ISNUMBER($H390),$G390&gt;0,$H390&gt;0),"⚠ both inflow and outflow entered",IF($K390="Missing","⚠ missing evidence","")))</f>
        <v/>
      </c>
    </row>
    <row r="391">
      <c r="A391" s="4" t="n"/>
      <c r="B391" s="27" t="n"/>
      <c r="C391" s="4" t="n"/>
      <c r="D391" s="4" t="n"/>
      <c r="E391" s="4" t="n"/>
      <c r="F391" s="4" t="n"/>
      <c r="G391" s="28" t="n"/>
      <c r="H391" s="28" t="n"/>
      <c r="I391" s="4" t="n"/>
      <c r="J391" s="4" t="n"/>
      <c r="K391" s="4" t="n"/>
      <c r="L391">
        <f>IF($A391="","",IF(AND(ISNUMBER($G391),ISNUMBER($H391),$G391&gt;0,$H391&gt;0),"⚠ both inflow and outflow entered",IF($K391="Missing","⚠ missing evidence","")))</f>
        <v/>
      </c>
    </row>
    <row r="392">
      <c r="A392" s="4" t="n"/>
      <c r="B392" s="27" t="n"/>
      <c r="C392" s="4" t="n"/>
      <c r="D392" s="4" t="n"/>
      <c r="E392" s="4" t="n"/>
      <c r="F392" s="4" t="n"/>
      <c r="G392" s="28" t="n"/>
      <c r="H392" s="28" t="n"/>
      <c r="I392" s="4" t="n"/>
      <c r="J392" s="4" t="n"/>
      <c r="K392" s="4" t="n"/>
      <c r="L392">
        <f>IF($A392="","",IF(AND(ISNUMBER($G392),ISNUMBER($H392),$G392&gt;0,$H392&gt;0),"⚠ both inflow and outflow entered",IF($K392="Missing","⚠ missing evidence","")))</f>
        <v/>
      </c>
    </row>
    <row r="393">
      <c r="A393" s="4" t="n"/>
      <c r="B393" s="27" t="n"/>
      <c r="C393" s="4" t="n"/>
      <c r="D393" s="4" t="n"/>
      <c r="E393" s="4" t="n"/>
      <c r="F393" s="4" t="n"/>
      <c r="G393" s="28" t="n"/>
      <c r="H393" s="28" t="n"/>
      <c r="I393" s="4" t="n"/>
      <c r="J393" s="4" t="n"/>
      <c r="K393" s="4" t="n"/>
      <c r="L393">
        <f>IF($A393="","",IF(AND(ISNUMBER($G393),ISNUMBER($H393),$G393&gt;0,$H393&gt;0),"⚠ both inflow and outflow entered",IF($K393="Missing","⚠ missing evidence","")))</f>
        <v/>
      </c>
    </row>
    <row r="394">
      <c r="A394" s="4" t="n"/>
      <c r="B394" s="27" t="n"/>
      <c r="C394" s="4" t="n"/>
      <c r="D394" s="4" t="n"/>
      <c r="E394" s="4" t="n"/>
      <c r="F394" s="4" t="n"/>
      <c r="G394" s="28" t="n"/>
      <c r="H394" s="28" t="n"/>
      <c r="I394" s="4" t="n"/>
      <c r="J394" s="4" t="n"/>
      <c r="K394" s="4" t="n"/>
      <c r="L394">
        <f>IF($A394="","",IF(AND(ISNUMBER($G394),ISNUMBER($H394),$G394&gt;0,$H394&gt;0),"⚠ both inflow and outflow entered",IF($K394="Missing","⚠ missing evidence","")))</f>
        <v/>
      </c>
    </row>
    <row r="395">
      <c r="A395" s="4" t="n"/>
      <c r="B395" s="27" t="n"/>
      <c r="C395" s="4" t="n"/>
      <c r="D395" s="4" t="n"/>
      <c r="E395" s="4" t="n"/>
      <c r="F395" s="4" t="n"/>
      <c r="G395" s="28" t="n"/>
      <c r="H395" s="28" t="n"/>
      <c r="I395" s="4" t="n"/>
      <c r="J395" s="4" t="n"/>
      <c r="K395" s="4" t="n"/>
      <c r="L395">
        <f>IF($A395="","",IF(AND(ISNUMBER($G395),ISNUMBER($H395),$G395&gt;0,$H395&gt;0),"⚠ both inflow and outflow entered",IF($K395="Missing","⚠ missing evidence","")))</f>
        <v/>
      </c>
    </row>
    <row r="396">
      <c r="A396" s="4" t="n"/>
      <c r="B396" s="27" t="n"/>
      <c r="C396" s="4" t="n"/>
      <c r="D396" s="4" t="n"/>
      <c r="E396" s="4" t="n"/>
      <c r="F396" s="4" t="n"/>
      <c r="G396" s="28" t="n"/>
      <c r="H396" s="28" t="n"/>
      <c r="I396" s="4" t="n"/>
      <c r="J396" s="4" t="n"/>
      <c r="K396" s="4" t="n"/>
      <c r="L396">
        <f>IF($A396="","",IF(AND(ISNUMBER($G396),ISNUMBER($H396),$G396&gt;0,$H396&gt;0),"⚠ both inflow and outflow entered",IF($K396="Missing","⚠ missing evidence","")))</f>
        <v/>
      </c>
    </row>
    <row r="397">
      <c r="A397" s="4" t="n"/>
      <c r="B397" s="27" t="n"/>
      <c r="C397" s="4" t="n"/>
      <c r="D397" s="4" t="n"/>
      <c r="E397" s="4" t="n"/>
      <c r="F397" s="4" t="n"/>
      <c r="G397" s="28" t="n"/>
      <c r="H397" s="28" t="n"/>
      <c r="I397" s="4" t="n"/>
      <c r="J397" s="4" t="n"/>
      <c r="K397" s="4" t="n"/>
      <c r="L397">
        <f>IF($A397="","",IF(AND(ISNUMBER($G397),ISNUMBER($H397),$G397&gt;0,$H397&gt;0),"⚠ both inflow and outflow entered",IF($K397="Missing","⚠ missing evidence","")))</f>
        <v/>
      </c>
    </row>
    <row r="398">
      <c r="A398" s="4" t="n"/>
      <c r="B398" s="27" t="n"/>
      <c r="C398" s="4" t="n"/>
      <c r="D398" s="4" t="n"/>
      <c r="E398" s="4" t="n"/>
      <c r="F398" s="4" t="n"/>
      <c r="G398" s="28" t="n"/>
      <c r="H398" s="28" t="n"/>
      <c r="I398" s="4" t="n"/>
      <c r="J398" s="4" t="n"/>
      <c r="K398" s="4" t="n"/>
      <c r="L398">
        <f>IF($A398="","",IF(AND(ISNUMBER($G398),ISNUMBER($H398),$G398&gt;0,$H398&gt;0),"⚠ both inflow and outflow entered",IF($K398="Missing","⚠ missing evidence","")))</f>
        <v/>
      </c>
    </row>
    <row r="399">
      <c r="A399" s="4" t="n"/>
      <c r="B399" s="27" t="n"/>
      <c r="C399" s="4" t="n"/>
      <c r="D399" s="4" t="n"/>
      <c r="E399" s="4" t="n"/>
      <c r="F399" s="4" t="n"/>
      <c r="G399" s="28" t="n"/>
      <c r="H399" s="28" t="n"/>
      <c r="I399" s="4" t="n"/>
      <c r="J399" s="4" t="n"/>
      <c r="K399" s="4" t="n"/>
      <c r="L399">
        <f>IF($A399="","",IF(AND(ISNUMBER($G399),ISNUMBER($H399),$G399&gt;0,$H399&gt;0),"⚠ both inflow and outflow entered",IF($K399="Missing","⚠ missing evidence","")))</f>
        <v/>
      </c>
    </row>
    <row r="400">
      <c r="A400" s="4" t="n"/>
      <c r="B400" s="27" t="n"/>
      <c r="C400" s="4" t="n"/>
      <c r="D400" s="4" t="n"/>
      <c r="E400" s="4" t="n"/>
      <c r="F400" s="4" t="n"/>
      <c r="G400" s="28" t="n"/>
      <c r="H400" s="28" t="n"/>
      <c r="I400" s="4" t="n"/>
      <c r="J400" s="4" t="n"/>
      <c r="K400" s="4" t="n"/>
      <c r="L400">
        <f>IF($A400="","",IF(AND(ISNUMBER($G400),ISNUMBER($H400),$G400&gt;0,$H400&gt;0),"⚠ both inflow and outflow entered",IF($K400="Missing","⚠ missing evidence","")))</f>
        <v/>
      </c>
    </row>
    <row r="401">
      <c r="A401" s="4" t="n"/>
      <c r="B401" s="27" t="n"/>
      <c r="C401" s="4" t="n"/>
      <c r="D401" s="4" t="n"/>
      <c r="E401" s="4" t="n"/>
      <c r="F401" s="4" t="n"/>
      <c r="G401" s="28" t="n"/>
      <c r="H401" s="28" t="n"/>
      <c r="I401" s="4" t="n"/>
      <c r="J401" s="4" t="n"/>
      <c r="K401" s="4" t="n"/>
      <c r="L401">
        <f>IF($A401="","",IF(AND(ISNUMBER($G401),ISNUMBER($H401),$G401&gt;0,$H401&gt;0),"⚠ both inflow and outflow entered",IF($K401="Missing","⚠ missing evidence","")))</f>
        <v/>
      </c>
    </row>
    <row r="402">
      <c r="A402" s="4" t="n"/>
      <c r="B402" s="27" t="n"/>
      <c r="C402" s="4" t="n"/>
      <c r="D402" s="4" t="n"/>
      <c r="E402" s="4" t="n"/>
      <c r="F402" s="4" t="n"/>
      <c r="G402" s="28" t="n"/>
      <c r="H402" s="28" t="n"/>
      <c r="I402" s="4" t="n"/>
      <c r="J402" s="4" t="n"/>
      <c r="K402" s="4" t="n"/>
      <c r="L402">
        <f>IF($A402="","",IF(AND(ISNUMBER($G402),ISNUMBER($H402),$G402&gt;0,$H402&gt;0),"⚠ both inflow and outflow entered",IF($K402="Missing","⚠ missing evidence","")))</f>
        <v/>
      </c>
    </row>
    <row r="403">
      <c r="A403" s="4" t="n"/>
      <c r="B403" s="27" t="n"/>
      <c r="C403" s="4" t="n"/>
      <c r="D403" s="4" t="n"/>
      <c r="E403" s="4" t="n"/>
      <c r="F403" s="4" t="n"/>
      <c r="G403" s="28" t="n"/>
      <c r="H403" s="28" t="n"/>
      <c r="I403" s="4" t="n"/>
      <c r="J403" s="4" t="n"/>
      <c r="K403" s="4" t="n"/>
      <c r="L403">
        <f>IF($A403="","",IF(AND(ISNUMBER($G403),ISNUMBER($H403),$G403&gt;0,$H403&gt;0),"⚠ both inflow and outflow entered",IF($K403="Missing","⚠ missing evidence","")))</f>
        <v/>
      </c>
    </row>
    <row r="404">
      <c r="A404" s="4" t="n"/>
      <c r="B404" s="27" t="n"/>
      <c r="C404" s="4" t="n"/>
      <c r="D404" s="4" t="n"/>
      <c r="E404" s="4" t="n"/>
      <c r="F404" s="4" t="n"/>
      <c r="G404" s="28" t="n"/>
      <c r="H404" s="28" t="n"/>
      <c r="I404" s="4" t="n"/>
      <c r="J404" s="4" t="n"/>
      <c r="K404" s="4" t="n"/>
      <c r="L404">
        <f>IF($A404="","",IF(AND(ISNUMBER($G404),ISNUMBER($H404),$G404&gt;0,$H404&gt;0),"⚠ both inflow and outflow entered",IF($K404="Missing","⚠ missing evidence","")))</f>
        <v/>
      </c>
    </row>
    <row r="405">
      <c r="A405" s="4" t="n"/>
      <c r="B405" s="27" t="n"/>
      <c r="C405" s="4" t="n"/>
      <c r="D405" s="4" t="n"/>
      <c r="E405" s="4" t="n"/>
      <c r="F405" s="4" t="n"/>
      <c r="G405" s="28" t="n"/>
      <c r="H405" s="28" t="n"/>
      <c r="I405" s="4" t="n"/>
      <c r="J405" s="4" t="n"/>
      <c r="K405" s="4" t="n"/>
      <c r="L405">
        <f>IF($A405="","",IF(AND(ISNUMBER($G405),ISNUMBER($H405),$G405&gt;0,$H405&gt;0),"⚠ both inflow and outflow entered",IF($K405="Missing","⚠ missing evidence","")))</f>
        <v/>
      </c>
    </row>
    <row r="406">
      <c r="A406" s="4" t="n"/>
      <c r="B406" s="27" t="n"/>
      <c r="C406" s="4" t="n"/>
      <c r="D406" s="4" t="n"/>
      <c r="E406" s="4" t="n"/>
      <c r="F406" s="4" t="n"/>
      <c r="G406" s="28" t="n"/>
      <c r="H406" s="28" t="n"/>
      <c r="I406" s="4" t="n"/>
      <c r="J406" s="4" t="n"/>
      <c r="K406" s="4" t="n"/>
      <c r="L406">
        <f>IF($A406="","",IF(AND(ISNUMBER($G406),ISNUMBER($H406),$G406&gt;0,$H406&gt;0),"⚠ both inflow and outflow entered",IF($K406="Missing","⚠ missing evidence","")))</f>
        <v/>
      </c>
    </row>
    <row r="407">
      <c r="A407" s="4" t="n"/>
      <c r="B407" s="27" t="n"/>
      <c r="C407" s="4" t="n"/>
      <c r="D407" s="4" t="n"/>
      <c r="E407" s="4" t="n"/>
      <c r="F407" s="4" t="n"/>
      <c r="G407" s="28" t="n"/>
      <c r="H407" s="28" t="n"/>
      <c r="I407" s="4" t="n"/>
      <c r="J407" s="4" t="n"/>
      <c r="K407" s="4" t="n"/>
      <c r="L407">
        <f>IF($A407="","",IF(AND(ISNUMBER($G407),ISNUMBER($H407),$G407&gt;0,$H407&gt;0),"⚠ both inflow and outflow entered",IF($K407="Missing","⚠ missing evidence","")))</f>
        <v/>
      </c>
    </row>
    <row r="408">
      <c r="A408" s="4" t="n"/>
      <c r="B408" s="27" t="n"/>
      <c r="C408" s="4" t="n"/>
      <c r="D408" s="4" t="n"/>
      <c r="E408" s="4" t="n"/>
      <c r="F408" s="4" t="n"/>
      <c r="G408" s="28" t="n"/>
      <c r="H408" s="28" t="n"/>
      <c r="I408" s="4" t="n"/>
      <c r="J408" s="4" t="n"/>
      <c r="K408" s="4" t="n"/>
      <c r="L408">
        <f>IF($A408="","",IF(AND(ISNUMBER($G408),ISNUMBER($H408),$G408&gt;0,$H408&gt;0),"⚠ both inflow and outflow entered",IF($K408="Missing","⚠ missing evidence","")))</f>
        <v/>
      </c>
    </row>
    <row r="409">
      <c r="A409" s="4" t="n"/>
      <c r="B409" s="27" t="n"/>
      <c r="C409" s="4" t="n"/>
      <c r="D409" s="4" t="n"/>
      <c r="E409" s="4" t="n"/>
      <c r="F409" s="4" t="n"/>
      <c r="G409" s="28" t="n"/>
      <c r="H409" s="28" t="n"/>
      <c r="I409" s="4" t="n"/>
      <c r="J409" s="4" t="n"/>
      <c r="K409" s="4" t="n"/>
      <c r="L409">
        <f>IF($A409="","",IF(AND(ISNUMBER($G409),ISNUMBER($H409),$G409&gt;0,$H409&gt;0),"⚠ both inflow and outflow entered",IF($K409="Missing","⚠ missing evidence","")))</f>
        <v/>
      </c>
    </row>
    <row r="410">
      <c r="A410" s="4" t="n"/>
      <c r="B410" s="27" t="n"/>
      <c r="C410" s="4" t="n"/>
      <c r="D410" s="4" t="n"/>
      <c r="E410" s="4" t="n"/>
      <c r="F410" s="4" t="n"/>
      <c r="G410" s="28" t="n"/>
      <c r="H410" s="28" t="n"/>
      <c r="I410" s="4" t="n"/>
      <c r="J410" s="4" t="n"/>
      <c r="K410" s="4" t="n"/>
      <c r="L410">
        <f>IF($A410="","",IF(AND(ISNUMBER($G410),ISNUMBER($H410),$G410&gt;0,$H410&gt;0),"⚠ both inflow and outflow entered",IF($K410="Missing","⚠ missing evidence","")))</f>
        <v/>
      </c>
    </row>
    <row r="411">
      <c r="A411" s="4" t="n"/>
      <c r="B411" s="27" t="n"/>
      <c r="C411" s="4" t="n"/>
      <c r="D411" s="4" t="n"/>
      <c r="E411" s="4" t="n"/>
      <c r="F411" s="4" t="n"/>
      <c r="G411" s="28" t="n"/>
      <c r="H411" s="28" t="n"/>
      <c r="I411" s="4" t="n"/>
      <c r="J411" s="4" t="n"/>
      <c r="K411" s="4" t="n"/>
      <c r="L411">
        <f>IF($A411="","",IF(AND(ISNUMBER($G411),ISNUMBER($H411),$G411&gt;0,$H411&gt;0),"⚠ both inflow and outflow entered",IF($K411="Missing","⚠ missing evidence","")))</f>
        <v/>
      </c>
    </row>
    <row r="412">
      <c r="A412" s="4" t="n"/>
      <c r="B412" s="27" t="n"/>
      <c r="C412" s="4" t="n"/>
      <c r="D412" s="4" t="n"/>
      <c r="E412" s="4" t="n"/>
      <c r="F412" s="4" t="n"/>
      <c r="G412" s="28" t="n"/>
      <c r="H412" s="28" t="n"/>
      <c r="I412" s="4" t="n"/>
      <c r="J412" s="4" t="n"/>
      <c r="K412" s="4" t="n"/>
      <c r="L412">
        <f>IF($A412="","",IF(AND(ISNUMBER($G412),ISNUMBER($H412),$G412&gt;0,$H412&gt;0),"⚠ both inflow and outflow entered",IF($K412="Missing","⚠ missing evidence","")))</f>
        <v/>
      </c>
    </row>
    <row r="413">
      <c r="A413" s="4" t="n"/>
      <c r="B413" s="27" t="n"/>
      <c r="C413" s="4" t="n"/>
      <c r="D413" s="4" t="n"/>
      <c r="E413" s="4" t="n"/>
      <c r="F413" s="4" t="n"/>
      <c r="G413" s="28" t="n"/>
      <c r="H413" s="28" t="n"/>
      <c r="I413" s="4" t="n"/>
      <c r="J413" s="4" t="n"/>
      <c r="K413" s="4" t="n"/>
      <c r="L413">
        <f>IF($A413="","",IF(AND(ISNUMBER($G413),ISNUMBER($H413),$G413&gt;0,$H413&gt;0),"⚠ both inflow and outflow entered",IF($K413="Missing","⚠ missing evidence","")))</f>
        <v/>
      </c>
    </row>
    <row r="414">
      <c r="A414" s="4" t="n"/>
      <c r="B414" s="27" t="n"/>
      <c r="C414" s="4" t="n"/>
      <c r="D414" s="4" t="n"/>
      <c r="E414" s="4" t="n"/>
      <c r="F414" s="4" t="n"/>
      <c r="G414" s="28" t="n"/>
      <c r="H414" s="28" t="n"/>
      <c r="I414" s="4" t="n"/>
      <c r="J414" s="4" t="n"/>
      <c r="K414" s="4" t="n"/>
      <c r="L414">
        <f>IF($A414="","",IF(AND(ISNUMBER($G414),ISNUMBER($H414),$G414&gt;0,$H414&gt;0),"⚠ both inflow and outflow entered",IF($K414="Missing","⚠ missing evidence","")))</f>
        <v/>
      </c>
    </row>
    <row r="415">
      <c r="A415" s="4" t="n"/>
      <c r="B415" s="27" t="n"/>
      <c r="C415" s="4" t="n"/>
      <c r="D415" s="4" t="n"/>
      <c r="E415" s="4" t="n"/>
      <c r="F415" s="4" t="n"/>
      <c r="G415" s="28" t="n"/>
      <c r="H415" s="28" t="n"/>
      <c r="I415" s="4" t="n"/>
      <c r="J415" s="4" t="n"/>
      <c r="K415" s="4" t="n"/>
      <c r="L415">
        <f>IF($A415="","",IF(AND(ISNUMBER($G415),ISNUMBER($H415),$G415&gt;0,$H415&gt;0),"⚠ both inflow and outflow entered",IF($K415="Missing","⚠ missing evidence","")))</f>
        <v/>
      </c>
    </row>
    <row r="416">
      <c r="A416" s="4" t="n"/>
      <c r="B416" s="27" t="n"/>
      <c r="C416" s="4" t="n"/>
      <c r="D416" s="4" t="n"/>
      <c r="E416" s="4" t="n"/>
      <c r="F416" s="4" t="n"/>
      <c r="G416" s="28" t="n"/>
      <c r="H416" s="28" t="n"/>
      <c r="I416" s="4" t="n"/>
      <c r="J416" s="4" t="n"/>
      <c r="K416" s="4" t="n"/>
      <c r="L416">
        <f>IF($A416="","",IF(AND(ISNUMBER($G416),ISNUMBER($H416),$G416&gt;0,$H416&gt;0),"⚠ both inflow and outflow entered",IF($K416="Missing","⚠ missing evidence","")))</f>
        <v/>
      </c>
    </row>
    <row r="417">
      <c r="A417" s="4" t="n"/>
      <c r="B417" s="27" t="n"/>
      <c r="C417" s="4" t="n"/>
      <c r="D417" s="4" t="n"/>
      <c r="E417" s="4" t="n"/>
      <c r="F417" s="4" t="n"/>
      <c r="G417" s="28" t="n"/>
      <c r="H417" s="28" t="n"/>
      <c r="I417" s="4" t="n"/>
      <c r="J417" s="4" t="n"/>
      <c r="K417" s="4" t="n"/>
      <c r="L417">
        <f>IF($A417="","",IF(AND(ISNUMBER($G417),ISNUMBER($H417),$G417&gt;0,$H417&gt;0),"⚠ both inflow and outflow entered",IF($K417="Missing","⚠ missing evidence","")))</f>
        <v/>
      </c>
    </row>
    <row r="418">
      <c r="A418" s="4" t="n"/>
      <c r="B418" s="27" t="n"/>
      <c r="C418" s="4" t="n"/>
      <c r="D418" s="4" t="n"/>
      <c r="E418" s="4" t="n"/>
      <c r="F418" s="4" t="n"/>
      <c r="G418" s="28" t="n"/>
      <c r="H418" s="28" t="n"/>
      <c r="I418" s="4" t="n"/>
      <c r="J418" s="4" t="n"/>
      <c r="K418" s="4" t="n"/>
      <c r="L418">
        <f>IF($A418="","",IF(AND(ISNUMBER($G418),ISNUMBER($H418),$G418&gt;0,$H418&gt;0),"⚠ both inflow and outflow entered",IF($K418="Missing","⚠ missing evidence","")))</f>
        <v/>
      </c>
    </row>
    <row r="419">
      <c r="A419" s="4" t="n"/>
      <c r="B419" s="27" t="n"/>
      <c r="C419" s="4" t="n"/>
      <c r="D419" s="4" t="n"/>
      <c r="E419" s="4" t="n"/>
      <c r="F419" s="4" t="n"/>
      <c r="G419" s="28" t="n"/>
      <c r="H419" s="28" t="n"/>
      <c r="I419" s="4" t="n"/>
      <c r="J419" s="4" t="n"/>
      <c r="K419" s="4" t="n"/>
      <c r="L419">
        <f>IF($A419="","",IF(AND(ISNUMBER($G419),ISNUMBER($H419),$G419&gt;0,$H419&gt;0),"⚠ both inflow and outflow entered",IF($K419="Missing","⚠ missing evidence","")))</f>
        <v/>
      </c>
    </row>
    <row r="420">
      <c r="A420" s="4" t="n"/>
      <c r="B420" s="27" t="n"/>
      <c r="C420" s="4" t="n"/>
      <c r="D420" s="4" t="n"/>
      <c r="E420" s="4" t="n"/>
      <c r="F420" s="4" t="n"/>
      <c r="G420" s="28" t="n"/>
      <c r="H420" s="28" t="n"/>
      <c r="I420" s="4" t="n"/>
      <c r="J420" s="4" t="n"/>
      <c r="K420" s="4" t="n"/>
      <c r="L420">
        <f>IF($A420="","",IF(AND(ISNUMBER($G420),ISNUMBER($H420),$G420&gt;0,$H420&gt;0),"⚠ both inflow and outflow entered",IF($K420="Missing","⚠ missing evidence","")))</f>
        <v/>
      </c>
    </row>
    <row r="421">
      <c r="A421" s="4" t="n"/>
      <c r="B421" s="27" t="n"/>
      <c r="C421" s="4" t="n"/>
      <c r="D421" s="4" t="n"/>
      <c r="E421" s="4" t="n"/>
      <c r="F421" s="4" t="n"/>
      <c r="G421" s="28" t="n"/>
      <c r="H421" s="28" t="n"/>
      <c r="I421" s="4" t="n"/>
      <c r="J421" s="4" t="n"/>
      <c r="K421" s="4" t="n"/>
      <c r="L421">
        <f>IF($A421="","",IF(AND(ISNUMBER($G421),ISNUMBER($H421),$G421&gt;0,$H421&gt;0),"⚠ both inflow and outflow entered",IF($K421="Missing","⚠ missing evidence","")))</f>
        <v/>
      </c>
    </row>
    <row r="422">
      <c r="A422" s="4" t="n"/>
      <c r="B422" s="27" t="n"/>
      <c r="C422" s="4" t="n"/>
      <c r="D422" s="4" t="n"/>
      <c r="E422" s="4" t="n"/>
      <c r="F422" s="4" t="n"/>
      <c r="G422" s="28" t="n"/>
      <c r="H422" s="28" t="n"/>
      <c r="I422" s="4" t="n"/>
      <c r="J422" s="4" t="n"/>
      <c r="K422" s="4" t="n"/>
      <c r="L422">
        <f>IF($A422="","",IF(AND(ISNUMBER($G422),ISNUMBER($H422),$G422&gt;0,$H422&gt;0),"⚠ both inflow and outflow entered",IF($K422="Missing","⚠ missing evidence","")))</f>
        <v/>
      </c>
    </row>
    <row r="423">
      <c r="A423" s="4" t="n"/>
      <c r="B423" s="27" t="n"/>
      <c r="C423" s="4" t="n"/>
      <c r="D423" s="4" t="n"/>
      <c r="E423" s="4" t="n"/>
      <c r="F423" s="4" t="n"/>
      <c r="G423" s="28" t="n"/>
      <c r="H423" s="28" t="n"/>
      <c r="I423" s="4" t="n"/>
      <c r="J423" s="4" t="n"/>
      <c r="K423" s="4" t="n"/>
      <c r="L423">
        <f>IF($A423="","",IF(AND(ISNUMBER($G423),ISNUMBER($H423),$G423&gt;0,$H423&gt;0),"⚠ both inflow and outflow entered",IF($K423="Missing","⚠ missing evidence","")))</f>
        <v/>
      </c>
    </row>
    <row r="424">
      <c r="A424" s="4" t="n"/>
      <c r="B424" s="27" t="n"/>
      <c r="C424" s="4" t="n"/>
      <c r="D424" s="4" t="n"/>
      <c r="E424" s="4" t="n"/>
      <c r="F424" s="4" t="n"/>
      <c r="G424" s="28" t="n"/>
      <c r="H424" s="28" t="n"/>
      <c r="I424" s="4" t="n"/>
      <c r="J424" s="4" t="n"/>
      <c r="K424" s="4" t="n"/>
      <c r="L424">
        <f>IF($A424="","",IF(AND(ISNUMBER($G424),ISNUMBER($H424),$G424&gt;0,$H424&gt;0),"⚠ both inflow and outflow entered",IF($K424="Missing","⚠ missing evidence","")))</f>
        <v/>
      </c>
    </row>
    <row r="425">
      <c r="A425" s="4" t="n"/>
      <c r="B425" s="27" t="n"/>
      <c r="C425" s="4" t="n"/>
      <c r="D425" s="4" t="n"/>
      <c r="E425" s="4" t="n"/>
      <c r="F425" s="4" t="n"/>
      <c r="G425" s="28" t="n"/>
      <c r="H425" s="28" t="n"/>
      <c r="I425" s="4" t="n"/>
      <c r="J425" s="4" t="n"/>
      <c r="K425" s="4" t="n"/>
      <c r="L425">
        <f>IF($A425="","",IF(AND(ISNUMBER($G425),ISNUMBER($H425),$G425&gt;0,$H425&gt;0),"⚠ both inflow and outflow entered",IF($K425="Missing","⚠ missing evidence","")))</f>
        <v/>
      </c>
    </row>
    <row r="426">
      <c r="A426" s="4" t="n"/>
      <c r="B426" s="27" t="n"/>
      <c r="C426" s="4" t="n"/>
      <c r="D426" s="4" t="n"/>
      <c r="E426" s="4" t="n"/>
      <c r="F426" s="4" t="n"/>
      <c r="G426" s="28" t="n"/>
      <c r="H426" s="28" t="n"/>
      <c r="I426" s="4" t="n"/>
      <c r="J426" s="4" t="n"/>
      <c r="K426" s="4" t="n"/>
      <c r="L426">
        <f>IF($A426="","",IF(AND(ISNUMBER($G426),ISNUMBER($H426),$G426&gt;0,$H426&gt;0),"⚠ both inflow and outflow entered",IF($K426="Missing","⚠ missing evidence","")))</f>
        <v/>
      </c>
    </row>
    <row r="427">
      <c r="A427" s="4" t="n"/>
      <c r="B427" s="27" t="n"/>
      <c r="C427" s="4" t="n"/>
      <c r="D427" s="4" t="n"/>
      <c r="E427" s="4" t="n"/>
      <c r="F427" s="4" t="n"/>
      <c r="G427" s="28" t="n"/>
      <c r="H427" s="28" t="n"/>
      <c r="I427" s="4" t="n"/>
      <c r="J427" s="4" t="n"/>
      <c r="K427" s="4" t="n"/>
      <c r="L427">
        <f>IF($A427="","",IF(AND(ISNUMBER($G427),ISNUMBER($H427),$G427&gt;0,$H427&gt;0),"⚠ both inflow and outflow entered",IF($K427="Missing","⚠ missing evidence","")))</f>
        <v/>
      </c>
    </row>
    <row r="428">
      <c r="A428" s="4" t="n"/>
      <c r="B428" s="27" t="n"/>
      <c r="C428" s="4" t="n"/>
      <c r="D428" s="4" t="n"/>
      <c r="E428" s="4" t="n"/>
      <c r="F428" s="4" t="n"/>
      <c r="G428" s="28" t="n"/>
      <c r="H428" s="28" t="n"/>
      <c r="I428" s="4" t="n"/>
      <c r="J428" s="4" t="n"/>
      <c r="K428" s="4" t="n"/>
      <c r="L428">
        <f>IF($A428="","",IF(AND(ISNUMBER($G428),ISNUMBER($H428),$G428&gt;0,$H428&gt;0),"⚠ both inflow and outflow entered",IF($K428="Missing","⚠ missing evidence","")))</f>
        <v/>
      </c>
    </row>
    <row r="429">
      <c r="A429" s="4" t="n"/>
      <c r="B429" s="27" t="n"/>
      <c r="C429" s="4" t="n"/>
      <c r="D429" s="4" t="n"/>
      <c r="E429" s="4" t="n"/>
      <c r="F429" s="4" t="n"/>
      <c r="G429" s="28" t="n"/>
      <c r="H429" s="28" t="n"/>
      <c r="I429" s="4" t="n"/>
      <c r="J429" s="4" t="n"/>
      <c r="K429" s="4" t="n"/>
      <c r="L429">
        <f>IF($A429="","",IF(AND(ISNUMBER($G429),ISNUMBER($H429),$G429&gt;0,$H429&gt;0),"⚠ both inflow and outflow entered",IF($K429="Missing","⚠ missing evidence","")))</f>
        <v/>
      </c>
    </row>
    <row r="430">
      <c r="A430" s="4" t="n"/>
      <c r="B430" s="27" t="n"/>
      <c r="C430" s="4" t="n"/>
      <c r="D430" s="4" t="n"/>
      <c r="E430" s="4" t="n"/>
      <c r="F430" s="4" t="n"/>
      <c r="G430" s="28" t="n"/>
      <c r="H430" s="28" t="n"/>
      <c r="I430" s="4" t="n"/>
      <c r="J430" s="4" t="n"/>
      <c r="K430" s="4" t="n"/>
      <c r="L430">
        <f>IF($A430="","",IF(AND(ISNUMBER($G430),ISNUMBER($H430),$G430&gt;0,$H430&gt;0),"⚠ both inflow and outflow entered",IF($K430="Missing","⚠ missing evidence","")))</f>
        <v/>
      </c>
    </row>
    <row r="431">
      <c r="A431" s="4" t="n"/>
      <c r="B431" s="27" t="n"/>
      <c r="C431" s="4" t="n"/>
      <c r="D431" s="4" t="n"/>
      <c r="E431" s="4" t="n"/>
      <c r="F431" s="4" t="n"/>
      <c r="G431" s="28" t="n"/>
      <c r="H431" s="28" t="n"/>
      <c r="I431" s="4" t="n"/>
      <c r="J431" s="4" t="n"/>
      <c r="K431" s="4" t="n"/>
      <c r="L431">
        <f>IF($A431="","",IF(AND(ISNUMBER($G431),ISNUMBER($H431),$G431&gt;0,$H431&gt;0),"⚠ both inflow and outflow entered",IF($K431="Missing","⚠ missing evidence","")))</f>
        <v/>
      </c>
    </row>
    <row r="432">
      <c r="A432" s="4" t="n"/>
      <c r="B432" s="27" t="n"/>
      <c r="C432" s="4" t="n"/>
      <c r="D432" s="4" t="n"/>
      <c r="E432" s="4" t="n"/>
      <c r="F432" s="4" t="n"/>
      <c r="G432" s="28" t="n"/>
      <c r="H432" s="28" t="n"/>
      <c r="I432" s="4" t="n"/>
      <c r="J432" s="4" t="n"/>
      <c r="K432" s="4" t="n"/>
      <c r="L432">
        <f>IF($A432="","",IF(AND(ISNUMBER($G432),ISNUMBER($H432),$G432&gt;0,$H432&gt;0),"⚠ both inflow and outflow entered",IF($K432="Missing","⚠ missing evidence","")))</f>
        <v/>
      </c>
    </row>
    <row r="433">
      <c r="A433" s="4" t="n"/>
      <c r="B433" s="27" t="n"/>
      <c r="C433" s="4" t="n"/>
      <c r="D433" s="4" t="n"/>
      <c r="E433" s="4" t="n"/>
      <c r="F433" s="4" t="n"/>
      <c r="G433" s="28" t="n"/>
      <c r="H433" s="28" t="n"/>
      <c r="I433" s="4" t="n"/>
      <c r="J433" s="4" t="n"/>
      <c r="K433" s="4" t="n"/>
      <c r="L433">
        <f>IF($A433="","",IF(AND(ISNUMBER($G433),ISNUMBER($H433),$G433&gt;0,$H433&gt;0),"⚠ both inflow and outflow entered",IF($K433="Missing","⚠ missing evidence","")))</f>
        <v/>
      </c>
    </row>
    <row r="434">
      <c r="A434" s="4" t="n"/>
      <c r="B434" s="27" t="n"/>
      <c r="C434" s="4" t="n"/>
      <c r="D434" s="4" t="n"/>
      <c r="E434" s="4" t="n"/>
      <c r="F434" s="4" t="n"/>
      <c r="G434" s="28" t="n"/>
      <c r="H434" s="28" t="n"/>
      <c r="I434" s="4" t="n"/>
      <c r="J434" s="4" t="n"/>
      <c r="K434" s="4" t="n"/>
      <c r="L434">
        <f>IF($A434="","",IF(AND(ISNUMBER($G434),ISNUMBER($H434),$G434&gt;0,$H434&gt;0),"⚠ both inflow and outflow entered",IF($K434="Missing","⚠ missing evidence","")))</f>
        <v/>
      </c>
    </row>
    <row r="435">
      <c r="A435" s="4" t="n"/>
      <c r="B435" s="27" t="n"/>
      <c r="C435" s="4" t="n"/>
      <c r="D435" s="4" t="n"/>
      <c r="E435" s="4" t="n"/>
      <c r="F435" s="4" t="n"/>
      <c r="G435" s="28" t="n"/>
      <c r="H435" s="28" t="n"/>
      <c r="I435" s="4" t="n"/>
      <c r="J435" s="4" t="n"/>
      <c r="K435" s="4" t="n"/>
      <c r="L435">
        <f>IF($A435="","",IF(AND(ISNUMBER($G435),ISNUMBER($H435),$G435&gt;0,$H435&gt;0),"⚠ both inflow and outflow entered",IF($K435="Missing","⚠ missing evidence","")))</f>
        <v/>
      </c>
    </row>
    <row r="436">
      <c r="A436" s="4" t="n"/>
      <c r="B436" s="27" t="n"/>
      <c r="C436" s="4" t="n"/>
      <c r="D436" s="4" t="n"/>
      <c r="E436" s="4" t="n"/>
      <c r="F436" s="4" t="n"/>
      <c r="G436" s="28" t="n"/>
      <c r="H436" s="28" t="n"/>
      <c r="I436" s="4" t="n"/>
      <c r="J436" s="4" t="n"/>
      <c r="K436" s="4" t="n"/>
      <c r="L436">
        <f>IF($A436="","",IF(AND(ISNUMBER($G436),ISNUMBER($H436),$G436&gt;0,$H436&gt;0),"⚠ both inflow and outflow entered",IF($K436="Missing","⚠ missing evidence","")))</f>
        <v/>
      </c>
    </row>
    <row r="437">
      <c r="A437" s="4" t="n"/>
      <c r="B437" s="27" t="n"/>
      <c r="C437" s="4" t="n"/>
      <c r="D437" s="4" t="n"/>
      <c r="E437" s="4" t="n"/>
      <c r="F437" s="4" t="n"/>
      <c r="G437" s="28" t="n"/>
      <c r="H437" s="28" t="n"/>
      <c r="I437" s="4" t="n"/>
      <c r="J437" s="4" t="n"/>
      <c r="K437" s="4" t="n"/>
      <c r="L437">
        <f>IF($A437="","",IF(AND(ISNUMBER($G437),ISNUMBER($H437),$G437&gt;0,$H437&gt;0),"⚠ both inflow and outflow entered",IF($K437="Missing","⚠ missing evidence","")))</f>
        <v/>
      </c>
    </row>
    <row r="438">
      <c r="A438" s="4" t="n"/>
      <c r="B438" s="27" t="n"/>
      <c r="C438" s="4" t="n"/>
      <c r="D438" s="4" t="n"/>
      <c r="E438" s="4" t="n"/>
      <c r="F438" s="4" t="n"/>
      <c r="G438" s="28" t="n"/>
      <c r="H438" s="28" t="n"/>
      <c r="I438" s="4" t="n"/>
      <c r="J438" s="4" t="n"/>
      <c r="K438" s="4" t="n"/>
      <c r="L438">
        <f>IF($A438="","",IF(AND(ISNUMBER($G438),ISNUMBER($H438),$G438&gt;0,$H438&gt;0),"⚠ both inflow and outflow entered",IF($K438="Missing","⚠ missing evidence","")))</f>
        <v/>
      </c>
    </row>
    <row r="439">
      <c r="A439" s="4" t="n"/>
      <c r="B439" s="27" t="n"/>
      <c r="C439" s="4" t="n"/>
      <c r="D439" s="4" t="n"/>
      <c r="E439" s="4" t="n"/>
      <c r="F439" s="4" t="n"/>
      <c r="G439" s="28" t="n"/>
      <c r="H439" s="28" t="n"/>
      <c r="I439" s="4" t="n"/>
      <c r="J439" s="4" t="n"/>
      <c r="K439" s="4" t="n"/>
      <c r="L439">
        <f>IF($A439="","",IF(AND(ISNUMBER($G439),ISNUMBER($H439),$G439&gt;0,$H439&gt;0),"⚠ both inflow and outflow entered",IF($K439="Missing","⚠ missing evidence","")))</f>
        <v/>
      </c>
    </row>
    <row r="440">
      <c r="A440" s="4" t="n"/>
      <c r="B440" s="27" t="n"/>
      <c r="C440" s="4" t="n"/>
      <c r="D440" s="4" t="n"/>
      <c r="E440" s="4" t="n"/>
      <c r="F440" s="4" t="n"/>
      <c r="G440" s="28" t="n"/>
      <c r="H440" s="28" t="n"/>
      <c r="I440" s="4" t="n"/>
      <c r="J440" s="4" t="n"/>
      <c r="K440" s="4" t="n"/>
      <c r="L440">
        <f>IF($A440="","",IF(AND(ISNUMBER($G440),ISNUMBER($H440),$G440&gt;0,$H440&gt;0),"⚠ both inflow and outflow entered",IF($K440="Missing","⚠ missing evidence","")))</f>
        <v/>
      </c>
    </row>
    <row r="441">
      <c r="A441" s="4" t="n"/>
      <c r="B441" s="27" t="n"/>
      <c r="C441" s="4" t="n"/>
      <c r="D441" s="4" t="n"/>
      <c r="E441" s="4" t="n"/>
      <c r="F441" s="4" t="n"/>
      <c r="G441" s="28" t="n"/>
      <c r="H441" s="28" t="n"/>
      <c r="I441" s="4" t="n"/>
      <c r="J441" s="4" t="n"/>
      <c r="K441" s="4" t="n"/>
      <c r="L441">
        <f>IF($A441="","",IF(AND(ISNUMBER($G441),ISNUMBER($H441),$G441&gt;0,$H441&gt;0),"⚠ both inflow and outflow entered",IF($K441="Missing","⚠ missing evidence","")))</f>
        <v/>
      </c>
    </row>
    <row r="442">
      <c r="A442" s="4" t="n"/>
      <c r="B442" s="27" t="n"/>
      <c r="C442" s="4" t="n"/>
      <c r="D442" s="4" t="n"/>
      <c r="E442" s="4" t="n"/>
      <c r="F442" s="4" t="n"/>
      <c r="G442" s="28" t="n"/>
      <c r="H442" s="28" t="n"/>
      <c r="I442" s="4" t="n"/>
      <c r="J442" s="4" t="n"/>
      <c r="K442" s="4" t="n"/>
      <c r="L442">
        <f>IF($A442="","",IF(AND(ISNUMBER($G442),ISNUMBER($H442),$G442&gt;0,$H442&gt;0),"⚠ both inflow and outflow entered",IF($K442="Missing","⚠ missing evidence","")))</f>
        <v/>
      </c>
    </row>
    <row r="443">
      <c r="A443" s="4" t="n"/>
      <c r="B443" s="27" t="n"/>
      <c r="C443" s="4" t="n"/>
      <c r="D443" s="4" t="n"/>
      <c r="E443" s="4" t="n"/>
      <c r="F443" s="4" t="n"/>
      <c r="G443" s="28" t="n"/>
      <c r="H443" s="28" t="n"/>
      <c r="I443" s="4" t="n"/>
      <c r="J443" s="4" t="n"/>
      <c r="K443" s="4" t="n"/>
      <c r="L443">
        <f>IF($A443="","",IF(AND(ISNUMBER($G443),ISNUMBER($H443),$G443&gt;0,$H443&gt;0),"⚠ both inflow and outflow entered",IF($K443="Missing","⚠ missing evidence","")))</f>
        <v/>
      </c>
    </row>
    <row r="444">
      <c r="A444" s="4" t="n"/>
      <c r="B444" s="27" t="n"/>
      <c r="C444" s="4" t="n"/>
      <c r="D444" s="4" t="n"/>
      <c r="E444" s="4" t="n"/>
      <c r="F444" s="4" t="n"/>
      <c r="G444" s="28" t="n"/>
      <c r="H444" s="28" t="n"/>
      <c r="I444" s="4" t="n"/>
      <c r="J444" s="4" t="n"/>
      <c r="K444" s="4" t="n"/>
      <c r="L444">
        <f>IF($A444="","",IF(AND(ISNUMBER($G444),ISNUMBER($H444),$G444&gt;0,$H444&gt;0),"⚠ both inflow and outflow entered",IF($K444="Missing","⚠ missing evidence","")))</f>
        <v/>
      </c>
    </row>
    <row r="445">
      <c r="A445" s="4" t="n"/>
      <c r="B445" s="27" t="n"/>
      <c r="C445" s="4" t="n"/>
      <c r="D445" s="4" t="n"/>
      <c r="E445" s="4" t="n"/>
      <c r="F445" s="4" t="n"/>
      <c r="G445" s="28" t="n"/>
      <c r="H445" s="28" t="n"/>
      <c r="I445" s="4" t="n"/>
      <c r="J445" s="4" t="n"/>
      <c r="K445" s="4" t="n"/>
      <c r="L445">
        <f>IF($A445="","",IF(AND(ISNUMBER($G445),ISNUMBER($H445),$G445&gt;0,$H445&gt;0),"⚠ both inflow and outflow entered",IF($K445="Missing","⚠ missing evidence","")))</f>
        <v/>
      </c>
    </row>
    <row r="446">
      <c r="A446" s="4" t="n"/>
      <c r="B446" s="27" t="n"/>
      <c r="C446" s="4" t="n"/>
      <c r="D446" s="4" t="n"/>
      <c r="E446" s="4" t="n"/>
      <c r="F446" s="4" t="n"/>
      <c r="G446" s="28" t="n"/>
      <c r="H446" s="28" t="n"/>
      <c r="I446" s="4" t="n"/>
      <c r="J446" s="4" t="n"/>
      <c r="K446" s="4" t="n"/>
      <c r="L446">
        <f>IF($A446="","",IF(AND(ISNUMBER($G446),ISNUMBER($H446),$G446&gt;0,$H446&gt;0),"⚠ both inflow and outflow entered",IF($K446="Missing","⚠ missing evidence","")))</f>
        <v/>
      </c>
    </row>
    <row r="447">
      <c r="A447" s="4" t="n"/>
      <c r="B447" s="27" t="n"/>
      <c r="C447" s="4" t="n"/>
      <c r="D447" s="4" t="n"/>
      <c r="E447" s="4" t="n"/>
      <c r="F447" s="4" t="n"/>
      <c r="G447" s="28" t="n"/>
      <c r="H447" s="28" t="n"/>
      <c r="I447" s="4" t="n"/>
      <c r="J447" s="4" t="n"/>
      <c r="K447" s="4" t="n"/>
      <c r="L447">
        <f>IF($A447="","",IF(AND(ISNUMBER($G447),ISNUMBER($H447),$G447&gt;0,$H447&gt;0),"⚠ both inflow and outflow entered",IF($K447="Missing","⚠ missing evidence","")))</f>
        <v/>
      </c>
    </row>
    <row r="448">
      <c r="A448" s="4" t="n"/>
      <c r="B448" s="27" t="n"/>
      <c r="C448" s="4" t="n"/>
      <c r="D448" s="4" t="n"/>
      <c r="E448" s="4" t="n"/>
      <c r="F448" s="4" t="n"/>
      <c r="G448" s="28" t="n"/>
      <c r="H448" s="28" t="n"/>
      <c r="I448" s="4" t="n"/>
      <c r="J448" s="4" t="n"/>
      <c r="K448" s="4" t="n"/>
      <c r="L448">
        <f>IF($A448="","",IF(AND(ISNUMBER($G448),ISNUMBER($H448),$G448&gt;0,$H448&gt;0),"⚠ both inflow and outflow entered",IF($K448="Missing","⚠ missing evidence","")))</f>
        <v/>
      </c>
    </row>
    <row r="449">
      <c r="A449" s="4" t="n"/>
      <c r="B449" s="27" t="n"/>
      <c r="C449" s="4" t="n"/>
      <c r="D449" s="4" t="n"/>
      <c r="E449" s="4" t="n"/>
      <c r="F449" s="4" t="n"/>
      <c r="G449" s="28" t="n"/>
      <c r="H449" s="28" t="n"/>
      <c r="I449" s="4" t="n"/>
      <c r="J449" s="4" t="n"/>
      <c r="K449" s="4" t="n"/>
      <c r="L449">
        <f>IF($A449="","",IF(AND(ISNUMBER($G449),ISNUMBER($H449),$G449&gt;0,$H449&gt;0),"⚠ both inflow and outflow entered",IF($K449="Missing","⚠ missing evidence","")))</f>
        <v/>
      </c>
    </row>
    <row r="450">
      <c r="A450" s="4" t="n"/>
      <c r="B450" s="27" t="n"/>
      <c r="C450" s="4" t="n"/>
      <c r="D450" s="4" t="n"/>
      <c r="E450" s="4" t="n"/>
      <c r="F450" s="4" t="n"/>
      <c r="G450" s="28" t="n"/>
      <c r="H450" s="28" t="n"/>
      <c r="I450" s="4" t="n"/>
      <c r="J450" s="4" t="n"/>
      <c r="K450" s="4" t="n"/>
      <c r="L450">
        <f>IF($A450="","",IF(AND(ISNUMBER($G450),ISNUMBER($H450),$G450&gt;0,$H450&gt;0),"⚠ both inflow and outflow entered",IF($K450="Missing","⚠ missing evidence","")))</f>
        <v/>
      </c>
    </row>
    <row r="451">
      <c r="A451" s="4" t="n"/>
      <c r="B451" s="27" t="n"/>
      <c r="C451" s="4" t="n"/>
      <c r="D451" s="4" t="n"/>
      <c r="E451" s="4" t="n"/>
      <c r="F451" s="4" t="n"/>
      <c r="G451" s="28" t="n"/>
      <c r="H451" s="28" t="n"/>
      <c r="I451" s="4" t="n"/>
      <c r="J451" s="4" t="n"/>
      <c r="K451" s="4" t="n"/>
      <c r="L451">
        <f>IF($A451="","",IF(AND(ISNUMBER($G451),ISNUMBER($H451),$G451&gt;0,$H451&gt;0),"⚠ both inflow and outflow entered",IF($K451="Missing","⚠ missing evidence","")))</f>
        <v/>
      </c>
    </row>
    <row r="452">
      <c r="A452" s="4" t="n"/>
      <c r="B452" s="27" t="n"/>
      <c r="C452" s="4" t="n"/>
      <c r="D452" s="4" t="n"/>
      <c r="E452" s="4" t="n"/>
      <c r="F452" s="4" t="n"/>
      <c r="G452" s="28" t="n"/>
      <c r="H452" s="28" t="n"/>
      <c r="I452" s="4" t="n"/>
      <c r="J452" s="4" t="n"/>
      <c r="K452" s="4" t="n"/>
      <c r="L452">
        <f>IF($A452="","",IF(AND(ISNUMBER($G452),ISNUMBER($H452),$G452&gt;0,$H452&gt;0),"⚠ both inflow and outflow entered",IF($K452="Missing","⚠ missing evidence","")))</f>
        <v/>
      </c>
    </row>
    <row r="453">
      <c r="A453" s="4" t="n"/>
      <c r="B453" s="27" t="n"/>
      <c r="C453" s="4" t="n"/>
      <c r="D453" s="4" t="n"/>
      <c r="E453" s="4" t="n"/>
      <c r="F453" s="4" t="n"/>
      <c r="G453" s="28" t="n"/>
      <c r="H453" s="28" t="n"/>
      <c r="I453" s="4" t="n"/>
      <c r="J453" s="4" t="n"/>
      <c r="K453" s="4" t="n"/>
      <c r="L453">
        <f>IF($A453="","",IF(AND(ISNUMBER($G453),ISNUMBER($H453),$G453&gt;0,$H453&gt;0),"⚠ both inflow and outflow entered",IF($K453="Missing","⚠ missing evidence","")))</f>
        <v/>
      </c>
    </row>
    <row r="454">
      <c r="A454" s="4" t="n"/>
      <c r="B454" s="27" t="n"/>
      <c r="C454" s="4" t="n"/>
      <c r="D454" s="4" t="n"/>
      <c r="E454" s="4" t="n"/>
      <c r="F454" s="4" t="n"/>
      <c r="G454" s="28" t="n"/>
      <c r="H454" s="28" t="n"/>
      <c r="I454" s="4" t="n"/>
      <c r="J454" s="4" t="n"/>
      <c r="K454" s="4" t="n"/>
      <c r="L454">
        <f>IF($A454="","",IF(AND(ISNUMBER($G454),ISNUMBER($H454),$G454&gt;0,$H454&gt;0),"⚠ both inflow and outflow entered",IF($K454="Missing","⚠ missing evidence","")))</f>
        <v/>
      </c>
    </row>
    <row r="455">
      <c r="A455" s="4" t="n"/>
      <c r="B455" s="27" t="n"/>
      <c r="C455" s="4" t="n"/>
      <c r="D455" s="4" t="n"/>
      <c r="E455" s="4" t="n"/>
      <c r="F455" s="4" t="n"/>
      <c r="G455" s="28" t="n"/>
      <c r="H455" s="28" t="n"/>
      <c r="I455" s="4" t="n"/>
      <c r="J455" s="4" t="n"/>
      <c r="K455" s="4" t="n"/>
      <c r="L455">
        <f>IF($A455="","",IF(AND(ISNUMBER($G455),ISNUMBER($H455),$G455&gt;0,$H455&gt;0),"⚠ both inflow and outflow entered",IF($K455="Missing","⚠ missing evidence","")))</f>
        <v/>
      </c>
    </row>
    <row r="456">
      <c r="A456" s="4" t="n"/>
      <c r="B456" s="27" t="n"/>
      <c r="C456" s="4" t="n"/>
      <c r="D456" s="4" t="n"/>
      <c r="E456" s="4" t="n"/>
      <c r="F456" s="4" t="n"/>
      <c r="G456" s="28" t="n"/>
      <c r="H456" s="28" t="n"/>
      <c r="I456" s="4" t="n"/>
      <c r="J456" s="4" t="n"/>
      <c r="K456" s="4" t="n"/>
      <c r="L456">
        <f>IF($A456="","",IF(AND(ISNUMBER($G456),ISNUMBER($H456),$G456&gt;0,$H456&gt;0),"⚠ both inflow and outflow entered",IF($K456="Missing","⚠ missing evidence","")))</f>
        <v/>
      </c>
    </row>
    <row r="457">
      <c r="A457" s="4" t="n"/>
      <c r="B457" s="27" t="n"/>
      <c r="C457" s="4" t="n"/>
      <c r="D457" s="4" t="n"/>
      <c r="E457" s="4" t="n"/>
      <c r="F457" s="4" t="n"/>
      <c r="G457" s="28" t="n"/>
      <c r="H457" s="28" t="n"/>
      <c r="I457" s="4" t="n"/>
      <c r="J457" s="4" t="n"/>
      <c r="K457" s="4" t="n"/>
      <c r="L457">
        <f>IF($A457="","",IF(AND(ISNUMBER($G457),ISNUMBER($H457),$G457&gt;0,$H457&gt;0),"⚠ both inflow and outflow entered",IF($K457="Missing","⚠ missing evidence","")))</f>
        <v/>
      </c>
    </row>
    <row r="458">
      <c r="A458" s="4" t="n"/>
      <c r="B458" s="27" t="n"/>
      <c r="C458" s="4" t="n"/>
      <c r="D458" s="4" t="n"/>
      <c r="E458" s="4" t="n"/>
      <c r="F458" s="4" t="n"/>
      <c r="G458" s="28" t="n"/>
      <c r="H458" s="28" t="n"/>
      <c r="I458" s="4" t="n"/>
      <c r="J458" s="4" t="n"/>
      <c r="K458" s="4" t="n"/>
      <c r="L458">
        <f>IF($A458="","",IF(AND(ISNUMBER($G458),ISNUMBER($H458),$G458&gt;0,$H458&gt;0),"⚠ both inflow and outflow entered",IF($K458="Missing","⚠ missing evidence","")))</f>
        <v/>
      </c>
    </row>
    <row r="459">
      <c r="A459" s="4" t="n"/>
      <c r="B459" s="27" t="n"/>
      <c r="C459" s="4" t="n"/>
      <c r="D459" s="4" t="n"/>
      <c r="E459" s="4" t="n"/>
      <c r="F459" s="4" t="n"/>
      <c r="G459" s="28" t="n"/>
      <c r="H459" s="28" t="n"/>
      <c r="I459" s="4" t="n"/>
      <c r="J459" s="4" t="n"/>
      <c r="K459" s="4" t="n"/>
      <c r="L459">
        <f>IF($A459="","",IF(AND(ISNUMBER($G459),ISNUMBER($H459),$G459&gt;0,$H459&gt;0),"⚠ both inflow and outflow entered",IF($K459="Missing","⚠ missing evidence","")))</f>
        <v/>
      </c>
    </row>
    <row r="460">
      <c r="A460" s="4" t="n"/>
      <c r="B460" s="27" t="n"/>
      <c r="C460" s="4" t="n"/>
      <c r="D460" s="4" t="n"/>
      <c r="E460" s="4" t="n"/>
      <c r="F460" s="4" t="n"/>
      <c r="G460" s="28" t="n"/>
      <c r="H460" s="28" t="n"/>
      <c r="I460" s="4" t="n"/>
      <c r="J460" s="4" t="n"/>
      <c r="K460" s="4" t="n"/>
      <c r="L460">
        <f>IF($A460="","",IF(AND(ISNUMBER($G460),ISNUMBER($H460),$G460&gt;0,$H460&gt;0),"⚠ both inflow and outflow entered",IF($K460="Missing","⚠ missing evidence","")))</f>
        <v/>
      </c>
    </row>
    <row r="461">
      <c r="A461" s="4" t="n"/>
      <c r="B461" s="27" t="n"/>
      <c r="C461" s="4" t="n"/>
      <c r="D461" s="4" t="n"/>
      <c r="E461" s="4" t="n"/>
      <c r="F461" s="4" t="n"/>
      <c r="G461" s="28" t="n"/>
      <c r="H461" s="28" t="n"/>
      <c r="I461" s="4" t="n"/>
      <c r="J461" s="4" t="n"/>
      <c r="K461" s="4" t="n"/>
      <c r="L461">
        <f>IF($A461="","",IF(AND(ISNUMBER($G461),ISNUMBER($H461),$G461&gt;0,$H461&gt;0),"⚠ both inflow and outflow entered",IF($K461="Missing","⚠ missing evidence","")))</f>
        <v/>
      </c>
    </row>
    <row r="462">
      <c r="A462" s="4" t="n"/>
      <c r="B462" s="27" t="n"/>
      <c r="C462" s="4" t="n"/>
      <c r="D462" s="4" t="n"/>
      <c r="E462" s="4" t="n"/>
      <c r="F462" s="4" t="n"/>
      <c r="G462" s="28" t="n"/>
      <c r="H462" s="28" t="n"/>
      <c r="I462" s="4" t="n"/>
      <c r="J462" s="4" t="n"/>
      <c r="K462" s="4" t="n"/>
      <c r="L462">
        <f>IF($A462="","",IF(AND(ISNUMBER($G462),ISNUMBER($H462),$G462&gt;0,$H462&gt;0),"⚠ both inflow and outflow entered",IF($K462="Missing","⚠ missing evidence","")))</f>
        <v/>
      </c>
    </row>
    <row r="463">
      <c r="A463" s="4" t="n"/>
      <c r="B463" s="27" t="n"/>
      <c r="C463" s="4" t="n"/>
      <c r="D463" s="4" t="n"/>
      <c r="E463" s="4" t="n"/>
      <c r="F463" s="4" t="n"/>
      <c r="G463" s="28" t="n"/>
      <c r="H463" s="28" t="n"/>
      <c r="I463" s="4" t="n"/>
      <c r="J463" s="4" t="n"/>
      <c r="K463" s="4" t="n"/>
      <c r="L463">
        <f>IF($A463="","",IF(AND(ISNUMBER($G463),ISNUMBER($H463),$G463&gt;0,$H463&gt;0),"⚠ both inflow and outflow entered",IF($K463="Missing","⚠ missing evidence","")))</f>
        <v/>
      </c>
    </row>
    <row r="464">
      <c r="A464" s="4" t="n"/>
      <c r="B464" s="27" t="n"/>
      <c r="C464" s="4" t="n"/>
      <c r="D464" s="4" t="n"/>
      <c r="E464" s="4" t="n"/>
      <c r="F464" s="4" t="n"/>
      <c r="G464" s="28" t="n"/>
      <c r="H464" s="28" t="n"/>
      <c r="I464" s="4" t="n"/>
      <c r="J464" s="4" t="n"/>
      <c r="K464" s="4" t="n"/>
      <c r="L464">
        <f>IF($A464="","",IF(AND(ISNUMBER($G464),ISNUMBER($H464),$G464&gt;0,$H464&gt;0),"⚠ both inflow and outflow entered",IF($K464="Missing","⚠ missing evidence","")))</f>
        <v/>
      </c>
    </row>
    <row r="465">
      <c r="A465" s="4" t="n"/>
      <c r="B465" s="27" t="n"/>
      <c r="C465" s="4" t="n"/>
      <c r="D465" s="4" t="n"/>
      <c r="E465" s="4" t="n"/>
      <c r="F465" s="4" t="n"/>
      <c r="G465" s="28" t="n"/>
      <c r="H465" s="28" t="n"/>
      <c r="I465" s="4" t="n"/>
      <c r="J465" s="4" t="n"/>
      <c r="K465" s="4" t="n"/>
      <c r="L465">
        <f>IF($A465="","",IF(AND(ISNUMBER($G465),ISNUMBER($H465),$G465&gt;0,$H465&gt;0),"⚠ both inflow and outflow entered",IF($K465="Missing","⚠ missing evidence","")))</f>
        <v/>
      </c>
    </row>
    <row r="466">
      <c r="A466" s="4" t="n"/>
      <c r="B466" s="27" t="n"/>
      <c r="C466" s="4" t="n"/>
      <c r="D466" s="4" t="n"/>
      <c r="E466" s="4" t="n"/>
      <c r="F466" s="4" t="n"/>
      <c r="G466" s="28" t="n"/>
      <c r="H466" s="28" t="n"/>
      <c r="I466" s="4" t="n"/>
      <c r="J466" s="4" t="n"/>
      <c r="K466" s="4" t="n"/>
      <c r="L466">
        <f>IF($A466="","",IF(AND(ISNUMBER($G466),ISNUMBER($H466),$G466&gt;0,$H466&gt;0),"⚠ both inflow and outflow entered",IF($K466="Missing","⚠ missing evidence","")))</f>
        <v/>
      </c>
    </row>
    <row r="467">
      <c r="A467" s="4" t="n"/>
      <c r="B467" s="27" t="n"/>
      <c r="C467" s="4" t="n"/>
      <c r="D467" s="4" t="n"/>
      <c r="E467" s="4" t="n"/>
      <c r="F467" s="4" t="n"/>
      <c r="G467" s="28" t="n"/>
      <c r="H467" s="28" t="n"/>
      <c r="I467" s="4" t="n"/>
      <c r="J467" s="4" t="n"/>
      <c r="K467" s="4" t="n"/>
      <c r="L467">
        <f>IF($A467="","",IF(AND(ISNUMBER($G467),ISNUMBER($H467),$G467&gt;0,$H467&gt;0),"⚠ both inflow and outflow entered",IF($K467="Missing","⚠ missing evidence","")))</f>
        <v/>
      </c>
    </row>
    <row r="468">
      <c r="A468" s="4" t="n"/>
      <c r="B468" s="27" t="n"/>
      <c r="C468" s="4" t="n"/>
      <c r="D468" s="4" t="n"/>
      <c r="E468" s="4" t="n"/>
      <c r="F468" s="4" t="n"/>
      <c r="G468" s="28" t="n"/>
      <c r="H468" s="28" t="n"/>
      <c r="I468" s="4" t="n"/>
      <c r="J468" s="4" t="n"/>
      <c r="K468" s="4" t="n"/>
      <c r="L468">
        <f>IF($A468="","",IF(AND(ISNUMBER($G468),ISNUMBER($H468),$G468&gt;0,$H468&gt;0),"⚠ both inflow and outflow entered",IF($K468="Missing","⚠ missing evidence","")))</f>
        <v/>
      </c>
    </row>
    <row r="469">
      <c r="A469" s="4" t="n"/>
      <c r="B469" s="27" t="n"/>
      <c r="C469" s="4" t="n"/>
      <c r="D469" s="4" t="n"/>
      <c r="E469" s="4" t="n"/>
      <c r="F469" s="4" t="n"/>
      <c r="G469" s="28" t="n"/>
      <c r="H469" s="28" t="n"/>
      <c r="I469" s="4" t="n"/>
      <c r="J469" s="4" t="n"/>
      <c r="K469" s="4" t="n"/>
      <c r="L469">
        <f>IF($A469="","",IF(AND(ISNUMBER($G469),ISNUMBER($H469),$G469&gt;0,$H469&gt;0),"⚠ both inflow and outflow entered",IF($K469="Missing","⚠ missing evidence","")))</f>
        <v/>
      </c>
    </row>
    <row r="470">
      <c r="A470" s="4" t="n"/>
      <c r="B470" s="27" t="n"/>
      <c r="C470" s="4" t="n"/>
      <c r="D470" s="4" t="n"/>
      <c r="E470" s="4" t="n"/>
      <c r="F470" s="4" t="n"/>
      <c r="G470" s="28" t="n"/>
      <c r="H470" s="28" t="n"/>
      <c r="I470" s="4" t="n"/>
      <c r="J470" s="4" t="n"/>
      <c r="K470" s="4" t="n"/>
      <c r="L470">
        <f>IF($A470="","",IF(AND(ISNUMBER($G470),ISNUMBER($H470),$G470&gt;0,$H470&gt;0),"⚠ both inflow and outflow entered",IF($K470="Missing","⚠ missing evidence","")))</f>
        <v/>
      </c>
    </row>
    <row r="471">
      <c r="A471" s="4" t="n"/>
      <c r="B471" s="27" t="n"/>
      <c r="C471" s="4" t="n"/>
      <c r="D471" s="4" t="n"/>
      <c r="E471" s="4" t="n"/>
      <c r="F471" s="4" t="n"/>
      <c r="G471" s="28" t="n"/>
      <c r="H471" s="28" t="n"/>
      <c r="I471" s="4" t="n"/>
      <c r="J471" s="4" t="n"/>
      <c r="K471" s="4" t="n"/>
      <c r="L471">
        <f>IF($A471="","",IF(AND(ISNUMBER($G471),ISNUMBER($H471),$G471&gt;0,$H471&gt;0),"⚠ both inflow and outflow entered",IF($K471="Missing","⚠ missing evidence","")))</f>
        <v/>
      </c>
    </row>
    <row r="472">
      <c r="A472" s="4" t="n"/>
      <c r="B472" s="27" t="n"/>
      <c r="C472" s="4" t="n"/>
      <c r="D472" s="4" t="n"/>
      <c r="E472" s="4" t="n"/>
      <c r="F472" s="4" t="n"/>
      <c r="G472" s="28" t="n"/>
      <c r="H472" s="28" t="n"/>
      <c r="I472" s="4" t="n"/>
      <c r="J472" s="4" t="n"/>
      <c r="K472" s="4" t="n"/>
      <c r="L472">
        <f>IF($A472="","",IF(AND(ISNUMBER($G472),ISNUMBER($H472),$G472&gt;0,$H472&gt;0),"⚠ both inflow and outflow entered",IF($K472="Missing","⚠ missing evidence","")))</f>
        <v/>
      </c>
    </row>
    <row r="473">
      <c r="A473" s="4" t="n"/>
      <c r="B473" s="27" t="n"/>
      <c r="C473" s="4" t="n"/>
      <c r="D473" s="4" t="n"/>
      <c r="E473" s="4" t="n"/>
      <c r="F473" s="4" t="n"/>
      <c r="G473" s="28" t="n"/>
      <c r="H473" s="28" t="n"/>
      <c r="I473" s="4" t="n"/>
      <c r="J473" s="4" t="n"/>
      <c r="K473" s="4" t="n"/>
      <c r="L473">
        <f>IF($A473="","",IF(AND(ISNUMBER($G473),ISNUMBER($H473),$G473&gt;0,$H473&gt;0),"⚠ both inflow and outflow entered",IF($K473="Missing","⚠ missing evidence","")))</f>
        <v/>
      </c>
    </row>
    <row r="474">
      <c r="A474" s="4" t="n"/>
      <c r="B474" s="27" t="n"/>
      <c r="C474" s="4" t="n"/>
      <c r="D474" s="4" t="n"/>
      <c r="E474" s="4" t="n"/>
      <c r="F474" s="4" t="n"/>
      <c r="G474" s="28" t="n"/>
      <c r="H474" s="28" t="n"/>
      <c r="I474" s="4" t="n"/>
      <c r="J474" s="4" t="n"/>
      <c r="K474" s="4" t="n"/>
      <c r="L474">
        <f>IF($A474="","",IF(AND(ISNUMBER($G474),ISNUMBER($H474),$G474&gt;0,$H474&gt;0),"⚠ both inflow and outflow entered",IF($K474="Missing","⚠ missing evidence","")))</f>
        <v/>
      </c>
    </row>
    <row r="475">
      <c r="A475" s="4" t="n"/>
      <c r="B475" s="27" t="n"/>
      <c r="C475" s="4" t="n"/>
      <c r="D475" s="4" t="n"/>
      <c r="E475" s="4" t="n"/>
      <c r="F475" s="4" t="n"/>
      <c r="G475" s="28" t="n"/>
      <c r="H475" s="28" t="n"/>
      <c r="I475" s="4" t="n"/>
      <c r="J475" s="4" t="n"/>
      <c r="K475" s="4" t="n"/>
      <c r="L475">
        <f>IF($A475="","",IF(AND(ISNUMBER($G475),ISNUMBER($H475),$G475&gt;0,$H475&gt;0),"⚠ both inflow and outflow entered",IF($K475="Missing","⚠ missing evidence","")))</f>
        <v/>
      </c>
    </row>
    <row r="476">
      <c r="A476" s="4" t="n"/>
      <c r="B476" s="27" t="n"/>
      <c r="C476" s="4" t="n"/>
      <c r="D476" s="4" t="n"/>
      <c r="E476" s="4" t="n"/>
      <c r="F476" s="4" t="n"/>
      <c r="G476" s="28" t="n"/>
      <c r="H476" s="28" t="n"/>
      <c r="I476" s="4" t="n"/>
      <c r="J476" s="4" t="n"/>
      <c r="K476" s="4" t="n"/>
      <c r="L476">
        <f>IF($A476="","",IF(AND(ISNUMBER($G476),ISNUMBER($H476),$G476&gt;0,$H476&gt;0),"⚠ both inflow and outflow entered",IF($K476="Missing","⚠ missing evidence","")))</f>
        <v/>
      </c>
    </row>
    <row r="477">
      <c r="A477" s="4" t="n"/>
      <c r="B477" s="27" t="n"/>
      <c r="C477" s="4" t="n"/>
      <c r="D477" s="4" t="n"/>
      <c r="E477" s="4" t="n"/>
      <c r="F477" s="4" t="n"/>
      <c r="G477" s="28" t="n"/>
      <c r="H477" s="28" t="n"/>
      <c r="I477" s="4" t="n"/>
      <c r="J477" s="4" t="n"/>
      <c r="K477" s="4" t="n"/>
      <c r="L477">
        <f>IF($A477="","",IF(AND(ISNUMBER($G477),ISNUMBER($H477),$G477&gt;0,$H477&gt;0),"⚠ both inflow and outflow entered",IF($K477="Missing","⚠ missing evidence","")))</f>
        <v/>
      </c>
    </row>
    <row r="478">
      <c r="A478" s="4" t="n"/>
      <c r="B478" s="27" t="n"/>
      <c r="C478" s="4" t="n"/>
      <c r="D478" s="4" t="n"/>
      <c r="E478" s="4" t="n"/>
      <c r="F478" s="4" t="n"/>
      <c r="G478" s="28" t="n"/>
      <c r="H478" s="28" t="n"/>
      <c r="I478" s="4" t="n"/>
      <c r="J478" s="4" t="n"/>
      <c r="K478" s="4" t="n"/>
      <c r="L478">
        <f>IF($A478="","",IF(AND(ISNUMBER($G478),ISNUMBER($H478),$G478&gt;0,$H478&gt;0),"⚠ both inflow and outflow entered",IF($K478="Missing","⚠ missing evidence","")))</f>
        <v/>
      </c>
    </row>
    <row r="479">
      <c r="A479" s="4" t="n"/>
      <c r="B479" s="27" t="n"/>
      <c r="C479" s="4" t="n"/>
      <c r="D479" s="4" t="n"/>
      <c r="E479" s="4" t="n"/>
      <c r="F479" s="4" t="n"/>
      <c r="G479" s="28" t="n"/>
      <c r="H479" s="28" t="n"/>
      <c r="I479" s="4" t="n"/>
      <c r="J479" s="4" t="n"/>
      <c r="K479" s="4" t="n"/>
      <c r="L479">
        <f>IF($A479="","",IF(AND(ISNUMBER($G479),ISNUMBER($H479),$G479&gt;0,$H479&gt;0),"⚠ both inflow and outflow entered",IF($K479="Missing","⚠ missing evidence","")))</f>
        <v/>
      </c>
    </row>
    <row r="480">
      <c r="A480" s="4" t="n"/>
      <c r="B480" s="27" t="n"/>
      <c r="C480" s="4" t="n"/>
      <c r="D480" s="4" t="n"/>
      <c r="E480" s="4" t="n"/>
      <c r="F480" s="4" t="n"/>
      <c r="G480" s="28" t="n"/>
      <c r="H480" s="28" t="n"/>
      <c r="I480" s="4" t="n"/>
      <c r="J480" s="4" t="n"/>
      <c r="K480" s="4" t="n"/>
      <c r="L480">
        <f>IF($A480="","",IF(AND(ISNUMBER($G480),ISNUMBER($H480),$G480&gt;0,$H480&gt;0),"⚠ both inflow and outflow entered",IF($K480="Missing","⚠ missing evidence","")))</f>
        <v/>
      </c>
    </row>
    <row r="481">
      <c r="A481" s="4" t="n"/>
      <c r="B481" s="27" t="n"/>
      <c r="C481" s="4" t="n"/>
      <c r="D481" s="4" t="n"/>
      <c r="E481" s="4" t="n"/>
      <c r="F481" s="4" t="n"/>
      <c r="G481" s="28" t="n"/>
      <c r="H481" s="28" t="n"/>
      <c r="I481" s="4" t="n"/>
      <c r="J481" s="4" t="n"/>
      <c r="K481" s="4" t="n"/>
      <c r="L481">
        <f>IF($A481="","",IF(AND(ISNUMBER($G481),ISNUMBER($H481),$G481&gt;0,$H481&gt;0),"⚠ both inflow and outflow entered",IF($K481="Missing","⚠ missing evidence","")))</f>
        <v/>
      </c>
    </row>
    <row r="482">
      <c r="A482" s="4" t="n"/>
      <c r="B482" s="27" t="n"/>
      <c r="C482" s="4" t="n"/>
      <c r="D482" s="4" t="n"/>
      <c r="E482" s="4" t="n"/>
      <c r="F482" s="4" t="n"/>
      <c r="G482" s="28" t="n"/>
      <c r="H482" s="28" t="n"/>
      <c r="I482" s="4" t="n"/>
      <c r="J482" s="4" t="n"/>
      <c r="K482" s="4" t="n"/>
      <c r="L482">
        <f>IF($A482="","",IF(AND(ISNUMBER($G482),ISNUMBER($H482),$G482&gt;0,$H482&gt;0),"⚠ both inflow and outflow entered",IF($K482="Missing","⚠ missing evidence","")))</f>
        <v/>
      </c>
    </row>
    <row r="483">
      <c r="A483" s="4" t="n"/>
      <c r="B483" s="27" t="n"/>
      <c r="C483" s="4" t="n"/>
      <c r="D483" s="4" t="n"/>
      <c r="E483" s="4" t="n"/>
      <c r="F483" s="4" t="n"/>
      <c r="G483" s="28" t="n"/>
      <c r="H483" s="28" t="n"/>
      <c r="I483" s="4" t="n"/>
      <c r="J483" s="4" t="n"/>
      <c r="K483" s="4" t="n"/>
      <c r="L483">
        <f>IF($A483="","",IF(AND(ISNUMBER($G483),ISNUMBER($H483),$G483&gt;0,$H483&gt;0),"⚠ both inflow and outflow entered",IF($K483="Missing","⚠ missing evidence","")))</f>
        <v/>
      </c>
    </row>
    <row r="484">
      <c r="A484" s="4" t="n"/>
      <c r="B484" s="27" t="n"/>
      <c r="C484" s="4" t="n"/>
      <c r="D484" s="4" t="n"/>
      <c r="E484" s="4" t="n"/>
      <c r="F484" s="4" t="n"/>
      <c r="G484" s="28" t="n"/>
      <c r="H484" s="28" t="n"/>
      <c r="I484" s="4" t="n"/>
      <c r="J484" s="4" t="n"/>
      <c r="K484" s="4" t="n"/>
      <c r="L484">
        <f>IF($A484="","",IF(AND(ISNUMBER($G484),ISNUMBER($H484),$G484&gt;0,$H484&gt;0),"⚠ both inflow and outflow entered",IF($K484="Missing","⚠ missing evidence","")))</f>
        <v/>
      </c>
    </row>
    <row r="485">
      <c r="A485" s="4" t="n"/>
      <c r="B485" s="27" t="n"/>
      <c r="C485" s="4" t="n"/>
      <c r="D485" s="4" t="n"/>
      <c r="E485" s="4" t="n"/>
      <c r="F485" s="4" t="n"/>
      <c r="G485" s="28" t="n"/>
      <c r="H485" s="28" t="n"/>
      <c r="I485" s="4" t="n"/>
      <c r="J485" s="4" t="n"/>
      <c r="K485" s="4" t="n"/>
      <c r="L485">
        <f>IF($A485="","",IF(AND(ISNUMBER($G485),ISNUMBER($H485),$G485&gt;0,$H485&gt;0),"⚠ both inflow and outflow entered",IF($K485="Missing","⚠ missing evidence","")))</f>
        <v/>
      </c>
    </row>
    <row r="486">
      <c r="A486" s="4" t="n"/>
      <c r="B486" s="27" t="n"/>
      <c r="C486" s="4" t="n"/>
      <c r="D486" s="4" t="n"/>
      <c r="E486" s="4" t="n"/>
      <c r="F486" s="4" t="n"/>
      <c r="G486" s="28" t="n"/>
      <c r="H486" s="28" t="n"/>
      <c r="I486" s="4" t="n"/>
      <c r="J486" s="4" t="n"/>
      <c r="K486" s="4" t="n"/>
      <c r="L486">
        <f>IF($A486="","",IF(AND(ISNUMBER($G486),ISNUMBER($H486),$G486&gt;0,$H486&gt;0),"⚠ both inflow and outflow entered",IF($K486="Missing","⚠ missing evidence","")))</f>
        <v/>
      </c>
    </row>
    <row r="487">
      <c r="A487" s="4" t="n"/>
      <c r="B487" s="27" t="n"/>
      <c r="C487" s="4" t="n"/>
      <c r="D487" s="4" t="n"/>
      <c r="E487" s="4" t="n"/>
      <c r="F487" s="4" t="n"/>
      <c r="G487" s="28" t="n"/>
      <c r="H487" s="28" t="n"/>
      <c r="I487" s="4" t="n"/>
      <c r="J487" s="4" t="n"/>
      <c r="K487" s="4" t="n"/>
      <c r="L487">
        <f>IF($A487="","",IF(AND(ISNUMBER($G487),ISNUMBER($H487),$G487&gt;0,$H487&gt;0),"⚠ both inflow and outflow entered",IF($K487="Missing","⚠ missing evidence","")))</f>
        <v/>
      </c>
    </row>
    <row r="488">
      <c r="A488" s="4" t="n"/>
      <c r="B488" s="27" t="n"/>
      <c r="C488" s="4" t="n"/>
      <c r="D488" s="4" t="n"/>
      <c r="E488" s="4" t="n"/>
      <c r="F488" s="4" t="n"/>
      <c r="G488" s="28" t="n"/>
      <c r="H488" s="28" t="n"/>
      <c r="I488" s="4" t="n"/>
      <c r="J488" s="4" t="n"/>
      <c r="K488" s="4" t="n"/>
      <c r="L488">
        <f>IF($A488="","",IF(AND(ISNUMBER($G488),ISNUMBER($H488),$G488&gt;0,$H488&gt;0),"⚠ both inflow and outflow entered",IF($K488="Missing","⚠ missing evidence","")))</f>
        <v/>
      </c>
    </row>
    <row r="489">
      <c r="A489" s="4" t="n"/>
      <c r="B489" s="27" t="n"/>
      <c r="C489" s="4" t="n"/>
      <c r="D489" s="4" t="n"/>
      <c r="E489" s="4" t="n"/>
      <c r="F489" s="4" t="n"/>
      <c r="G489" s="28" t="n"/>
      <c r="H489" s="28" t="n"/>
      <c r="I489" s="4" t="n"/>
      <c r="J489" s="4" t="n"/>
      <c r="K489" s="4" t="n"/>
      <c r="L489">
        <f>IF($A489="","",IF(AND(ISNUMBER($G489),ISNUMBER($H489),$G489&gt;0,$H489&gt;0),"⚠ both inflow and outflow entered",IF($K489="Missing","⚠ missing evidence","")))</f>
        <v/>
      </c>
    </row>
    <row r="490">
      <c r="A490" s="4" t="n"/>
      <c r="B490" s="27" t="n"/>
      <c r="C490" s="4" t="n"/>
      <c r="D490" s="4" t="n"/>
      <c r="E490" s="4" t="n"/>
      <c r="F490" s="4" t="n"/>
      <c r="G490" s="28" t="n"/>
      <c r="H490" s="28" t="n"/>
      <c r="I490" s="4" t="n"/>
      <c r="J490" s="4" t="n"/>
      <c r="K490" s="4" t="n"/>
      <c r="L490">
        <f>IF($A490="","",IF(AND(ISNUMBER($G490),ISNUMBER($H490),$G490&gt;0,$H490&gt;0),"⚠ both inflow and outflow entered",IF($K490="Missing","⚠ missing evidence","")))</f>
        <v/>
      </c>
    </row>
    <row r="491">
      <c r="A491" s="4" t="n"/>
      <c r="B491" s="27" t="n"/>
      <c r="C491" s="4" t="n"/>
      <c r="D491" s="4" t="n"/>
      <c r="E491" s="4" t="n"/>
      <c r="F491" s="4" t="n"/>
      <c r="G491" s="28" t="n"/>
      <c r="H491" s="28" t="n"/>
      <c r="I491" s="4" t="n"/>
      <c r="J491" s="4" t="n"/>
      <c r="K491" s="4" t="n"/>
      <c r="L491">
        <f>IF($A491="","",IF(AND(ISNUMBER($G491),ISNUMBER($H491),$G491&gt;0,$H491&gt;0),"⚠ both inflow and outflow entered",IF($K491="Missing","⚠ missing evidence","")))</f>
        <v/>
      </c>
    </row>
    <row r="492">
      <c r="A492" s="4" t="n"/>
      <c r="B492" s="27" t="n"/>
      <c r="C492" s="4" t="n"/>
      <c r="D492" s="4" t="n"/>
      <c r="E492" s="4" t="n"/>
      <c r="F492" s="4" t="n"/>
      <c r="G492" s="28" t="n"/>
      <c r="H492" s="28" t="n"/>
      <c r="I492" s="4" t="n"/>
      <c r="J492" s="4" t="n"/>
      <c r="K492" s="4" t="n"/>
      <c r="L492">
        <f>IF($A492="","",IF(AND(ISNUMBER($G492),ISNUMBER($H492),$G492&gt;0,$H492&gt;0),"⚠ both inflow and outflow entered",IF($K492="Missing","⚠ missing evidence","")))</f>
        <v/>
      </c>
    </row>
    <row r="493">
      <c r="A493" s="4" t="n"/>
      <c r="B493" s="27" t="n"/>
      <c r="C493" s="4" t="n"/>
      <c r="D493" s="4" t="n"/>
      <c r="E493" s="4" t="n"/>
      <c r="F493" s="4" t="n"/>
      <c r="G493" s="28" t="n"/>
      <c r="H493" s="28" t="n"/>
      <c r="I493" s="4" t="n"/>
      <c r="J493" s="4" t="n"/>
      <c r="K493" s="4" t="n"/>
      <c r="L493">
        <f>IF($A493="","",IF(AND(ISNUMBER($G493),ISNUMBER($H493),$G493&gt;0,$H493&gt;0),"⚠ both inflow and outflow entered",IF($K493="Missing","⚠ missing evidence","")))</f>
        <v/>
      </c>
    </row>
    <row r="494">
      <c r="A494" s="4" t="n"/>
      <c r="B494" s="27" t="n"/>
      <c r="C494" s="4" t="n"/>
      <c r="D494" s="4" t="n"/>
      <c r="E494" s="4" t="n"/>
      <c r="F494" s="4" t="n"/>
      <c r="G494" s="28" t="n"/>
      <c r="H494" s="28" t="n"/>
      <c r="I494" s="4" t="n"/>
      <c r="J494" s="4" t="n"/>
      <c r="K494" s="4" t="n"/>
      <c r="L494">
        <f>IF($A494="","",IF(AND(ISNUMBER($G494),ISNUMBER($H494),$G494&gt;0,$H494&gt;0),"⚠ both inflow and outflow entered",IF($K494="Missing","⚠ missing evidence","")))</f>
        <v/>
      </c>
    </row>
    <row r="495">
      <c r="A495" s="4" t="n"/>
      <c r="B495" s="27" t="n"/>
      <c r="C495" s="4" t="n"/>
      <c r="D495" s="4" t="n"/>
      <c r="E495" s="4" t="n"/>
      <c r="F495" s="4" t="n"/>
      <c r="G495" s="28" t="n"/>
      <c r="H495" s="28" t="n"/>
      <c r="I495" s="4" t="n"/>
      <c r="J495" s="4" t="n"/>
      <c r="K495" s="4" t="n"/>
      <c r="L495">
        <f>IF($A495="","",IF(AND(ISNUMBER($G495),ISNUMBER($H495),$G495&gt;0,$H495&gt;0),"⚠ both inflow and outflow entered",IF($K495="Missing","⚠ missing evidence","")))</f>
        <v/>
      </c>
    </row>
    <row r="496">
      <c r="A496" s="4" t="n"/>
      <c r="B496" s="27" t="n"/>
      <c r="C496" s="4" t="n"/>
      <c r="D496" s="4" t="n"/>
      <c r="E496" s="4" t="n"/>
      <c r="F496" s="4" t="n"/>
      <c r="G496" s="28" t="n"/>
      <c r="H496" s="28" t="n"/>
      <c r="I496" s="4" t="n"/>
      <c r="J496" s="4" t="n"/>
      <c r="K496" s="4" t="n"/>
      <c r="L496">
        <f>IF($A496="","",IF(AND(ISNUMBER($G496),ISNUMBER($H496),$G496&gt;0,$H496&gt;0),"⚠ both inflow and outflow entered",IF($K496="Missing","⚠ missing evidence","")))</f>
        <v/>
      </c>
    </row>
    <row r="497">
      <c r="A497" s="4" t="n"/>
      <c r="B497" s="27" t="n"/>
      <c r="C497" s="4" t="n"/>
      <c r="D497" s="4" t="n"/>
      <c r="E497" s="4" t="n"/>
      <c r="F497" s="4" t="n"/>
      <c r="G497" s="28" t="n"/>
      <c r="H497" s="28" t="n"/>
      <c r="I497" s="4" t="n"/>
      <c r="J497" s="4" t="n"/>
      <c r="K497" s="4" t="n"/>
      <c r="L497">
        <f>IF($A497="","",IF(AND(ISNUMBER($G497),ISNUMBER($H497),$G497&gt;0,$H497&gt;0),"⚠ both inflow and outflow entered",IF($K497="Missing","⚠ missing evidence","")))</f>
        <v/>
      </c>
    </row>
    <row r="498">
      <c r="A498" s="4" t="n"/>
      <c r="B498" s="27" t="n"/>
      <c r="C498" s="4" t="n"/>
      <c r="D498" s="4" t="n"/>
      <c r="E498" s="4" t="n"/>
      <c r="F498" s="4" t="n"/>
      <c r="G498" s="28" t="n"/>
      <c r="H498" s="28" t="n"/>
      <c r="I498" s="4" t="n"/>
      <c r="J498" s="4" t="n"/>
      <c r="K498" s="4" t="n"/>
      <c r="L498">
        <f>IF($A498="","",IF(AND(ISNUMBER($G498),ISNUMBER($H498),$G498&gt;0,$H498&gt;0),"⚠ both inflow and outflow entered",IF($K498="Missing","⚠ missing evidence","")))</f>
        <v/>
      </c>
    </row>
    <row r="499">
      <c r="A499" s="4" t="n"/>
      <c r="B499" s="27" t="n"/>
      <c r="C499" s="4" t="n"/>
      <c r="D499" s="4" t="n"/>
      <c r="E499" s="4" t="n"/>
      <c r="F499" s="4" t="n"/>
      <c r="G499" s="28" t="n"/>
      <c r="H499" s="28" t="n"/>
      <c r="I499" s="4" t="n"/>
      <c r="J499" s="4" t="n"/>
      <c r="K499" s="4" t="n"/>
      <c r="L499">
        <f>IF($A499="","",IF(AND(ISNUMBER($G499),ISNUMBER($H499),$G499&gt;0,$H499&gt;0),"⚠ both inflow and outflow entered",IF($K499="Missing","⚠ missing evidence","")))</f>
        <v/>
      </c>
    </row>
    <row r="500">
      <c r="A500" s="4" t="n"/>
      <c r="B500" s="27" t="n"/>
      <c r="C500" s="4" t="n"/>
      <c r="D500" s="4" t="n"/>
      <c r="E500" s="4" t="n"/>
      <c r="F500" s="4" t="n"/>
      <c r="G500" s="28" t="n"/>
      <c r="H500" s="28" t="n"/>
      <c r="I500" s="4" t="n"/>
      <c r="J500" s="4" t="n"/>
      <c r="K500" s="4" t="n"/>
      <c r="L500">
        <f>IF($A500="","",IF(AND(ISNUMBER($G500),ISNUMBER($H500),$G500&gt;0,$H500&gt;0),"⚠ both inflow and outflow entered",IF($K500="Missing","⚠ missing evidence","")))</f>
        <v/>
      </c>
    </row>
    <row r="501">
      <c r="A501" s="4" t="n"/>
      <c r="B501" s="27" t="n"/>
      <c r="C501" s="4" t="n"/>
      <c r="D501" s="4" t="n"/>
      <c r="E501" s="4" t="n"/>
      <c r="F501" s="4" t="n"/>
      <c r="G501" s="28" t="n"/>
      <c r="H501" s="28" t="n"/>
      <c r="I501" s="4" t="n"/>
      <c r="J501" s="4" t="n"/>
      <c r="K501" s="4" t="n"/>
      <c r="L501">
        <f>IF($A501="","",IF(AND(ISNUMBER($G501),ISNUMBER($H501),$G501&gt;0,$H501&gt;0),"⚠ both inflow and outflow entered",IF($K501="Missing","⚠ missing evidence","")))</f>
        <v/>
      </c>
    </row>
    <row r="502">
      <c r="A502" s="4" t="n"/>
      <c r="B502" s="27" t="n"/>
      <c r="C502" s="4" t="n"/>
      <c r="D502" s="4" t="n"/>
      <c r="E502" s="4" t="n"/>
      <c r="F502" s="4" t="n"/>
      <c r="G502" s="28" t="n"/>
      <c r="H502" s="28" t="n"/>
      <c r="I502" s="4" t="n"/>
      <c r="J502" s="4" t="n"/>
      <c r="K502" s="4" t="n"/>
      <c r="L502">
        <f>IF($A502="","",IF(AND(ISNUMBER($G502),ISNUMBER($H502),$G502&gt;0,$H502&gt;0),"⚠ both inflow and outflow entered",IF($K502="Missing","⚠ missing evidence","")))</f>
        <v/>
      </c>
    </row>
    <row r="503">
      <c r="A503" s="4" t="n"/>
      <c r="B503" s="27" t="n"/>
      <c r="C503" s="4" t="n"/>
      <c r="D503" s="4" t="n"/>
      <c r="E503" s="4" t="n"/>
      <c r="F503" s="4" t="n"/>
      <c r="G503" s="28" t="n"/>
      <c r="H503" s="28" t="n"/>
      <c r="I503" s="4" t="n"/>
      <c r="J503" s="4" t="n"/>
      <c r="K503" s="4" t="n"/>
      <c r="L503">
        <f>IF($A503="","",IF(AND(ISNUMBER($G503),ISNUMBER($H503),$G503&gt;0,$H503&gt;0),"⚠ both inflow and outflow entered",IF($K503="Missing","⚠ missing evidence","")))</f>
        <v/>
      </c>
    </row>
  </sheetData>
  <sheetProtection selectLockedCells="0" selectUnlockedCells="0" sheet="1" objects="0" insertRows="1" insertHyperlinks="1" autoFilter="0" scenarios="0" formatColumns="0" deleteColumns="1" insertColumns="1" pivotTables="1" deleteRows="1" formatCells="1" formatRows="0" sort="0"/>
  <autoFilter ref="A3:L3"/>
  <conditionalFormatting sqref="L4:L503">
    <cfRule type="expression" priority="1" dxfId="0">
      <formula>LEFT($L4,1)="⚠"</formula>
    </cfRule>
  </conditionalFormatting>
  <dataValidations count="4">
    <dataValidation sqref="C4:C503" showDropDown="0" showInputMessage="0" showErrorMessage="0" allowBlank="1" type="list">
      <formula1>"Deposit,Payment,Transfer,Adjustment"</formula1>
    </dataValidation>
    <dataValidation sqref="D4:D503" showDropDown="0" showInputMessage="0" showErrorMessage="0" allowBlank="1" type="list">
      <formula1>"Asset Collection,Liability,Expense,Refund,Distribution,Other"</formula1>
    </dataValidation>
    <dataValidation sqref="K4:K503" showDropDown="0" showInputMessage="0" showErrorMessage="0" allowBlank="1" type="list">
      <formula1>"Provided,Not Applicable,Missing"</formula1>
    </dataValidation>
    <dataValidation sqref="G4:H5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03"/>
  <sheetViews>
    <sheetView workbookViewId="0">
      <selection activeCell="A1" sqref="A1"/>
    </sheetView>
  </sheetViews>
  <sheetFormatPr baseColWidth="8" defaultRowHeight="13.8"/>
  <cols>
    <col width="26" customWidth="1" style="21" min="1" max="1"/>
    <col width="13" customWidth="1" style="21" min="2" max="2"/>
    <col width="18" customWidth="1" style="21" min="3" max="3"/>
    <col width="30" customWidth="1" style="21" min="4" max="4"/>
    <col width="14" customWidth="1" style="21" min="5" max="6"/>
    <col width="11" customWidth="1" style="21" min="7" max="7"/>
    <col width="16" customWidth="1" style="21" min="8" max="8"/>
    <col width="14" customWidth="1" style="21" min="9" max="9"/>
    <col width="12" customWidth="1" style="21" min="10" max="10"/>
    <col width="16" customWidth="1" style="21" min="11" max="11"/>
    <col width="13" customWidth="1" style="21" min="12" max="12"/>
  </cols>
  <sheetData>
    <row r="1" ht="17.4" customHeight="1" s="21">
      <c r="A1" s="16" t="inlineStr">
        <is>
          <t>EXPENSES &amp; REIMBURSEMENTS</t>
        </is>
      </c>
    </row>
    <row r="2">
      <c r="A2" t="inlineStr">
        <is>
          <t>Distinguishes an estate-paid expense from an executor/family advance that still needs reimbursing.</t>
        </is>
      </c>
    </row>
    <row r="3" ht="15.6" customHeight="1" s="21">
      <c r="A3" s="1" t="inlineStr">
        <is>
          <t>Description</t>
        </is>
      </c>
      <c r="B3" s="1" t="inlineStr">
        <is>
          <t>Date</t>
        </is>
      </c>
      <c r="C3" s="1" t="inlineStr">
        <is>
          <t>Category</t>
        </is>
      </c>
      <c r="D3" s="1" t="inlineStr">
        <is>
          <t>Notes</t>
        </is>
      </c>
      <c r="E3" s="1" t="inlineStr">
        <is>
          <t>Payer</t>
        </is>
      </c>
      <c r="F3" s="1" t="inlineStr">
        <is>
          <t>Type</t>
        </is>
      </c>
      <c r="G3" s="1" t="inlineStr">
        <is>
          <t>Amount</t>
        </is>
      </c>
      <c r="H3" s="1" t="inlineStr">
        <is>
          <t>Reimbursement Requested?</t>
        </is>
      </c>
      <c r="I3" s="1" t="inlineStr">
        <is>
          <t>Reimbursement Paid?</t>
        </is>
      </c>
      <c r="J3" s="1" t="inlineStr">
        <is>
          <t>Amount Reimbursed</t>
        </is>
      </c>
      <c r="K3" s="1" t="inlineStr">
        <is>
          <t>Evidence Status</t>
        </is>
      </c>
      <c r="L3" s="1" t="inlineStr">
        <is>
          <t>Outstanding (auto)</t>
        </is>
      </c>
    </row>
    <row r="4">
      <c r="A4" s="4" t="inlineStr">
        <is>
          <t>Attorney retainer</t>
        </is>
      </c>
      <c r="B4" s="27" t="n">
        <v>46269</v>
      </c>
      <c r="C4" s="4" t="inlineStr">
        <is>
          <t>Professional Fees</t>
        </is>
      </c>
      <c r="D4" s="4" t="inlineStr">
        <is>
          <t>Estate attorney initial retainer</t>
        </is>
      </c>
      <c r="E4" s="4" t="inlineStr">
        <is>
          <t>Estate</t>
        </is>
      </c>
      <c r="F4" s="4" t="inlineStr">
        <is>
          <t>Estate-Paid</t>
        </is>
      </c>
      <c r="G4" s="28" t="n">
        <v>1500</v>
      </c>
      <c r="H4" s="4" t="inlineStr">
        <is>
          <t>N/A</t>
        </is>
      </c>
      <c r="I4" s="4" t="inlineStr">
        <is>
          <t>N/A</t>
        </is>
      </c>
      <c r="J4" s="28" t="n">
        <v>0</v>
      </c>
      <c r="K4" s="4" t="inlineStr">
        <is>
          <t>Provided</t>
        </is>
      </c>
      <c r="L4" s="29">
        <f>IF($A4="",0,IF($H4="Yes",IF(ISNUMBER($G4),$G4,0)-IF(ISNUMBER($J4),$J4,0),0))</f>
        <v/>
      </c>
    </row>
    <row r="5">
      <c r="A5" s="4" t="inlineStr">
        <is>
          <t>Locksmith -- change home locks</t>
        </is>
      </c>
      <c r="B5" s="27" t="n">
        <v>46205</v>
      </c>
      <c r="C5" s="4" t="inlineStr">
        <is>
          <t>Property Maintenance</t>
        </is>
      </c>
      <c r="D5" s="4" t="inlineStr">
        <is>
          <t>Rekey residence after death</t>
        </is>
      </c>
      <c r="E5" s="4" t="inlineStr">
        <is>
          <t>Nadia Doyle</t>
        </is>
      </c>
      <c r="F5" s="4" t="inlineStr">
        <is>
          <t>Executor Advance</t>
        </is>
      </c>
      <c r="G5" s="28" t="n">
        <v>145</v>
      </c>
      <c r="H5" s="4" t="inlineStr">
        <is>
          <t>Yes</t>
        </is>
      </c>
      <c r="I5" s="4" t="inlineStr">
        <is>
          <t>Yes</t>
        </is>
      </c>
      <c r="J5" s="28" t="n">
        <v>145</v>
      </c>
      <c r="K5" s="4" t="inlineStr">
        <is>
          <t>Provided</t>
        </is>
      </c>
      <c r="L5" s="29">
        <f>IF($A5="",0,IF($H5="Yes",IF(ISNUMBER($G5),$G5,0)-IF(ISNUMBER($J5),$J5,0),0))</f>
        <v/>
      </c>
    </row>
    <row r="6">
      <c r="A6" s="4" t="inlineStr">
        <is>
          <t>Travel to probate filing</t>
        </is>
      </c>
      <c r="B6" s="27" t="n">
        <v>46227</v>
      </c>
      <c r="C6" s="4" t="inlineStr">
        <is>
          <t>Executor Travel</t>
        </is>
      </c>
      <c r="D6" s="4" t="inlineStr">
        <is>
          <t>Mileage to county courthouse</t>
        </is>
      </c>
      <c r="E6" s="4" t="inlineStr">
        <is>
          <t>Nadia Doyle</t>
        </is>
      </c>
      <c r="F6" s="4" t="inlineStr">
        <is>
          <t>Executor Advance</t>
        </is>
      </c>
      <c r="G6" s="28" t="n">
        <v>38.5</v>
      </c>
      <c r="H6" s="4" t="inlineStr">
        <is>
          <t>Yes</t>
        </is>
      </c>
      <c r="I6" s="4" t="inlineStr">
        <is>
          <t>No</t>
        </is>
      </c>
      <c r="J6" s="28" t="n">
        <v>0</v>
      </c>
      <c r="K6" s="4" t="inlineStr">
        <is>
          <t>Provided</t>
        </is>
      </c>
      <c r="L6" s="29">
        <f>IF($A6="",0,IF($H6="Yes",IF(ISNUMBER($G6),$G6,0)-IF(ISNUMBER($J6),$J6,0),0))</f>
        <v/>
      </c>
    </row>
    <row r="7">
      <c r="A7" s="4" t="inlineStr">
        <is>
          <t>Storage unit -- household goods</t>
        </is>
      </c>
      <c r="B7" s="27" t="n">
        <v>46247</v>
      </c>
      <c r="C7" s="4" t="inlineStr">
        <is>
          <t>Property Maintenance</t>
        </is>
      </c>
      <c r="D7" s="4" t="inlineStr">
        <is>
          <t>Month 1 storage</t>
        </is>
      </c>
      <c r="E7" s="4" t="inlineStr">
        <is>
          <t>Nadia Doyle</t>
        </is>
      </c>
      <c r="F7" s="4" t="inlineStr">
        <is>
          <t>Executor Advance</t>
        </is>
      </c>
      <c r="G7" s="28" t="n">
        <v>95</v>
      </c>
      <c r="H7" s="4" t="inlineStr">
        <is>
          <t>Yes</t>
        </is>
      </c>
      <c r="I7" s="4" t="inlineStr">
        <is>
          <t>Partial</t>
        </is>
      </c>
      <c r="J7" s="28" t="n">
        <v>50</v>
      </c>
      <c r="K7" s="4" t="inlineStr">
        <is>
          <t>Provided</t>
        </is>
      </c>
      <c r="L7" s="29">
        <f>IF($A7="",0,IF($H7="Yes",IF(ISNUMBER($G7),$G7,0)-IF(ISNUMBER($J7),$J7,0),0))</f>
        <v/>
      </c>
    </row>
    <row r="8">
      <c r="A8" s="4" t="inlineStr">
        <is>
          <t>Certified mail -- creditor notices</t>
        </is>
      </c>
      <c r="B8" s="27" t="n">
        <v>46257</v>
      </c>
      <c r="C8" s="4" t="inlineStr">
        <is>
          <t>Administrative</t>
        </is>
      </c>
      <c r="D8" s="4" t="inlineStr">
        <is>
          <t>Certified mail to known creditors</t>
        </is>
      </c>
      <c r="E8" s="4" t="inlineStr">
        <is>
          <t>Nadia Doyle</t>
        </is>
      </c>
      <c r="F8" s="4" t="inlineStr">
        <is>
          <t>Executor Advance</t>
        </is>
      </c>
      <c r="G8" s="28" t="n">
        <v>22.4</v>
      </c>
      <c r="H8" s="4" t="inlineStr">
        <is>
          <t>No</t>
        </is>
      </c>
      <c r="I8" s="4" t="inlineStr">
        <is>
          <t>N/A</t>
        </is>
      </c>
      <c r="J8" s="28" t="n">
        <v>0</v>
      </c>
      <c r="K8" s="4" t="inlineStr">
        <is>
          <t>Not Applicable</t>
        </is>
      </c>
      <c r="L8" s="29">
        <f>IF($A8="",0,IF($H8="Yes",IF(ISNUMBER($G8),$G8,0)-IF(ISNUMBER($J8),$J8,0),0))</f>
        <v/>
      </c>
    </row>
    <row r="9">
      <c r="A9" s="4" t="n"/>
      <c r="B9" s="4" t="n"/>
      <c r="C9" s="4" t="n"/>
      <c r="D9" s="4" t="n"/>
      <c r="E9" s="4" t="n"/>
      <c r="F9" s="4" t="n"/>
      <c r="G9" s="4" t="n"/>
      <c r="H9" s="4" t="n"/>
      <c r="I9" s="4" t="n"/>
      <c r="J9" s="4" t="n"/>
      <c r="K9" s="4" t="n"/>
      <c r="L9" s="29">
        <f>IF($A9="",0,IF($H9="Yes",IF(ISNUMBER($G9),$G9,0)-IF(ISNUMBER($J9),$J9,0),0))</f>
        <v/>
      </c>
    </row>
    <row r="10">
      <c r="A10" s="4" t="n"/>
      <c r="B10" s="27" t="n"/>
      <c r="C10" s="4" t="n"/>
      <c r="D10" s="4" t="n"/>
      <c r="E10" s="4" t="n"/>
      <c r="F10" s="4" t="n"/>
      <c r="G10" s="28" t="n"/>
      <c r="H10" s="4" t="n"/>
      <c r="I10" s="4" t="n"/>
      <c r="J10" s="28" t="n"/>
      <c r="K10" s="4" t="n"/>
      <c r="L10" s="29">
        <f>IF($A10="",0,IF($H10="Yes",IF(ISNUMBER($G10),$G10,0)-IF(ISNUMBER($J10),$J10,0),0))</f>
        <v/>
      </c>
    </row>
    <row r="11">
      <c r="A11" s="4" t="n"/>
      <c r="B11" s="27" t="n"/>
      <c r="C11" s="4" t="n"/>
      <c r="D11" s="4" t="n"/>
      <c r="E11" s="4" t="n"/>
      <c r="F11" s="4" t="n"/>
      <c r="G11" s="28" t="n"/>
      <c r="H11" s="4" t="n"/>
      <c r="I11" s="4" t="n"/>
      <c r="J11" s="28" t="n"/>
      <c r="K11" s="4" t="n"/>
      <c r="L11" s="29">
        <f>IF($A11="",0,IF($H11="Yes",IF(ISNUMBER($G11),$G11,0)-IF(ISNUMBER($J11),$J11,0),0))</f>
        <v/>
      </c>
    </row>
    <row r="12">
      <c r="A12" s="4" t="n"/>
      <c r="B12" s="27" t="n"/>
      <c r="C12" s="4" t="n"/>
      <c r="D12" s="4" t="n"/>
      <c r="E12" s="4" t="n"/>
      <c r="F12" s="4" t="n"/>
      <c r="G12" s="28" t="n"/>
      <c r="H12" s="4" t="n"/>
      <c r="I12" s="4" t="n"/>
      <c r="J12" s="28" t="n"/>
      <c r="K12" s="4" t="n"/>
      <c r="L12" s="29">
        <f>IF($A12="",0,IF($H12="Yes",IF(ISNUMBER($G12),$G12,0)-IF(ISNUMBER($J12),$J12,0),0))</f>
        <v/>
      </c>
    </row>
    <row r="13">
      <c r="A13" s="4" t="n"/>
      <c r="B13" s="27" t="n"/>
      <c r="C13" s="4" t="n"/>
      <c r="D13" s="4" t="n"/>
      <c r="E13" s="4" t="n"/>
      <c r="F13" s="4" t="n"/>
      <c r="G13" s="28" t="n"/>
      <c r="H13" s="4" t="n"/>
      <c r="I13" s="4" t="n"/>
      <c r="J13" s="28" t="n"/>
      <c r="K13" s="4" t="n"/>
      <c r="L13" s="29">
        <f>IF($A13="",0,IF($H13="Yes",IF(ISNUMBER($G13),$G13,0)-IF(ISNUMBER($J13),$J13,0),0))</f>
        <v/>
      </c>
    </row>
    <row r="14">
      <c r="A14" s="4" t="n"/>
      <c r="B14" s="27" t="n"/>
      <c r="C14" s="4" t="n"/>
      <c r="D14" s="4" t="n"/>
      <c r="E14" s="4" t="n"/>
      <c r="F14" s="4" t="n"/>
      <c r="G14" s="28" t="n"/>
      <c r="H14" s="4" t="n"/>
      <c r="I14" s="4" t="n"/>
      <c r="J14" s="28" t="n"/>
      <c r="K14" s="4" t="n"/>
      <c r="L14" s="29">
        <f>IF($A14="",0,IF($H14="Yes",IF(ISNUMBER($G14),$G14,0)-IF(ISNUMBER($J14),$J14,0),0))</f>
        <v/>
      </c>
    </row>
    <row r="15">
      <c r="A15" s="4" t="n"/>
      <c r="B15" s="27" t="n"/>
      <c r="C15" s="4" t="n"/>
      <c r="D15" s="4" t="n"/>
      <c r="E15" s="4" t="n"/>
      <c r="F15" s="4" t="n"/>
      <c r="G15" s="28" t="n"/>
      <c r="H15" s="4" t="n"/>
      <c r="I15" s="4" t="n"/>
      <c r="J15" s="28" t="n"/>
      <c r="K15" s="4" t="n"/>
      <c r="L15" s="29">
        <f>IF($A15="",0,IF($H15="Yes",IF(ISNUMBER($G15),$G15,0)-IF(ISNUMBER($J15),$J15,0),0))</f>
        <v/>
      </c>
    </row>
    <row r="16">
      <c r="A16" s="4" t="n"/>
      <c r="B16" s="27" t="n"/>
      <c r="C16" s="4" t="n"/>
      <c r="D16" s="4" t="n"/>
      <c r="E16" s="4" t="n"/>
      <c r="F16" s="4" t="n"/>
      <c r="G16" s="28" t="n"/>
      <c r="H16" s="4" t="n"/>
      <c r="I16" s="4" t="n"/>
      <c r="J16" s="28" t="n"/>
      <c r="K16" s="4" t="n"/>
      <c r="L16" s="29">
        <f>IF($A16="",0,IF($H16="Yes",IF(ISNUMBER($G16),$G16,0)-IF(ISNUMBER($J16),$J16,0),0))</f>
        <v/>
      </c>
    </row>
    <row r="17">
      <c r="A17" s="4" t="n"/>
      <c r="B17" s="27" t="n"/>
      <c r="C17" s="4" t="n"/>
      <c r="D17" s="4" t="n"/>
      <c r="E17" s="4" t="n"/>
      <c r="F17" s="4" t="n"/>
      <c r="G17" s="28" t="n"/>
      <c r="H17" s="4" t="n"/>
      <c r="I17" s="4" t="n"/>
      <c r="J17" s="28" t="n"/>
      <c r="K17" s="4" t="n"/>
      <c r="L17" s="29">
        <f>IF($A17="",0,IF($H17="Yes",IF(ISNUMBER($G17),$G17,0)-IF(ISNUMBER($J17),$J17,0),0))</f>
        <v/>
      </c>
    </row>
    <row r="18">
      <c r="A18" s="4" t="n"/>
      <c r="B18" s="27" t="n"/>
      <c r="C18" s="4" t="n"/>
      <c r="D18" s="4" t="n"/>
      <c r="E18" s="4" t="n"/>
      <c r="F18" s="4" t="n"/>
      <c r="G18" s="28" t="n"/>
      <c r="H18" s="4" t="n"/>
      <c r="I18" s="4" t="n"/>
      <c r="J18" s="28" t="n"/>
      <c r="K18" s="4" t="n"/>
      <c r="L18" s="29">
        <f>IF($A18="",0,IF($H18="Yes",IF(ISNUMBER($G18),$G18,0)-IF(ISNUMBER($J18),$J18,0),0))</f>
        <v/>
      </c>
    </row>
    <row r="19">
      <c r="A19" s="4" t="n"/>
      <c r="B19" s="27" t="n"/>
      <c r="C19" s="4" t="n"/>
      <c r="D19" s="4" t="n"/>
      <c r="E19" s="4" t="n"/>
      <c r="F19" s="4" t="n"/>
      <c r="G19" s="28" t="n"/>
      <c r="H19" s="4" t="n"/>
      <c r="I19" s="4" t="n"/>
      <c r="J19" s="28" t="n"/>
      <c r="K19" s="4" t="n"/>
      <c r="L19" s="29">
        <f>IF($A19="",0,IF($H19="Yes",IF(ISNUMBER($G19),$G19,0)-IF(ISNUMBER($J19),$J19,0),0))</f>
        <v/>
      </c>
    </row>
    <row r="20">
      <c r="A20" s="4" t="n"/>
      <c r="B20" s="27" t="n"/>
      <c r="C20" s="4" t="n"/>
      <c r="D20" s="4" t="n"/>
      <c r="E20" s="4" t="n"/>
      <c r="F20" s="4" t="n"/>
      <c r="G20" s="28" t="n"/>
      <c r="H20" s="4" t="n"/>
      <c r="I20" s="4" t="n"/>
      <c r="J20" s="28" t="n"/>
      <c r="K20" s="4" t="n"/>
      <c r="L20" s="29">
        <f>IF($A20="",0,IF($H20="Yes",IF(ISNUMBER($G20),$G20,0)-IF(ISNUMBER($J20),$J20,0),0))</f>
        <v/>
      </c>
    </row>
    <row r="21">
      <c r="A21" s="4" t="n"/>
      <c r="B21" s="27" t="n"/>
      <c r="C21" s="4" t="n"/>
      <c r="D21" s="4" t="n"/>
      <c r="E21" s="4" t="n"/>
      <c r="F21" s="4" t="n"/>
      <c r="G21" s="28" t="n"/>
      <c r="H21" s="4" t="n"/>
      <c r="I21" s="4" t="n"/>
      <c r="J21" s="28" t="n"/>
      <c r="K21" s="4" t="n"/>
      <c r="L21" s="29">
        <f>IF($A21="",0,IF($H21="Yes",IF(ISNUMBER($G21),$G21,0)-IF(ISNUMBER($J21),$J21,0),0))</f>
        <v/>
      </c>
    </row>
    <row r="22">
      <c r="A22" s="4" t="n"/>
      <c r="B22" s="27" t="n"/>
      <c r="C22" s="4" t="n"/>
      <c r="D22" s="4" t="n"/>
      <c r="E22" s="4" t="n"/>
      <c r="F22" s="4" t="n"/>
      <c r="G22" s="28" t="n"/>
      <c r="H22" s="4" t="n"/>
      <c r="I22" s="4" t="n"/>
      <c r="J22" s="28" t="n"/>
      <c r="K22" s="4" t="n"/>
      <c r="L22" s="29">
        <f>IF($A22="",0,IF($H22="Yes",IF(ISNUMBER($G22),$G22,0)-IF(ISNUMBER($J22),$J22,0),0))</f>
        <v/>
      </c>
    </row>
    <row r="23">
      <c r="A23" s="4" t="n"/>
      <c r="B23" s="27" t="n"/>
      <c r="C23" s="4" t="n"/>
      <c r="D23" s="4" t="n"/>
      <c r="E23" s="4" t="n"/>
      <c r="F23" s="4" t="n"/>
      <c r="G23" s="28" t="n"/>
      <c r="H23" s="4" t="n"/>
      <c r="I23" s="4" t="n"/>
      <c r="J23" s="28" t="n"/>
      <c r="K23" s="4" t="n"/>
      <c r="L23" s="29">
        <f>IF($A23="",0,IF($H23="Yes",IF(ISNUMBER($G23),$G23,0)-IF(ISNUMBER($J23),$J23,0),0))</f>
        <v/>
      </c>
    </row>
    <row r="24">
      <c r="A24" s="4" t="n"/>
      <c r="B24" s="27" t="n"/>
      <c r="C24" s="4" t="n"/>
      <c r="D24" s="4" t="n"/>
      <c r="E24" s="4" t="n"/>
      <c r="F24" s="4" t="n"/>
      <c r="G24" s="28" t="n"/>
      <c r="H24" s="4" t="n"/>
      <c r="I24" s="4" t="n"/>
      <c r="J24" s="28" t="n"/>
      <c r="K24" s="4" t="n"/>
      <c r="L24" s="29">
        <f>IF($A24="",0,IF($H24="Yes",IF(ISNUMBER($G24),$G24,0)-IF(ISNUMBER($J24),$J24,0),0))</f>
        <v/>
      </c>
    </row>
    <row r="25">
      <c r="A25" s="4" t="n"/>
      <c r="B25" s="27" t="n"/>
      <c r="C25" s="4" t="n"/>
      <c r="D25" s="4" t="n"/>
      <c r="E25" s="4" t="n"/>
      <c r="F25" s="4" t="n"/>
      <c r="G25" s="28" t="n"/>
      <c r="H25" s="4" t="n"/>
      <c r="I25" s="4" t="n"/>
      <c r="J25" s="28" t="n"/>
      <c r="K25" s="4" t="n"/>
      <c r="L25" s="29">
        <f>IF($A25="",0,IF($H25="Yes",IF(ISNUMBER($G25),$G25,0)-IF(ISNUMBER($J25),$J25,0),0))</f>
        <v/>
      </c>
    </row>
    <row r="26">
      <c r="A26" s="4" t="n"/>
      <c r="B26" s="27" t="n"/>
      <c r="C26" s="4" t="n"/>
      <c r="D26" s="4" t="n"/>
      <c r="E26" s="4" t="n"/>
      <c r="F26" s="4" t="n"/>
      <c r="G26" s="28" t="n"/>
      <c r="H26" s="4" t="n"/>
      <c r="I26" s="4" t="n"/>
      <c r="J26" s="28" t="n"/>
      <c r="K26" s="4" t="n"/>
      <c r="L26" s="29">
        <f>IF($A26="",0,IF($H26="Yes",IF(ISNUMBER($G26),$G26,0)-IF(ISNUMBER($J26),$J26,0),0))</f>
        <v/>
      </c>
    </row>
    <row r="27">
      <c r="A27" s="4" t="n"/>
      <c r="B27" s="27" t="n"/>
      <c r="C27" s="4" t="n"/>
      <c r="D27" s="4" t="n"/>
      <c r="E27" s="4" t="n"/>
      <c r="F27" s="4" t="n"/>
      <c r="G27" s="28" t="n"/>
      <c r="H27" s="4" t="n"/>
      <c r="I27" s="4" t="n"/>
      <c r="J27" s="28" t="n"/>
      <c r="K27" s="4" t="n"/>
      <c r="L27" s="29">
        <f>IF($A27="",0,IF($H27="Yes",IF(ISNUMBER($G27),$G27,0)-IF(ISNUMBER($J27),$J27,0),0))</f>
        <v/>
      </c>
    </row>
    <row r="28">
      <c r="A28" s="4" t="n"/>
      <c r="B28" s="27" t="n"/>
      <c r="C28" s="4" t="n"/>
      <c r="D28" s="4" t="n"/>
      <c r="E28" s="4" t="n"/>
      <c r="F28" s="4" t="n"/>
      <c r="G28" s="28" t="n"/>
      <c r="H28" s="4" t="n"/>
      <c r="I28" s="4" t="n"/>
      <c r="J28" s="28" t="n"/>
      <c r="K28" s="4" t="n"/>
      <c r="L28" s="29">
        <f>IF($A28="",0,IF($H28="Yes",IF(ISNUMBER($G28),$G28,0)-IF(ISNUMBER($J28),$J28,0),0))</f>
        <v/>
      </c>
    </row>
    <row r="29">
      <c r="A29" s="4" t="n"/>
      <c r="B29" s="27" t="n"/>
      <c r="C29" s="4" t="n"/>
      <c r="D29" s="4" t="n"/>
      <c r="E29" s="4" t="n"/>
      <c r="F29" s="4" t="n"/>
      <c r="G29" s="28" t="n"/>
      <c r="H29" s="4" t="n"/>
      <c r="I29" s="4" t="n"/>
      <c r="J29" s="28" t="n"/>
      <c r="K29" s="4" t="n"/>
      <c r="L29" s="29">
        <f>IF($A29="",0,IF($H29="Yes",IF(ISNUMBER($G29),$G29,0)-IF(ISNUMBER($J29),$J29,0),0))</f>
        <v/>
      </c>
    </row>
    <row r="30">
      <c r="A30" s="4" t="n"/>
      <c r="B30" s="27" t="n"/>
      <c r="C30" s="4" t="n"/>
      <c r="D30" s="4" t="n"/>
      <c r="E30" s="4" t="n"/>
      <c r="F30" s="4" t="n"/>
      <c r="G30" s="28" t="n"/>
      <c r="H30" s="4" t="n"/>
      <c r="I30" s="4" t="n"/>
      <c r="J30" s="28" t="n"/>
      <c r="K30" s="4" t="n"/>
      <c r="L30" s="29">
        <f>IF($A30="",0,IF($H30="Yes",IF(ISNUMBER($G30),$G30,0)-IF(ISNUMBER($J30),$J30,0),0))</f>
        <v/>
      </c>
    </row>
    <row r="31">
      <c r="A31" s="4" t="n"/>
      <c r="B31" s="27" t="n"/>
      <c r="C31" s="4" t="n"/>
      <c r="D31" s="4" t="n"/>
      <c r="E31" s="4" t="n"/>
      <c r="F31" s="4" t="n"/>
      <c r="G31" s="28" t="n"/>
      <c r="H31" s="4" t="n"/>
      <c r="I31" s="4" t="n"/>
      <c r="J31" s="28" t="n"/>
      <c r="K31" s="4" t="n"/>
      <c r="L31" s="29">
        <f>IF($A31="",0,IF($H31="Yes",IF(ISNUMBER($G31),$G31,0)-IF(ISNUMBER($J31),$J31,0),0))</f>
        <v/>
      </c>
    </row>
    <row r="32">
      <c r="A32" s="4" t="n"/>
      <c r="B32" s="27" t="n"/>
      <c r="C32" s="4" t="n"/>
      <c r="D32" s="4" t="n"/>
      <c r="E32" s="4" t="n"/>
      <c r="F32" s="4" t="n"/>
      <c r="G32" s="28" t="n"/>
      <c r="H32" s="4" t="n"/>
      <c r="I32" s="4" t="n"/>
      <c r="J32" s="28" t="n"/>
      <c r="K32" s="4" t="n"/>
      <c r="L32" s="29">
        <f>IF($A32="",0,IF($H32="Yes",IF(ISNUMBER($G32),$G32,0)-IF(ISNUMBER($J32),$J32,0),0))</f>
        <v/>
      </c>
    </row>
    <row r="33">
      <c r="A33" s="4" t="n"/>
      <c r="B33" s="27" t="n"/>
      <c r="C33" s="4" t="n"/>
      <c r="D33" s="4" t="n"/>
      <c r="E33" s="4" t="n"/>
      <c r="F33" s="4" t="n"/>
      <c r="G33" s="28" t="n"/>
      <c r="H33" s="4" t="n"/>
      <c r="I33" s="4" t="n"/>
      <c r="J33" s="28" t="n"/>
      <c r="K33" s="4" t="n"/>
      <c r="L33" s="29">
        <f>IF($A33="",0,IF($H33="Yes",IF(ISNUMBER($G33),$G33,0)-IF(ISNUMBER($J33),$J33,0),0))</f>
        <v/>
      </c>
    </row>
    <row r="34">
      <c r="A34" s="4" t="n"/>
      <c r="B34" s="27" t="n"/>
      <c r="C34" s="4" t="n"/>
      <c r="D34" s="4" t="n"/>
      <c r="E34" s="4" t="n"/>
      <c r="F34" s="4" t="n"/>
      <c r="G34" s="28" t="n"/>
      <c r="H34" s="4" t="n"/>
      <c r="I34" s="4" t="n"/>
      <c r="J34" s="28" t="n"/>
      <c r="K34" s="4" t="n"/>
      <c r="L34" s="29">
        <f>IF($A34="",0,IF($H34="Yes",IF(ISNUMBER($G34),$G34,0)-IF(ISNUMBER($J34),$J34,0),0))</f>
        <v/>
      </c>
    </row>
    <row r="35">
      <c r="A35" s="4" t="n"/>
      <c r="B35" s="27" t="n"/>
      <c r="C35" s="4" t="n"/>
      <c r="D35" s="4" t="n"/>
      <c r="E35" s="4" t="n"/>
      <c r="F35" s="4" t="n"/>
      <c r="G35" s="28" t="n"/>
      <c r="H35" s="4" t="n"/>
      <c r="I35" s="4" t="n"/>
      <c r="J35" s="28" t="n"/>
      <c r="K35" s="4" t="n"/>
      <c r="L35" s="29">
        <f>IF($A35="",0,IF($H35="Yes",IF(ISNUMBER($G35),$G35,0)-IF(ISNUMBER($J35),$J35,0),0))</f>
        <v/>
      </c>
    </row>
    <row r="36">
      <c r="A36" s="4" t="n"/>
      <c r="B36" s="27" t="n"/>
      <c r="C36" s="4" t="n"/>
      <c r="D36" s="4" t="n"/>
      <c r="E36" s="4" t="n"/>
      <c r="F36" s="4" t="n"/>
      <c r="G36" s="28" t="n"/>
      <c r="H36" s="4" t="n"/>
      <c r="I36" s="4" t="n"/>
      <c r="J36" s="28" t="n"/>
      <c r="K36" s="4" t="n"/>
      <c r="L36" s="29">
        <f>IF($A36="",0,IF($H36="Yes",IF(ISNUMBER($G36),$G36,0)-IF(ISNUMBER($J36),$J36,0),0))</f>
        <v/>
      </c>
    </row>
    <row r="37">
      <c r="A37" s="4" t="n"/>
      <c r="B37" s="27" t="n"/>
      <c r="C37" s="4" t="n"/>
      <c r="D37" s="4" t="n"/>
      <c r="E37" s="4" t="n"/>
      <c r="F37" s="4" t="n"/>
      <c r="G37" s="28" t="n"/>
      <c r="H37" s="4" t="n"/>
      <c r="I37" s="4" t="n"/>
      <c r="J37" s="28" t="n"/>
      <c r="K37" s="4" t="n"/>
      <c r="L37" s="29">
        <f>IF($A37="",0,IF($H37="Yes",IF(ISNUMBER($G37),$G37,0)-IF(ISNUMBER($J37),$J37,0),0))</f>
        <v/>
      </c>
    </row>
    <row r="38">
      <c r="A38" s="4" t="n"/>
      <c r="B38" s="27" t="n"/>
      <c r="C38" s="4" t="n"/>
      <c r="D38" s="4" t="n"/>
      <c r="E38" s="4" t="n"/>
      <c r="F38" s="4" t="n"/>
      <c r="G38" s="28" t="n"/>
      <c r="H38" s="4" t="n"/>
      <c r="I38" s="4" t="n"/>
      <c r="J38" s="28" t="n"/>
      <c r="K38" s="4" t="n"/>
      <c r="L38" s="29">
        <f>IF($A38="",0,IF($H38="Yes",IF(ISNUMBER($G38),$G38,0)-IF(ISNUMBER($J38),$J38,0),0))</f>
        <v/>
      </c>
    </row>
    <row r="39">
      <c r="A39" s="4" t="n"/>
      <c r="B39" s="27" t="n"/>
      <c r="C39" s="4" t="n"/>
      <c r="D39" s="4" t="n"/>
      <c r="E39" s="4" t="n"/>
      <c r="F39" s="4" t="n"/>
      <c r="G39" s="28" t="n"/>
      <c r="H39" s="4" t="n"/>
      <c r="I39" s="4" t="n"/>
      <c r="J39" s="28" t="n"/>
      <c r="K39" s="4" t="n"/>
      <c r="L39" s="29">
        <f>IF($A39="",0,IF($H39="Yes",IF(ISNUMBER($G39),$G39,0)-IF(ISNUMBER($J39),$J39,0),0))</f>
        <v/>
      </c>
    </row>
    <row r="40">
      <c r="A40" s="4" t="n"/>
      <c r="B40" s="27" t="n"/>
      <c r="C40" s="4" t="n"/>
      <c r="D40" s="4" t="n"/>
      <c r="E40" s="4" t="n"/>
      <c r="F40" s="4" t="n"/>
      <c r="G40" s="28" t="n"/>
      <c r="H40" s="4" t="n"/>
      <c r="I40" s="4" t="n"/>
      <c r="J40" s="28" t="n"/>
      <c r="K40" s="4" t="n"/>
      <c r="L40" s="29">
        <f>IF($A40="",0,IF($H40="Yes",IF(ISNUMBER($G40),$G40,0)-IF(ISNUMBER($J40),$J40,0),0))</f>
        <v/>
      </c>
    </row>
    <row r="41">
      <c r="A41" s="4" t="n"/>
      <c r="B41" s="27" t="n"/>
      <c r="C41" s="4" t="n"/>
      <c r="D41" s="4" t="n"/>
      <c r="E41" s="4" t="n"/>
      <c r="F41" s="4" t="n"/>
      <c r="G41" s="28" t="n"/>
      <c r="H41" s="4" t="n"/>
      <c r="I41" s="4" t="n"/>
      <c r="J41" s="28" t="n"/>
      <c r="K41" s="4" t="n"/>
      <c r="L41" s="29">
        <f>IF($A41="",0,IF($H41="Yes",IF(ISNUMBER($G41),$G41,0)-IF(ISNUMBER($J41),$J41,0),0))</f>
        <v/>
      </c>
    </row>
    <row r="42">
      <c r="A42" s="4" t="n"/>
      <c r="B42" s="27" t="n"/>
      <c r="C42" s="4" t="n"/>
      <c r="D42" s="4" t="n"/>
      <c r="E42" s="4" t="n"/>
      <c r="F42" s="4" t="n"/>
      <c r="G42" s="28" t="n"/>
      <c r="H42" s="4" t="n"/>
      <c r="I42" s="4" t="n"/>
      <c r="J42" s="28" t="n"/>
      <c r="K42" s="4" t="n"/>
      <c r="L42" s="29">
        <f>IF($A42="",0,IF($H42="Yes",IF(ISNUMBER($G42),$G42,0)-IF(ISNUMBER($J42),$J42,0),0))</f>
        <v/>
      </c>
    </row>
    <row r="43">
      <c r="A43" s="4" t="n"/>
      <c r="B43" s="27" t="n"/>
      <c r="C43" s="4" t="n"/>
      <c r="D43" s="4" t="n"/>
      <c r="E43" s="4" t="n"/>
      <c r="F43" s="4" t="n"/>
      <c r="G43" s="28" t="n"/>
      <c r="H43" s="4" t="n"/>
      <c r="I43" s="4" t="n"/>
      <c r="J43" s="28" t="n"/>
      <c r="K43" s="4" t="n"/>
      <c r="L43" s="29">
        <f>IF($A43="",0,IF($H43="Yes",IF(ISNUMBER($G43),$G43,0)-IF(ISNUMBER($J43),$J43,0),0))</f>
        <v/>
      </c>
    </row>
    <row r="44">
      <c r="A44" s="4" t="n"/>
      <c r="B44" s="27" t="n"/>
      <c r="C44" s="4" t="n"/>
      <c r="D44" s="4" t="n"/>
      <c r="E44" s="4" t="n"/>
      <c r="F44" s="4" t="n"/>
      <c r="G44" s="28" t="n"/>
      <c r="H44" s="4" t="n"/>
      <c r="I44" s="4" t="n"/>
      <c r="J44" s="28" t="n"/>
      <c r="K44" s="4" t="n"/>
      <c r="L44" s="29">
        <f>IF($A44="",0,IF($H44="Yes",IF(ISNUMBER($G44),$G44,0)-IF(ISNUMBER($J44),$J44,0),0))</f>
        <v/>
      </c>
    </row>
    <row r="45">
      <c r="A45" s="4" t="n"/>
      <c r="B45" s="27" t="n"/>
      <c r="C45" s="4" t="n"/>
      <c r="D45" s="4" t="n"/>
      <c r="E45" s="4" t="n"/>
      <c r="F45" s="4" t="n"/>
      <c r="G45" s="28" t="n"/>
      <c r="H45" s="4" t="n"/>
      <c r="I45" s="4" t="n"/>
      <c r="J45" s="28" t="n"/>
      <c r="K45" s="4" t="n"/>
      <c r="L45" s="29">
        <f>IF($A45="",0,IF($H45="Yes",IF(ISNUMBER($G45),$G45,0)-IF(ISNUMBER($J45),$J45,0),0))</f>
        <v/>
      </c>
    </row>
    <row r="46">
      <c r="A46" s="4" t="n"/>
      <c r="B46" s="27" t="n"/>
      <c r="C46" s="4" t="n"/>
      <c r="D46" s="4" t="n"/>
      <c r="E46" s="4" t="n"/>
      <c r="F46" s="4" t="n"/>
      <c r="G46" s="28" t="n"/>
      <c r="H46" s="4" t="n"/>
      <c r="I46" s="4" t="n"/>
      <c r="J46" s="28" t="n"/>
      <c r="K46" s="4" t="n"/>
      <c r="L46" s="29">
        <f>IF($A46="",0,IF($H46="Yes",IF(ISNUMBER($G46),$G46,0)-IF(ISNUMBER($J46),$J46,0),0))</f>
        <v/>
      </c>
    </row>
    <row r="47">
      <c r="A47" s="4" t="n"/>
      <c r="B47" s="27" t="n"/>
      <c r="C47" s="4" t="n"/>
      <c r="D47" s="4" t="n"/>
      <c r="E47" s="4" t="n"/>
      <c r="F47" s="4" t="n"/>
      <c r="G47" s="28" t="n"/>
      <c r="H47" s="4" t="n"/>
      <c r="I47" s="4" t="n"/>
      <c r="J47" s="28" t="n"/>
      <c r="K47" s="4" t="n"/>
      <c r="L47" s="29">
        <f>IF($A47="",0,IF($H47="Yes",IF(ISNUMBER($G47),$G47,0)-IF(ISNUMBER($J47),$J47,0),0))</f>
        <v/>
      </c>
    </row>
    <row r="48">
      <c r="A48" s="4" t="n"/>
      <c r="B48" s="27" t="n"/>
      <c r="C48" s="4" t="n"/>
      <c r="D48" s="4" t="n"/>
      <c r="E48" s="4" t="n"/>
      <c r="F48" s="4" t="n"/>
      <c r="G48" s="28" t="n"/>
      <c r="H48" s="4" t="n"/>
      <c r="I48" s="4" t="n"/>
      <c r="J48" s="28" t="n"/>
      <c r="K48" s="4" t="n"/>
      <c r="L48" s="29">
        <f>IF($A48="",0,IF($H48="Yes",IF(ISNUMBER($G48),$G48,0)-IF(ISNUMBER($J48),$J48,0),0))</f>
        <v/>
      </c>
    </row>
    <row r="49">
      <c r="A49" s="4" t="n"/>
      <c r="B49" s="27" t="n"/>
      <c r="C49" s="4" t="n"/>
      <c r="D49" s="4" t="n"/>
      <c r="E49" s="4" t="n"/>
      <c r="F49" s="4" t="n"/>
      <c r="G49" s="28" t="n"/>
      <c r="H49" s="4" t="n"/>
      <c r="I49" s="4" t="n"/>
      <c r="J49" s="28" t="n"/>
      <c r="K49" s="4" t="n"/>
      <c r="L49" s="29">
        <f>IF($A49="",0,IF($H49="Yes",IF(ISNUMBER($G49),$G49,0)-IF(ISNUMBER($J49),$J49,0),0))</f>
        <v/>
      </c>
    </row>
    <row r="50">
      <c r="A50" s="4" t="n"/>
      <c r="B50" s="27" t="n"/>
      <c r="C50" s="4" t="n"/>
      <c r="D50" s="4" t="n"/>
      <c r="E50" s="4" t="n"/>
      <c r="F50" s="4" t="n"/>
      <c r="G50" s="28" t="n"/>
      <c r="H50" s="4" t="n"/>
      <c r="I50" s="4" t="n"/>
      <c r="J50" s="28" t="n"/>
      <c r="K50" s="4" t="n"/>
      <c r="L50" s="29">
        <f>IF($A50="",0,IF($H50="Yes",IF(ISNUMBER($G50),$G50,0)-IF(ISNUMBER($J50),$J50,0),0))</f>
        <v/>
      </c>
    </row>
    <row r="51">
      <c r="A51" s="4" t="n"/>
      <c r="B51" s="27" t="n"/>
      <c r="C51" s="4" t="n"/>
      <c r="D51" s="4" t="n"/>
      <c r="E51" s="4" t="n"/>
      <c r="F51" s="4" t="n"/>
      <c r="G51" s="28" t="n"/>
      <c r="H51" s="4" t="n"/>
      <c r="I51" s="4" t="n"/>
      <c r="J51" s="28" t="n"/>
      <c r="K51" s="4" t="n"/>
      <c r="L51" s="29">
        <f>IF($A51="",0,IF($H51="Yes",IF(ISNUMBER($G51),$G51,0)-IF(ISNUMBER($J51),$J51,0),0))</f>
        <v/>
      </c>
    </row>
    <row r="52">
      <c r="A52" s="4" t="n"/>
      <c r="B52" s="27" t="n"/>
      <c r="C52" s="4" t="n"/>
      <c r="D52" s="4" t="n"/>
      <c r="E52" s="4" t="n"/>
      <c r="F52" s="4" t="n"/>
      <c r="G52" s="28" t="n"/>
      <c r="H52" s="4" t="n"/>
      <c r="I52" s="4" t="n"/>
      <c r="J52" s="28" t="n"/>
      <c r="K52" s="4" t="n"/>
      <c r="L52" s="29">
        <f>IF($A52="",0,IF($H52="Yes",IF(ISNUMBER($G52),$G52,0)-IF(ISNUMBER($J52),$J52,0),0))</f>
        <v/>
      </c>
    </row>
    <row r="53">
      <c r="A53" s="4" t="n"/>
      <c r="B53" s="27" t="n"/>
      <c r="C53" s="4" t="n"/>
      <c r="D53" s="4" t="n"/>
      <c r="E53" s="4" t="n"/>
      <c r="F53" s="4" t="n"/>
      <c r="G53" s="28" t="n"/>
      <c r="H53" s="4" t="n"/>
      <c r="I53" s="4" t="n"/>
      <c r="J53" s="28" t="n"/>
      <c r="K53" s="4" t="n"/>
      <c r="L53" s="29">
        <f>IF($A53="",0,IF($H53="Yes",IF(ISNUMBER($G53),$G53,0)-IF(ISNUMBER($J53),$J53,0),0))</f>
        <v/>
      </c>
    </row>
    <row r="54">
      <c r="A54" s="4" t="n"/>
      <c r="B54" s="27" t="n"/>
      <c r="C54" s="4" t="n"/>
      <c r="D54" s="4" t="n"/>
      <c r="E54" s="4" t="n"/>
      <c r="F54" s="4" t="n"/>
      <c r="G54" s="28" t="n"/>
      <c r="H54" s="4" t="n"/>
      <c r="I54" s="4" t="n"/>
      <c r="J54" s="28" t="n"/>
      <c r="K54" s="4" t="n"/>
      <c r="L54" s="29">
        <f>IF($A54="",0,IF($H54="Yes",IF(ISNUMBER($G54),$G54,0)-IF(ISNUMBER($J54),$J54,0),0))</f>
        <v/>
      </c>
    </row>
    <row r="55">
      <c r="A55" s="4" t="n"/>
      <c r="B55" s="27" t="n"/>
      <c r="C55" s="4" t="n"/>
      <c r="D55" s="4" t="n"/>
      <c r="E55" s="4" t="n"/>
      <c r="F55" s="4" t="n"/>
      <c r="G55" s="28" t="n"/>
      <c r="H55" s="4" t="n"/>
      <c r="I55" s="4" t="n"/>
      <c r="J55" s="28" t="n"/>
      <c r="K55" s="4" t="n"/>
      <c r="L55" s="29">
        <f>IF($A55="",0,IF($H55="Yes",IF(ISNUMBER($G55),$G55,0)-IF(ISNUMBER($J55),$J55,0),0))</f>
        <v/>
      </c>
    </row>
    <row r="56">
      <c r="A56" s="4" t="n"/>
      <c r="B56" s="27" t="n"/>
      <c r="C56" s="4" t="n"/>
      <c r="D56" s="4" t="n"/>
      <c r="E56" s="4" t="n"/>
      <c r="F56" s="4" t="n"/>
      <c r="G56" s="28" t="n"/>
      <c r="H56" s="4" t="n"/>
      <c r="I56" s="4" t="n"/>
      <c r="J56" s="28" t="n"/>
      <c r="K56" s="4" t="n"/>
      <c r="L56" s="29">
        <f>IF($A56="",0,IF($H56="Yes",IF(ISNUMBER($G56),$G56,0)-IF(ISNUMBER($J56),$J56,0),0))</f>
        <v/>
      </c>
    </row>
    <row r="57">
      <c r="A57" s="4" t="n"/>
      <c r="B57" s="27" t="n"/>
      <c r="C57" s="4" t="n"/>
      <c r="D57" s="4" t="n"/>
      <c r="E57" s="4" t="n"/>
      <c r="F57" s="4" t="n"/>
      <c r="G57" s="28" t="n"/>
      <c r="H57" s="4" t="n"/>
      <c r="I57" s="4" t="n"/>
      <c r="J57" s="28" t="n"/>
      <c r="K57" s="4" t="n"/>
      <c r="L57" s="29">
        <f>IF($A57="",0,IF($H57="Yes",IF(ISNUMBER($G57),$G57,0)-IF(ISNUMBER($J57),$J57,0),0))</f>
        <v/>
      </c>
    </row>
    <row r="58">
      <c r="A58" s="4" t="n"/>
      <c r="B58" s="27" t="n"/>
      <c r="C58" s="4" t="n"/>
      <c r="D58" s="4" t="n"/>
      <c r="E58" s="4" t="n"/>
      <c r="F58" s="4" t="n"/>
      <c r="G58" s="28" t="n"/>
      <c r="H58" s="4" t="n"/>
      <c r="I58" s="4" t="n"/>
      <c r="J58" s="28" t="n"/>
      <c r="K58" s="4" t="n"/>
      <c r="L58" s="29">
        <f>IF($A58="",0,IF($H58="Yes",IF(ISNUMBER($G58),$G58,0)-IF(ISNUMBER($J58),$J58,0),0))</f>
        <v/>
      </c>
    </row>
    <row r="59">
      <c r="A59" s="4" t="n"/>
      <c r="B59" s="27" t="n"/>
      <c r="C59" s="4" t="n"/>
      <c r="D59" s="4" t="n"/>
      <c r="E59" s="4" t="n"/>
      <c r="F59" s="4" t="n"/>
      <c r="G59" s="28" t="n"/>
      <c r="H59" s="4" t="n"/>
      <c r="I59" s="4" t="n"/>
      <c r="J59" s="28" t="n"/>
      <c r="K59" s="4" t="n"/>
      <c r="L59" s="29">
        <f>IF($A59="",0,IF($H59="Yes",IF(ISNUMBER($G59),$G59,0)-IF(ISNUMBER($J59),$J59,0),0))</f>
        <v/>
      </c>
    </row>
    <row r="60">
      <c r="A60" s="4" t="n"/>
      <c r="B60" s="27" t="n"/>
      <c r="C60" s="4" t="n"/>
      <c r="D60" s="4" t="n"/>
      <c r="E60" s="4" t="n"/>
      <c r="F60" s="4" t="n"/>
      <c r="G60" s="28" t="n"/>
      <c r="H60" s="4" t="n"/>
      <c r="I60" s="4" t="n"/>
      <c r="J60" s="28" t="n"/>
      <c r="K60" s="4" t="n"/>
      <c r="L60" s="29">
        <f>IF($A60="",0,IF($H60="Yes",IF(ISNUMBER($G60),$G60,0)-IF(ISNUMBER($J60),$J60,0),0))</f>
        <v/>
      </c>
    </row>
    <row r="61">
      <c r="A61" s="4" t="n"/>
      <c r="B61" s="27" t="n"/>
      <c r="C61" s="4" t="n"/>
      <c r="D61" s="4" t="n"/>
      <c r="E61" s="4" t="n"/>
      <c r="F61" s="4" t="n"/>
      <c r="G61" s="28" t="n"/>
      <c r="H61" s="4" t="n"/>
      <c r="I61" s="4" t="n"/>
      <c r="J61" s="28" t="n"/>
      <c r="K61" s="4" t="n"/>
      <c r="L61" s="29">
        <f>IF($A61="",0,IF($H61="Yes",IF(ISNUMBER($G61),$G61,0)-IF(ISNUMBER($J61),$J61,0),0))</f>
        <v/>
      </c>
    </row>
    <row r="62">
      <c r="A62" s="4" t="n"/>
      <c r="B62" s="27" t="n"/>
      <c r="C62" s="4" t="n"/>
      <c r="D62" s="4" t="n"/>
      <c r="E62" s="4" t="n"/>
      <c r="F62" s="4" t="n"/>
      <c r="G62" s="28" t="n"/>
      <c r="H62" s="4" t="n"/>
      <c r="I62" s="4" t="n"/>
      <c r="J62" s="28" t="n"/>
      <c r="K62" s="4" t="n"/>
      <c r="L62" s="29">
        <f>IF($A62="",0,IF($H62="Yes",IF(ISNUMBER($G62),$G62,0)-IF(ISNUMBER($J62),$J62,0),0))</f>
        <v/>
      </c>
    </row>
    <row r="63">
      <c r="A63" s="4" t="n"/>
      <c r="B63" s="27" t="n"/>
      <c r="C63" s="4" t="n"/>
      <c r="D63" s="4" t="n"/>
      <c r="E63" s="4" t="n"/>
      <c r="F63" s="4" t="n"/>
      <c r="G63" s="28" t="n"/>
      <c r="H63" s="4" t="n"/>
      <c r="I63" s="4" t="n"/>
      <c r="J63" s="28" t="n"/>
      <c r="K63" s="4" t="n"/>
      <c r="L63" s="29">
        <f>IF($A63="",0,IF($H63="Yes",IF(ISNUMBER($G63),$G63,0)-IF(ISNUMBER($J63),$J63,0),0))</f>
        <v/>
      </c>
    </row>
    <row r="64">
      <c r="A64" s="4" t="n"/>
      <c r="B64" s="27" t="n"/>
      <c r="C64" s="4" t="n"/>
      <c r="D64" s="4" t="n"/>
      <c r="E64" s="4" t="n"/>
      <c r="F64" s="4" t="n"/>
      <c r="G64" s="28" t="n"/>
      <c r="H64" s="4" t="n"/>
      <c r="I64" s="4" t="n"/>
      <c r="J64" s="28" t="n"/>
      <c r="K64" s="4" t="n"/>
      <c r="L64" s="29">
        <f>IF($A64="",0,IF($H64="Yes",IF(ISNUMBER($G64),$G64,0)-IF(ISNUMBER($J64),$J64,0),0))</f>
        <v/>
      </c>
    </row>
    <row r="65">
      <c r="A65" s="4" t="n"/>
      <c r="B65" s="27" t="n"/>
      <c r="C65" s="4" t="n"/>
      <c r="D65" s="4" t="n"/>
      <c r="E65" s="4" t="n"/>
      <c r="F65" s="4" t="n"/>
      <c r="G65" s="28" t="n"/>
      <c r="H65" s="4" t="n"/>
      <c r="I65" s="4" t="n"/>
      <c r="J65" s="28" t="n"/>
      <c r="K65" s="4" t="n"/>
      <c r="L65" s="29">
        <f>IF($A65="",0,IF($H65="Yes",IF(ISNUMBER($G65),$G65,0)-IF(ISNUMBER($J65),$J65,0),0))</f>
        <v/>
      </c>
    </row>
    <row r="66">
      <c r="A66" s="4" t="n"/>
      <c r="B66" s="27" t="n"/>
      <c r="C66" s="4" t="n"/>
      <c r="D66" s="4" t="n"/>
      <c r="E66" s="4" t="n"/>
      <c r="F66" s="4" t="n"/>
      <c r="G66" s="28" t="n"/>
      <c r="H66" s="4" t="n"/>
      <c r="I66" s="4" t="n"/>
      <c r="J66" s="28" t="n"/>
      <c r="K66" s="4" t="n"/>
      <c r="L66" s="29">
        <f>IF($A66="",0,IF($H66="Yes",IF(ISNUMBER($G66),$G66,0)-IF(ISNUMBER($J66),$J66,0),0))</f>
        <v/>
      </c>
    </row>
    <row r="67">
      <c r="A67" s="4" t="n"/>
      <c r="B67" s="27" t="n"/>
      <c r="C67" s="4" t="n"/>
      <c r="D67" s="4" t="n"/>
      <c r="E67" s="4" t="n"/>
      <c r="F67" s="4" t="n"/>
      <c r="G67" s="28" t="n"/>
      <c r="H67" s="4" t="n"/>
      <c r="I67" s="4" t="n"/>
      <c r="J67" s="28" t="n"/>
      <c r="K67" s="4" t="n"/>
      <c r="L67" s="29">
        <f>IF($A67="",0,IF($H67="Yes",IF(ISNUMBER($G67),$G67,0)-IF(ISNUMBER($J67),$J67,0),0))</f>
        <v/>
      </c>
    </row>
    <row r="68">
      <c r="A68" s="4" t="n"/>
      <c r="B68" s="27" t="n"/>
      <c r="C68" s="4" t="n"/>
      <c r="D68" s="4" t="n"/>
      <c r="E68" s="4" t="n"/>
      <c r="F68" s="4" t="n"/>
      <c r="G68" s="28" t="n"/>
      <c r="H68" s="4" t="n"/>
      <c r="I68" s="4" t="n"/>
      <c r="J68" s="28" t="n"/>
      <c r="K68" s="4" t="n"/>
      <c r="L68" s="29">
        <f>IF($A68="",0,IF($H68="Yes",IF(ISNUMBER($G68),$G68,0)-IF(ISNUMBER($J68),$J68,0),0))</f>
        <v/>
      </c>
    </row>
    <row r="69">
      <c r="A69" s="4" t="n"/>
      <c r="B69" s="27" t="n"/>
      <c r="C69" s="4" t="n"/>
      <c r="D69" s="4" t="n"/>
      <c r="E69" s="4" t="n"/>
      <c r="F69" s="4" t="n"/>
      <c r="G69" s="28" t="n"/>
      <c r="H69" s="4" t="n"/>
      <c r="I69" s="4" t="n"/>
      <c r="J69" s="28" t="n"/>
      <c r="K69" s="4" t="n"/>
      <c r="L69" s="29">
        <f>IF($A69="",0,IF($H69="Yes",IF(ISNUMBER($G69),$G69,0)-IF(ISNUMBER($J69),$J69,0),0))</f>
        <v/>
      </c>
    </row>
    <row r="70">
      <c r="A70" s="4" t="n"/>
      <c r="B70" s="27" t="n"/>
      <c r="C70" s="4" t="n"/>
      <c r="D70" s="4" t="n"/>
      <c r="E70" s="4" t="n"/>
      <c r="F70" s="4" t="n"/>
      <c r="G70" s="28" t="n"/>
      <c r="H70" s="4" t="n"/>
      <c r="I70" s="4" t="n"/>
      <c r="J70" s="28" t="n"/>
      <c r="K70" s="4" t="n"/>
      <c r="L70" s="29">
        <f>IF($A70="",0,IF($H70="Yes",IF(ISNUMBER($G70),$G70,0)-IF(ISNUMBER($J70),$J70,0),0))</f>
        <v/>
      </c>
    </row>
    <row r="71">
      <c r="A71" s="4" t="n"/>
      <c r="B71" s="27" t="n"/>
      <c r="C71" s="4" t="n"/>
      <c r="D71" s="4" t="n"/>
      <c r="E71" s="4" t="n"/>
      <c r="F71" s="4" t="n"/>
      <c r="G71" s="28" t="n"/>
      <c r="H71" s="4" t="n"/>
      <c r="I71" s="4" t="n"/>
      <c r="J71" s="28" t="n"/>
      <c r="K71" s="4" t="n"/>
      <c r="L71" s="29">
        <f>IF($A71="",0,IF($H71="Yes",IF(ISNUMBER($G71),$G71,0)-IF(ISNUMBER($J71),$J71,0),0))</f>
        <v/>
      </c>
    </row>
    <row r="72">
      <c r="A72" s="4" t="n"/>
      <c r="B72" s="27" t="n"/>
      <c r="C72" s="4" t="n"/>
      <c r="D72" s="4" t="n"/>
      <c r="E72" s="4" t="n"/>
      <c r="F72" s="4" t="n"/>
      <c r="G72" s="28" t="n"/>
      <c r="H72" s="4" t="n"/>
      <c r="I72" s="4" t="n"/>
      <c r="J72" s="28" t="n"/>
      <c r="K72" s="4" t="n"/>
      <c r="L72" s="29">
        <f>IF($A72="",0,IF($H72="Yes",IF(ISNUMBER($G72),$G72,0)-IF(ISNUMBER($J72),$J72,0),0))</f>
        <v/>
      </c>
    </row>
    <row r="73">
      <c r="A73" s="4" t="n"/>
      <c r="B73" s="27" t="n"/>
      <c r="C73" s="4" t="n"/>
      <c r="D73" s="4" t="n"/>
      <c r="E73" s="4" t="n"/>
      <c r="F73" s="4" t="n"/>
      <c r="G73" s="28" t="n"/>
      <c r="H73" s="4" t="n"/>
      <c r="I73" s="4" t="n"/>
      <c r="J73" s="28" t="n"/>
      <c r="K73" s="4" t="n"/>
      <c r="L73" s="29">
        <f>IF($A73="",0,IF($H73="Yes",IF(ISNUMBER($G73),$G73,0)-IF(ISNUMBER($J73),$J73,0),0))</f>
        <v/>
      </c>
    </row>
    <row r="74">
      <c r="A74" s="4" t="n"/>
      <c r="B74" s="27" t="n"/>
      <c r="C74" s="4" t="n"/>
      <c r="D74" s="4" t="n"/>
      <c r="E74" s="4" t="n"/>
      <c r="F74" s="4" t="n"/>
      <c r="G74" s="28" t="n"/>
      <c r="H74" s="4" t="n"/>
      <c r="I74" s="4" t="n"/>
      <c r="J74" s="28" t="n"/>
      <c r="K74" s="4" t="n"/>
      <c r="L74" s="29">
        <f>IF($A74="",0,IF($H74="Yes",IF(ISNUMBER($G74),$G74,0)-IF(ISNUMBER($J74),$J74,0),0))</f>
        <v/>
      </c>
    </row>
    <row r="75">
      <c r="A75" s="4" t="n"/>
      <c r="B75" s="27" t="n"/>
      <c r="C75" s="4" t="n"/>
      <c r="D75" s="4" t="n"/>
      <c r="E75" s="4" t="n"/>
      <c r="F75" s="4" t="n"/>
      <c r="G75" s="28" t="n"/>
      <c r="H75" s="4" t="n"/>
      <c r="I75" s="4" t="n"/>
      <c r="J75" s="28" t="n"/>
      <c r="K75" s="4" t="n"/>
      <c r="L75" s="29">
        <f>IF($A75="",0,IF($H75="Yes",IF(ISNUMBER($G75),$G75,0)-IF(ISNUMBER($J75),$J75,0),0))</f>
        <v/>
      </c>
    </row>
    <row r="76">
      <c r="A76" s="4" t="n"/>
      <c r="B76" s="27" t="n"/>
      <c r="C76" s="4" t="n"/>
      <c r="D76" s="4" t="n"/>
      <c r="E76" s="4" t="n"/>
      <c r="F76" s="4" t="n"/>
      <c r="G76" s="28" t="n"/>
      <c r="H76" s="4" t="n"/>
      <c r="I76" s="4" t="n"/>
      <c r="J76" s="28" t="n"/>
      <c r="K76" s="4" t="n"/>
      <c r="L76" s="29">
        <f>IF($A76="",0,IF($H76="Yes",IF(ISNUMBER($G76),$G76,0)-IF(ISNUMBER($J76),$J76,0),0))</f>
        <v/>
      </c>
    </row>
    <row r="77">
      <c r="A77" s="4" t="n"/>
      <c r="B77" s="27" t="n"/>
      <c r="C77" s="4" t="n"/>
      <c r="D77" s="4" t="n"/>
      <c r="E77" s="4" t="n"/>
      <c r="F77" s="4" t="n"/>
      <c r="G77" s="28" t="n"/>
      <c r="H77" s="4" t="n"/>
      <c r="I77" s="4" t="n"/>
      <c r="J77" s="28" t="n"/>
      <c r="K77" s="4" t="n"/>
      <c r="L77" s="29">
        <f>IF($A77="",0,IF($H77="Yes",IF(ISNUMBER($G77),$G77,0)-IF(ISNUMBER($J77),$J77,0),0))</f>
        <v/>
      </c>
    </row>
    <row r="78">
      <c r="A78" s="4" t="n"/>
      <c r="B78" s="27" t="n"/>
      <c r="C78" s="4" t="n"/>
      <c r="D78" s="4" t="n"/>
      <c r="E78" s="4" t="n"/>
      <c r="F78" s="4" t="n"/>
      <c r="G78" s="28" t="n"/>
      <c r="H78" s="4" t="n"/>
      <c r="I78" s="4" t="n"/>
      <c r="J78" s="28" t="n"/>
      <c r="K78" s="4" t="n"/>
      <c r="L78" s="29">
        <f>IF($A78="",0,IF($H78="Yes",IF(ISNUMBER($G78),$G78,0)-IF(ISNUMBER($J78),$J78,0),0))</f>
        <v/>
      </c>
    </row>
    <row r="79">
      <c r="A79" s="4" t="n"/>
      <c r="B79" s="27" t="n"/>
      <c r="C79" s="4" t="n"/>
      <c r="D79" s="4" t="n"/>
      <c r="E79" s="4" t="n"/>
      <c r="F79" s="4" t="n"/>
      <c r="G79" s="28" t="n"/>
      <c r="H79" s="4" t="n"/>
      <c r="I79" s="4" t="n"/>
      <c r="J79" s="28" t="n"/>
      <c r="K79" s="4" t="n"/>
      <c r="L79" s="29">
        <f>IF($A79="",0,IF($H79="Yes",IF(ISNUMBER($G79),$G79,0)-IF(ISNUMBER($J79),$J79,0),0))</f>
        <v/>
      </c>
    </row>
    <row r="80">
      <c r="A80" s="4" t="n"/>
      <c r="B80" s="27" t="n"/>
      <c r="C80" s="4" t="n"/>
      <c r="D80" s="4" t="n"/>
      <c r="E80" s="4" t="n"/>
      <c r="F80" s="4" t="n"/>
      <c r="G80" s="28" t="n"/>
      <c r="H80" s="4" t="n"/>
      <c r="I80" s="4" t="n"/>
      <c r="J80" s="28" t="n"/>
      <c r="K80" s="4" t="n"/>
      <c r="L80" s="29">
        <f>IF($A80="",0,IF($H80="Yes",IF(ISNUMBER($G80),$G80,0)-IF(ISNUMBER($J80),$J80,0),0))</f>
        <v/>
      </c>
    </row>
    <row r="81">
      <c r="A81" s="4" t="n"/>
      <c r="B81" s="27" t="n"/>
      <c r="C81" s="4" t="n"/>
      <c r="D81" s="4" t="n"/>
      <c r="E81" s="4" t="n"/>
      <c r="F81" s="4" t="n"/>
      <c r="G81" s="28" t="n"/>
      <c r="H81" s="4" t="n"/>
      <c r="I81" s="4" t="n"/>
      <c r="J81" s="28" t="n"/>
      <c r="K81" s="4" t="n"/>
      <c r="L81" s="29">
        <f>IF($A81="",0,IF($H81="Yes",IF(ISNUMBER($G81),$G81,0)-IF(ISNUMBER($J81),$J81,0),0))</f>
        <v/>
      </c>
    </row>
    <row r="82">
      <c r="A82" s="4" t="n"/>
      <c r="B82" s="27" t="n"/>
      <c r="C82" s="4" t="n"/>
      <c r="D82" s="4" t="n"/>
      <c r="E82" s="4" t="n"/>
      <c r="F82" s="4" t="n"/>
      <c r="G82" s="28" t="n"/>
      <c r="H82" s="4" t="n"/>
      <c r="I82" s="4" t="n"/>
      <c r="J82" s="28" t="n"/>
      <c r="K82" s="4" t="n"/>
      <c r="L82" s="29">
        <f>IF($A82="",0,IF($H82="Yes",IF(ISNUMBER($G82),$G82,0)-IF(ISNUMBER($J82),$J82,0),0))</f>
        <v/>
      </c>
    </row>
    <row r="83">
      <c r="A83" s="4" t="n"/>
      <c r="B83" s="27" t="n"/>
      <c r="C83" s="4" t="n"/>
      <c r="D83" s="4" t="n"/>
      <c r="E83" s="4" t="n"/>
      <c r="F83" s="4" t="n"/>
      <c r="G83" s="28" t="n"/>
      <c r="H83" s="4" t="n"/>
      <c r="I83" s="4" t="n"/>
      <c r="J83" s="28" t="n"/>
      <c r="K83" s="4" t="n"/>
      <c r="L83" s="29">
        <f>IF($A83="",0,IF($H83="Yes",IF(ISNUMBER($G83),$G83,0)-IF(ISNUMBER($J83),$J83,0),0))</f>
        <v/>
      </c>
    </row>
    <row r="84">
      <c r="A84" s="4" t="n"/>
      <c r="B84" s="27" t="n"/>
      <c r="C84" s="4" t="n"/>
      <c r="D84" s="4" t="n"/>
      <c r="E84" s="4" t="n"/>
      <c r="F84" s="4" t="n"/>
      <c r="G84" s="28" t="n"/>
      <c r="H84" s="4" t="n"/>
      <c r="I84" s="4" t="n"/>
      <c r="J84" s="28" t="n"/>
      <c r="K84" s="4" t="n"/>
      <c r="L84" s="29">
        <f>IF($A84="",0,IF($H84="Yes",IF(ISNUMBER($G84),$G84,0)-IF(ISNUMBER($J84),$J84,0),0))</f>
        <v/>
      </c>
    </row>
    <row r="85">
      <c r="A85" s="4" t="n"/>
      <c r="B85" s="27" t="n"/>
      <c r="C85" s="4" t="n"/>
      <c r="D85" s="4" t="n"/>
      <c r="E85" s="4" t="n"/>
      <c r="F85" s="4" t="n"/>
      <c r="G85" s="28" t="n"/>
      <c r="H85" s="4" t="n"/>
      <c r="I85" s="4" t="n"/>
      <c r="J85" s="28" t="n"/>
      <c r="K85" s="4" t="n"/>
      <c r="L85" s="29">
        <f>IF($A85="",0,IF($H85="Yes",IF(ISNUMBER($G85),$G85,0)-IF(ISNUMBER($J85),$J85,0),0))</f>
        <v/>
      </c>
    </row>
    <row r="86">
      <c r="A86" s="4" t="n"/>
      <c r="B86" s="27" t="n"/>
      <c r="C86" s="4" t="n"/>
      <c r="D86" s="4" t="n"/>
      <c r="E86" s="4" t="n"/>
      <c r="F86" s="4" t="n"/>
      <c r="G86" s="28" t="n"/>
      <c r="H86" s="4" t="n"/>
      <c r="I86" s="4" t="n"/>
      <c r="J86" s="28" t="n"/>
      <c r="K86" s="4" t="n"/>
      <c r="L86" s="29">
        <f>IF($A86="",0,IF($H86="Yes",IF(ISNUMBER($G86),$G86,0)-IF(ISNUMBER($J86),$J86,0),0))</f>
        <v/>
      </c>
    </row>
    <row r="87">
      <c r="A87" s="4" t="n"/>
      <c r="B87" s="27" t="n"/>
      <c r="C87" s="4" t="n"/>
      <c r="D87" s="4" t="n"/>
      <c r="E87" s="4" t="n"/>
      <c r="F87" s="4" t="n"/>
      <c r="G87" s="28" t="n"/>
      <c r="H87" s="4" t="n"/>
      <c r="I87" s="4" t="n"/>
      <c r="J87" s="28" t="n"/>
      <c r="K87" s="4" t="n"/>
      <c r="L87" s="29">
        <f>IF($A87="",0,IF($H87="Yes",IF(ISNUMBER($G87),$G87,0)-IF(ISNUMBER($J87),$J87,0),0))</f>
        <v/>
      </c>
    </row>
    <row r="88">
      <c r="A88" s="4" t="n"/>
      <c r="B88" s="27" t="n"/>
      <c r="C88" s="4" t="n"/>
      <c r="D88" s="4" t="n"/>
      <c r="E88" s="4" t="n"/>
      <c r="F88" s="4" t="n"/>
      <c r="G88" s="28" t="n"/>
      <c r="H88" s="4" t="n"/>
      <c r="I88" s="4" t="n"/>
      <c r="J88" s="28" t="n"/>
      <c r="K88" s="4" t="n"/>
      <c r="L88" s="29">
        <f>IF($A88="",0,IF($H88="Yes",IF(ISNUMBER($G88),$G88,0)-IF(ISNUMBER($J88),$J88,0),0))</f>
        <v/>
      </c>
    </row>
    <row r="89">
      <c r="A89" s="4" t="n"/>
      <c r="B89" s="27" t="n"/>
      <c r="C89" s="4" t="n"/>
      <c r="D89" s="4" t="n"/>
      <c r="E89" s="4" t="n"/>
      <c r="F89" s="4" t="n"/>
      <c r="G89" s="28" t="n"/>
      <c r="H89" s="4" t="n"/>
      <c r="I89" s="4" t="n"/>
      <c r="J89" s="28" t="n"/>
      <c r="K89" s="4" t="n"/>
      <c r="L89" s="29">
        <f>IF($A89="",0,IF($H89="Yes",IF(ISNUMBER($G89),$G89,0)-IF(ISNUMBER($J89),$J89,0),0))</f>
        <v/>
      </c>
    </row>
    <row r="90">
      <c r="A90" s="4" t="n"/>
      <c r="B90" s="27" t="n"/>
      <c r="C90" s="4" t="n"/>
      <c r="D90" s="4" t="n"/>
      <c r="E90" s="4" t="n"/>
      <c r="F90" s="4" t="n"/>
      <c r="G90" s="28" t="n"/>
      <c r="H90" s="4" t="n"/>
      <c r="I90" s="4" t="n"/>
      <c r="J90" s="28" t="n"/>
      <c r="K90" s="4" t="n"/>
      <c r="L90" s="29">
        <f>IF($A90="",0,IF($H90="Yes",IF(ISNUMBER($G90),$G90,0)-IF(ISNUMBER($J90),$J90,0),0))</f>
        <v/>
      </c>
    </row>
    <row r="91">
      <c r="A91" s="4" t="n"/>
      <c r="B91" s="27" t="n"/>
      <c r="C91" s="4" t="n"/>
      <c r="D91" s="4" t="n"/>
      <c r="E91" s="4" t="n"/>
      <c r="F91" s="4" t="n"/>
      <c r="G91" s="28" t="n"/>
      <c r="H91" s="4" t="n"/>
      <c r="I91" s="4" t="n"/>
      <c r="J91" s="28" t="n"/>
      <c r="K91" s="4" t="n"/>
      <c r="L91" s="29">
        <f>IF($A91="",0,IF($H91="Yes",IF(ISNUMBER($G91),$G91,0)-IF(ISNUMBER($J91),$J91,0),0))</f>
        <v/>
      </c>
    </row>
    <row r="92">
      <c r="A92" s="4" t="n"/>
      <c r="B92" s="27" t="n"/>
      <c r="C92" s="4" t="n"/>
      <c r="D92" s="4" t="n"/>
      <c r="E92" s="4" t="n"/>
      <c r="F92" s="4" t="n"/>
      <c r="G92" s="28" t="n"/>
      <c r="H92" s="4" t="n"/>
      <c r="I92" s="4" t="n"/>
      <c r="J92" s="28" t="n"/>
      <c r="K92" s="4" t="n"/>
      <c r="L92" s="29">
        <f>IF($A92="",0,IF($H92="Yes",IF(ISNUMBER($G92),$G92,0)-IF(ISNUMBER($J92),$J92,0),0))</f>
        <v/>
      </c>
    </row>
    <row r="93">
      <c r="A93" s="4" t="n"/>
      <c r="B93" s="27" t="n"/>
      <c r="C93" s="4" t="n"/>
      <c r="D93" s="4" t="n"/>
      <c r="E93" s="4" t="n"/>
      <c r="F93" s="4" t="n"/>
      <c r="G93" s="28" t="n"/>
      <c r="H93" s="4" t="n"/>
      <c r="I93" s="4" t="n"/>
      <c r="J93" s="28" t="n"/>
      <c r="K93" s="4" t="n"/>
      <c r="L93" s="29">
        <f>IF($A93="",0,IF($H93="Yes",IF(ISNUMBER($G93),$G93,0)-IF(ISNUMBER($J93),$J93,0),0))</f>
        <v/>
      </c>
    </row>
    <row r="94">
      <c r="A94" s="4" t="n"/>
      <c r="B94" s="27" t="n"/>
      <c r="C94" s="4" t="n"/>
      <c r="D94" s="4" t="n"/>
      <c r="E94" s="4" t="n"/>
      <c r="F94" s="4" t="n"/>
      <c r="G94" s="28" t="n"/>
      <c r="H94" s="4" t="n"/>
      <c r="I94" s="4" t="n"/>
      <c r="J94" s="28" t="n"/>
      <c r="K94" s="4" t="n"/>
      <c r="L94" s="29">
        <f>IF($A94="",0,IF($H94="Yes",IF(ISNUMBER($G94),$G94,0)-IF(ISNUMBER($J94),$J94,0),0))</f>
        <v/>
      </c>
    </row>
    <row r="95">
      <c r="A95" s="4" t="n"/>
      <c r="B95" s="27" t="n"/>
      <c r="C95" s="4" t="n"/>
      <c r="D95" s="4" t="n"/>
      <c r="E95" s="4" t="n"/>
      <c r="F95" s="4" t="n"/>
      <c r="G95" s="28" t="n"/>
      <c r="H95" s="4" t="n"/>
      <c r="I95" s="4" t="n"/>
      <c r="J95" s="28" t="n"/>
      <c r="K95" s="4" t="n"/>
      <c r="L95" s="29">
        <f>IF($A95="",0,IF($H95="Yes",IF(ISNUMBER($G95),$G95,0)-IF(ISNUMBER($J95),$J95,0),0))</f>
        <v/>
      </c>
    </row>
    <row r="96">
      <c r="A96" s="4" t="n"/>
      <c r="B96" s="27" t="n"/>
      <c r="C96" s="4" t="n"/>
      <c r="D96" s="4" t="n"/>
      <c r="E96" s="4" t="n"/>
      <c r="F96" s="4" t="n"/>
      <c r="G96" s="28" t="n"/>
      <c r="H96" s="4" t="n"/>
      <c r="I96" s="4" t="n"/>
      <c r="J96" s="28" t="n"/>
      <c r="K96" s="4" t="n"/>
      <c r="L96" s="29">
        <f>IF($A96="",0,IF($H96="Yes",IF(ISNUMBER($G96),$G96,0)-IF(ISNUMBER($J96),$J96,0),0))</f>
        <v/>
      </c>
    </row>
    <row r="97">
      <c r="A97" s="4" t="n"/>
      <c r="B97" s="27" t="n"/>
      <c r="C97" s="4" t="n"/>
      <c r="D97" s="4" t="n"/>
      <c r="E97" s="4" t="n"/>
      <c r="F97" s="4" t="n"/>
      <c r="G97" s="28" t="n"/>
      <c r="H97" s="4" t="n"/>
      <c r="I97" s="4" t="n"/>
      <c r="J97" s="28" t="n"/>
      <c r="K97" s="4" t="n"/>
      <c r="L97" s="29">
        <f>IF($A97="",0,IF($H97="Yes",IF(ISNUMBER($G97),$G97,0)-IF(ISNUMBER($J97),$J97,0),0))</f>
        <v/>
      </c>
    </row>
    <row r="98">
      <c r="A98" s="4" t="n"/>
      <c r="B98" s="27" t="n"/>
      <c r="C98" s="4" t="n"/>
      <c r="D98" s="4" t="n"/>
      <c r="E98" s="4" t="n"/>
      <c r="F98" s="4" t="n"/>
      <c r="G98" s="28" t="n"/>
      <c r="H98" s="4" t="n"/>
      <c r="I98" s="4" t="n"/>
      <c r="J98" s="28" t="n"/>
      <c r="K98" s="4" t="n"/>
      <c r="L98" s="29">
        <f>IF($A98="",0,IF($H98="Yes",IF(ISNUMBER($G98),$G98,0)-IF(ISNUMBER($J98),$J98,0),0))</f>
        <v/>
      </c>
    </row>
    <row r="99">
      <c r="A99" s="4" t="n"/>
      <c r="B99" s="27" t="n"/>
      <c r="C99" s="4" t="n"/>
      <c r="D99" s="4" t="n"/>
      <c r="E99" s="4" t="n"/>
      <c r="F99" s="4" t="n"/>
      <c r="G99" s="28" t="n"/>
      <c r="H99" s="4" t="n"/>
      <c r="I99" s="4" t="n"/>
      <c r="J99" s="28" t="n"/>
      <c r="K99" s="4" t="n"/>
      <c r="L99" s="29">
        <f>IF($A99="",0,IF($H99="Yes",IF(ISNUMBER($G99),$G99,0)-IF(ISNUMBER($J99),$J99,0),0))</f>
        <v/>
      </c>
    </row>
    <row r="100">
      <c r="A100" s="4" t="n"/>
      <c r="B100" s="27" t="n"/>
      <c r="C100" s="4" t="n"/>
      <c r="D100" s="4" t="n"/>
      <c r="E100" s="4" t="n"/>
      <c r="F100" s="4" t="n"/>
      <c r="G100" s="28" t="n"/>
      <c r="H100" s="4" t="n"/>
      <c r="I100" s="4" t="n"/>
      <c r="J100" s="28" t="n"/>
      <c r="K100" s="4" t="n"/>
      <c r="L100" s="29">
        <f>IF($A100="",0,IF($H100="Yes",IF(ISNUMBER($G100),$G100,0)-IF(ISNUMBER($J100),$J100,0),0))</f>
        <v/>
      </c>
    </row>
    <row r="101">
      <c r="A101" s="4" t="n"/>
      <c r="B101" s="27" t="n"/>
      <c r="C101" s="4" t="n"/>
      <c r="D101" s="4" t="n"/>
      <c r="E101" s="4" t="n"/>
      <c r="F101" s="4" t="n"/>
      <c r="G101" s="28" t="n"/>
      <c r="H101" s="4" t="n"/>
      <c r="I101" s="4" t="n"/>
      <c r="J101" s="28" t="n"/>
      <c r="K101" s="4" t="n"/>
      <c r="L101" s="29">
        <f>IF($A101="",0,IF($H101="Yes",IF(ISNUMBER($G101),$G101,0)-IF(ISNUMBER($J101),$J101,0),0))</f>
        <v/>
      </c>
    </row>
    <row r="102">
      <c r="A102" s="4" t="n"/>
      <c r="B102" s="27" t="n"/>
      <c r="C102" s="4" t="n"/>
      <c r="D102" s="4" t="n"/>
      <c r="E102" s="4" t="n"/>
      <c r="F102" s="4" t="n"/>
      <c r="G102" s="28" t="n"/>
      <c r="H102" s="4" t="n"/>
      <c r="I102" s="4" t="n"/>
      <c r="J102" s="28" t="n"/>
      <c r="K102" s="4" t="n"/>
      <c r="L102" s="29">
        <f>IF($A102="",0,IF($H102="Yes",IF(ISNUMBER($G102),$G102,0)-IF(ISNUMBER($J102),$J102,0),0))</f>
        <v/>
      </c>
    </row>
    <row r="103">
      <c r="A103" s="4" t="n"/>
      <c r="B103" s="27" t="n"/>
      <c r="C103" s="4" t="n"/>
      <c r="D103" s="4" t="n"/>
      <c r="E103" s="4" t="n"/>
      <c r="F103" s="4" t="n"/>
      <c r="G103" s="28" t="n"/>
      <c r="H103" s="4" t="n"/>
      <c r="I103" s="4" t="n"/>
      <c r="J103" s="28" t="n"/>
      <c r="K103" s="4" t="n"/>
      <c r="L103" s="29">
        <f>IF($A103="",0,IF($H103="Yes",IF(ISNUMBER($G103),$G103,0)-IF(ISNUMBER($J103),$J103,0),0))</f>
        <v/>
      </c>
    </row>
    <row r="104">
      <c r="A104" s="4" t="n"/>
      <c r="B104" s="27" t="n"/>
      <c r="C104" s="4" t="n"/>
      <c r="D104" s="4" t="n"/>
      <c r="E104" s="4" t="n"/>
      <c r="F104" s="4" t="n"/>
      <c r="G104" s="28" t="n"/>
      <c r="H104" s="4" t="n"/>
      <c r="I104" s="4" t="n"/>
      <c r="J104" s="28" t="n"/>
      <c r="K104" s="4" t="n"/>
      <c r="L104" s="29">
        <f>IF($A104="",0,IF($H104="Yes",IF(ISNUMBER($G104),$G104,0)-IF(ISNUMBER($J104),$J104,0),0))</f>
        <v/>
      </c>
    </row>
    <row r="105">
      <c r="A105" s="4" t="n"/>
      <c r="B105" s="27" t="n"/>
      <c r="C105" s="4" t="n"/>
      <c r="D105" s="4" t="n"/>
      <c r="E105" s="4" t="n"/>
      <c r="F105" s="4" t="n"/>
      <c r="G105" s="28" t="n"/>
      <c r="H105" s="4" t="n"/>
      <c r="I105" s="4" t="n"/>
      <c r="J105" s="28" t="n"/>
      <c r="K105" s="4" t="n"/>
      <c r="L105" s="29">
        <f>IF($A105="",0,IF($H105="Yes",IF(ISNUMBER($G105),$G105,0)-IF(ISNUMBER($J105),$J105,0),0))</f>
        <v/>
      </c>
    </row>
    <row r="106">
      <c r="A106" s="4" t="n"/>
      <c r="B106" s="27" t="n"/>
      <c r="C106" s="4" t="n"/>
      <c r="D106" s="4" t="n"/>
      <c r="E106" s="4" t="n"/>
      <c r="F106" s="4" t="n"/>
      <c r="G106" s="28" t="n"/>
      <c r="H106" s="4" t="n"/>
      <c r="I106" s="4" t="n"/>
      <c r="J106" s="28" t="n"/>
      <c r="K106" s="4" t="n"/>
      <c r="L106" s="29">
        <f>IF($A106="",0,IF($H106="Yes",IF(ISNUMBER($G106),$G106,0)-IF(ISNUMBER($J106),$J106,0),0))</f>
        <v/>
      </c>
    </row>
    <row r="107">
      <c r="A107" s="4" t="n"/>
      <c r="B107" s="27" t="n"/>
      <c r="C107" s="4" t="n"/>
      <c r="D107" s="4" t="n"/>
      <c r="E107" s="4" t="n"/>
      <c r="F107" s="4" t="n"/>
      <c r="G107" s="28" t="n"/>
      <c r="H107" s="4" t="n"/>
      <c r="I107" s="4" t="n"/>
      <c r="J107" s="28" t="n"/>
      <c r="K107" s="4" t="n"/>
      <c r="L107" s="29">
        <f>IF($A107="",0,IF($H107="Yes",IF(ISNUMBER($G107),$G107,0)-IF(ISNUMBER($J107),$J107,0),0))</f>
        <v/>
      </c>
    </row>
    <row r="108">
      <c r="A108" s="4" t="n"/>
      <c r="B108" s="27" t="n"/>
      <c r="C108" s="4" t="n"/>
      <c r="D108" s="4" t="n"/>
      <c r="E108" s="4" t="n"/>
      <c r="F108" s="4" t="n"/>
      <c r="G108" s="28" t="n"/>
      <c r="H108" s="4" t="n"/>
      <c r="I108" s="4" t="n"/>
      <c r="J108" s="28" t="n"/>
      <c r="K108" s="4" t="n"/>
      <c r="L108" s="29">
        <f>IF($A108="",0,IF($H108="Yes",IF(ISNUMBER($G108),$G108,0)-IF(ISNUMBER($J108),$J108,0),0))</f>
        <v/>
      </c>
    </row>
    <row r="109">
      <c r="A109" s="4" t="n"/>
      <c r="B109" s="27" t="n"/>
      <c r="C109" s="4" t="n"/>
      <c r="D109" s="4" t="n"/>
      <c r="E109" s="4" t="n"/>
      <c r="F109" s="4" t="n"/>
      <c r="G109" s="28" t="n"/>
      <c r="H109" s="4" t="n"/>
      <c r="I109" s="4" t="n"/>
      <c r="J109" s="28" t="n"/>
      <c r="K109" s="4" t="n"/>
      <c r="L109" s="29">
        <f>IF($A109="",0,IF($H109="Yes",IF(ISNUMBER($G109),$G109,0)-IF(ISNUMBER($J109),$J109,0),0))</f>
        <v/>
      </c>
    </row>
    <row r="110">
      <c r="A110" s="4" t="n"/>
      <c r="B110" s="27" t="n"/>
      <c r="C110" s="4" t="n"/>
      <c r="D110" s="4" t="n"/>
      <c r="E110" s="4" t="n"/>
      <c r="F110" s="4" t="n"/>
      <c r="G110" s="28" t="n"/>
      <c r="H110" s="4" t="n"/>
      <c r="I110" s="4" t="n"/>
      <c r="J110" s="28" t="n"/>
      <c r="K110" s="4" t="n"/>
      <c r="L110" s="29">
        <f>IF($A110="",0,IF($H110="Yes",IF(ISNUMBER($G110),$G110,0)-IF(ISNUMBER($J110),$J110,0),0))</f>
        <v/>
      </c>
    </row>
    <row r="111">
      <c r="A111" s="4" t="n"/>
      <c r="B111" s="27" t="n"/>
      <c r="C111" s="4" t="n"/>
      <c r="D111" s="4" t="n"/>
      <c r="E111" s="4" t="n"/>
      <c r="F111" s="4" t="n"/>
      <c r="G111" s="28" t="n"/>
      <c r="H111" s="4" t="n"/>
      <c r="I111" s="4" t="n"/>
      <c r="J111" s="28" t="n"/>
      <c r="K111" s="4" t="n"/>
      <c r="L111" s="29">
        <f>IF($A111="",0,IF($H111="Yes",IF(ISNUMBER($G111),$G111,0)-IF(ISNUMBER($J111),$J111,0),0))</f>
        <v/>
      </c>
    </row>
    <row r="112">
      <c r="A112" s="4" t="n"/>
      <c r="B112" s="27" t="n"/>
      <c r="C112" s="4" t="n"/>
      <c r="D112" s="4" t="n"/>
      <c r="E112" s="4" t="n"/>
      <c r="F112" s="4" t="n"/>
      <c r="G112" s="28" t="n"/>
      <c r="H112" s="4" t="n"/>
      <c r="I112" s="4" t="n"/>
      <c r="J112" s="28" t="n"/>
      <c r="K112" s="4" t="n"/>
      <c r="L112" s="29">
        <f>IF($A112="",0,IF($H112="Yes",IF(ISNUMBER($G112),$G112,0)-IF(ISNUMBER($J112),$J112,0),0))</f>
        <v/>
      </c>
    </row>
    <row r="113">
      <c r="A113" s="4" t="n"/>
      <c r="B113" s="27" t="n"/>
      <c r="C113" s="4" t="n"/>
      <c r="D113" s="4" t="n"/>
      <c r="E113" s="4" t="n"/>
      <c r="F113" s="4" t="n"/>
      <c r="G113" s="28" t="n"/>
      <c r="H113" s="4" t="n"/>
      <c r="I113" s="4" t="n"/>
      <c r="J113" s="28" t="n"/>
      <c r="K113" s="4" t="n"/>
      <c r="L113" s="29">
        <f>IF($A113="",0,IF($H113="Yes",IF(ISNUMBER($G113),$G113,0)-IF(ISNUMBER($J113),$J113,0),0))</f>
        <v/>
      </c>
    </row>
    <row r="114">
      <c r="A114" s="4" t="n"/>
      <c r="B114" s="27" t="n"/>
      <c r="C114" s="4" t="n"/>
      <c r="D114" s="4" t="n"/>
      <c r="E114" s="4" t="n"/>
      <c r="F114" s="4" t="n"/>
      <c r="G114" s="28" t="n"/>
      <c r="H114" s="4" t="n"/>
      <c r="I114" s="4" t="n"/>
      <c r="J114" s="28" t="n"/>
      <c r="K114" s="4" t="n"/>
      <c r="L114" s="29">
        <f>IF($A114="",0,IF($H114="Yes",IF(ISNUMBER($G114),$G114,0)-IF(ISNUMBER($J114),$J114,0),0))</f>
        <v/>
      </c>
    </row>
    <row r="115">
      <c r="A115" s="4" t="n"/>
      <c r="B115" s="27" t="n"/>
      <c r="C115" s="4" t="n"/>
      <c r="D115" s="4" t="n"/>
      <c r="E115" s="4" t="n"/>
      <c r="F115" s="4" t="n"/>
      <c r="G115" s="28" t="n"/>
      <c r="H115" s="4" t="n"/>
      <c r="I115" s="4" t="n"/>
      <c r="J115" s="28" t="n"/>
      <c r="K115" s="4" t="n"/>
      <c r="L115" s="29">
        <f>IF($A115="",0,IF($H115="Yes",IF(ISNUMBER($G115),$G115,0)-IF(ISNUMBER($J115),$J115,0),0))</f>
        <v/>
      </c>
    </row>
    <row r="116">
      <c r="A116" s="4" t="n"/>
      <c r="B116" s="27" t="n"/>
      <c r="C116" s="4" t="n"/>
      <c r="D116" s="4" t="n"/>
      <c r="E116" s="4" t="n"/>
      <c r="F116" s="4" t="n"/>
      <c r="G116" s="28" t="n"/>
      <c r="H116" s="4" t="n"/>
      <c r="I116" s="4" t="n"/>
      <c r="J116" s="28" t="n"/>
      <c r="K116" s="4" t="n"/>
      <c r="L116" s="29">
        <f>IF($A116="",0,IF($H116="Yes",IF(ISNUMBER($G116),$G116,0)-IF(ISNUMBER($J116),$J116,0),0))</f>
        <v/>
      </c>
    </row>
    <row r="117">
      <c r="A117" s="4" t="n"/>
      <c r="B117" s="27" t="n"/>
      <c r="C117" s="4" t="n"/>
      <c r="D117" s="4" t="n"/>
      <c r="E117" s="4" t="n"/>
      <c r="F117" s="4" t="n"/>
      <c r="G117" s="28" t="n"/>
      <c r="H117" s="4" t="n"/>
      <c r="I117" s="4" t="n"/>
      <c r="J117" s="28" t="n"/>
      <c r="K117" s="4" t="n"/>
      <c r="L117" s="29">
        <f>IF($A117="",0,IF($H117="Yes",IF(ISNUMBER($G117),$G117,0)-IF(ISNUMBER($J117),$J117,0),0))</f>
        <v/>
      </c>
    </row>
    <row r="118">
      <c r="A118" s="4" t="n"/>
      <c r="B118" s="27" t="n"/>
      <c r="C118" s="4" t="n"/>
      <c r="D118" s="4" t="n"/>
      <c r="E118" s="4" t="n"/>
      <c r="F118" s="4" t="n"/>
      <c r="G118" s="28" t="n"/>
      <c r="H118" s="4" t="n"/>
      <c r="I118" s="4" t="n"/>
      <c r="J118" s="28" t="n"/>
      <c r="K118" s="4" t="n"/>
      <c r="L118" s="29">
        <f>IF($A118="",0,IF($H118="Yes",IF(ISNUMBER($G118),$G118,0)-IF(ISNUMBER($J118),$J118,0),0))</f>
        <v/>
      </c>
    </row>
    <row r="119">
      <c r="A119" s="4" t="n"/>
      <c r="B119" s="27" t="n"/>
      <c r="C119" s="4" t="n"/>
      <c r="D119" s="4" t="n"/>
      <c r="E119" s="4" t="n"/>
      <c r="F119" s="4" t="n"/>
      <c r="G119" s="28" t="n"/>
      <c r="H119" s="4" t="n"/>
      <c r="I119" s="4" t="n"/>
      <c r="J119" s="28" t="n"/>
      <c r="K119" s="4" t="n"/>
      <c r="L119" s="29">
        <f>IF($A119="",0,IF($H119="Yes",IF(ISNUMBER($G119),$G119,0)-IF(ISNUMBER($J119),$J119,0),0))</f>
        <v/>
      </c>
    </row>
    <row r="120">
      <c r="A120" s="4" t="n"/>
      <c r="B120" s="27" t="n"/>
      <c r="C120" s="4" t="n"/>
      <c r="D120" s="4" t="n"/>
      <c r="E120" s="4" t="n"/>
      <c r="F120" s="4" t="n"/>
      <c r="G120" s="28" t="n"/>
      <c r="H120" s="4" t="n"/>
      <c r="I120" s="4" t="n"/>
      <c r="J120" s="28" t="n"/>
      <c r="K120" s="4" t="n"/>
      <c r="L120" s="29">
        <f>IF($A120="",0,IF($H120="Yes",IF(ISNUMBER($G120),$G120,0)-IF(ISNUMBER($J120),$J120,0),0))</f>
        <v/>
      </c>
    </row>
    <row r="121">
      <c r="A121" s="4" t="n"/>
      <c r="B121" s="27" t="n"/>
      <c r="C121" s="4" t="n"/>
      <c r="D121" s="4" t="n"/>
      <c r="E121" s="4" t="n"/>
      <c r="F121" s="4" t="n"/>
      <c r="G121" s="28" t="n"/>
      <c r="H121" s="4" t="n"/>
      <c r="I121" s="4" t="n"/>
      <c r="J121" s="28" t="n"/>
      <c r="K121" s="4" t="n"/>
      <c r="L121" s="29">
        <f>IF($A121="",0,IF($H121="Yes",IF(ISNUMBER($G121),$G121,0)-IF(ISNUMBER($J121),$J121,0),0))</f>
        <v/>
      </c>
    </row>
    <row r="122">
      <c r="A122" s="4" t="n"/>
      <c r="B122" s="27" t="n"/>
      <c r="C122" s="4" t="n"/>
      <c r="D122" s="4" t="n"/>
      <c r="E122" s="4" t="n"/>
      <c r="F122" s="4" t="n"/>
      <c r="G122" s="28" t="n"/>
      <c r="H122" s="4" t="n"/>
      <c r="I122" s="4" t="n"/>
      <c r="J122" s="28" t="n"/>
      <c r="K122" s="4" t="n"/>
      <c r="L122" s="29">
        <f>IF($A122="",0,IF($H122="Yes",IF(ISNUMBER($G122),$G122,0)-IF(ISNUMBER($J122),$J122,0),0))</f>
        <v/>
      </c>
    </row>
    <row r="123">
      <c r="A123" s="4" t="n"/>
      <c r="B123" s="27" t="n"/>
      <c r="C123" s="4" t="n"/>
      <c r="D123" s="4" t="n"/>
      <c r="E123" s="4" t="n"/>
      <c r="F123" s="4" t="n"/>
      <c r="G123" s="28" t="n"/>
      <c r="H123" s="4" t="n"/>
      <c r="I123" s="4" t="n"/>
      <c r="J123" s="28" t="n"/>
      <c r="K123" s="4" t="n"/>
      <c r="L123" s="29">
        <f>IF($A123="",0,IF($H123="Yes",IF(ISNUMBER($G123),$G123,0)-IF(ISNUMBER($J123),$J123,0),0))</f>
        <v/>
      </c>
    </row>
    <row r="124">
      <c r="A124" s="4" t="n"/>
      <c r="B124" s="27" t="n"/>
      <c r="C124" s="4" t="n"/>
      <c r="D124" s="4" t="n"/>
      <c r="E124" s="4" t="n"/>
      <c r="F124" s="4" t="n"/>
      <c r="G124" s="28" t="n"/>
      <c r="H124" s="4" t="n"/>
      <c r="I124" s="4" t="n"/>
      <c r="J124" s="28" t="n"/>
      <c r="K124" s="4" t="n"/>
      <c r="L124" s="29">
        <f>IF($A124="",0,IF($H124="Yes",IF(ISNUMBER($G124),$G124,0)-IF(ISNUMBER($J124),$J124,0),0))</f>
        <v/>
      </c>
    </row>
    <row r="125">
      <c r="A125" s="4" t="n"/>
      <c r="B125" s="27" t="n"/>
      <c r="C125" s="4" t="n"/>
      <c r="D125" s="4" t="n"/>
      <c r="E125" s="4" t="n"/>
      <c r="F125" s="4" t="n"/>
      <c r="G125" s="28" t="n"/>
      <c r="H125" s="4" t="n"/>
      <c r="I125" s="4" t="n"/>
      <c r="J125" s="28" t="n"/>
      <c r="K125" s="4" t="n"/>
      <c r="L125" s="29">
        <f>IF($A125="",0,IF($H125="Yes",IF(ISNUMBER($G125),$G125,0)-IF(ISNUMBER($J125),$J125,0),0))</f>
        <v/>
      </c>
    </row>
    <row r="126">
      <c r="A126" s="4" t="n"/>
      <c r="B126" s="27" t="n"/>
      <c r="C126" s="4" t="n"/>
      <c r="D126" s="4" t="n"/>
      <c r="E126" s="4" t="n"/>
      <c r="F126" s="4" t="n"/>
      <c r="G126" s="28" t="n"/>
      <c r="H126" s="4" t="n"/>
      <c r="I126" s="4" t="n"/>
      <c r="J126" s="28" t="n"/>
      <c r="K126" s="4" t="n"/>
      <c r="L126" s="29">
        <f>IF($A126="",0,IF($H126="Yes",IF(ISNUMBER($G126),$G126,0)-IF(ISNUMBER($J126),$J126,0),0))</f>
        <v/>
      </c>
    </row>
    <row r="127">
      <c r="A127" s="4" t="n"/>
      <c r="B127" s="27" t="n"/>
      <c r="C127" s="4" t="n"/>
      <c r="D127" s="4" t="n"/>
      <c r="E127" s="4" t="n"/>
      <c r="F127" s="4" t="n"/>
      <c r="G127" s="28" t="n"/>
      <c r="H127" s="4" t="n"/>
      <c r="I127" s="4" t="n"/>
      <c r="J127" s="28" t="n"/>
      <c r="K127" s="4" t="n"/>
      <c r="L127" s="29">
        <f>IF($A127="",0,IF($H127="Yes",IF(ISNUMBER($G127),$G127,0)-IF(ISNUMBER($J127),$J127,0),0))</f>
        <v/>
      </c>
    </row>
    <row r="128">
      <c r="A128" s="4" t="n"/>
      <c r="B128" s="27" t="n"/>
      <c r="C128" s="4" t="n"/>
      <c r="D128" s="4" t="n"/>
      <c r="E128" s="4" t="n"/>
      <c r="F128" s="4" t="n"/>
      <c r="G128" s="28" t="n"/>
      <c r="H128" s="4" t="n"/>
      <c r="I128" s="4" t="n"/>
      <c r="J128" s="28" t="n"/>
      <c r="K128" s="4" t="n"/>
      <c r="L128" s="29">
        <f>IF($A128="",0,IF($H128="Yes",IF(ISNUMBER($G128),$G128,0)-IF(ISNUMBER($J128),$J128,0),0))</f>
        <v/>
      </c>
    </row>
    <row r="129">
      <c r="A129" s="4" t="n"/>
      <c r="B129" s="27" t="n"/>
      <c r="C129" s="4" t="n"/>
      <c r="D129" s="4" t="n"/>
      <c r="E129" s="4" t="n"/>
      <c r="F129" s="4" t="n"/>
      <c r="G129" s="28" t="n"/>
      <c r="H129" s="4" t="n"/>
      <c r="I129" s="4" t="n"/>
      <c r="J129" s="28" t="n"/>
      <c r="K129" s="4" t="n"/>
      <c r="L129" s="29">
        <f>IF($A129="",0,IF($H129="Yes",IF(ISNUMBER($G129),$G129,0)-IF(ISNUMBER($J129),$J129,0),0))</f>
        <v/>
      </c>
    </row>
    <row r="130">
      <c r="A130" s="4" t="n"/>
      <c r="B130" s="27" t="n"/>
      <c r="C130" s="4" t="n"/>
      <c r="D130" s="4" t="n"/>
      <c r="E130" s="4" t="n"/>
      <c r="F130" s="4" t="n"/>
      <c r="G130" s="28" t="n"/>
      <c r="H130" s="4" t="n"/>
      <c r="I130" s="4" t="n"/>
      <c r="J130" s="28" t="n"/>
      <c r="K130" s="4" t="n"/>
      <c r="L130" s="29">
        <f>IF($A130="",0,IF($H130="Yes",IF(ISNUMBER($G130),$G130,0)-IF(ISNUMBER($J130),$J130,0),0))</f>
        <v/>
      </c>
    </row>
    <row r="131">
      <c r="A131" s="4" t="n"/>
      <c r="B131" s="27" t="n"/>
      <c r="C131" s="4" t="n"/>
      <c r="D131" s="4" t="n"/>
      <c r="E131" s="4" t="n"/>
      <c r="F131" s="4" t="n"/>
      <c r="G131" s="28" t="n"/>
      <c r="H131" s="4" t="n"/>
      <c r="I131" s="4" t="n"/>
      <c r="J131" s="28" t="n"/>
      <c r="K131" s="4" t="n"/>
      <c r="L131" s="29">
        <f>IF($A131="",0,IF($H131="Yes",IF(ISNUMBER($G131),$G131,0)-IF(ISNUMBER($J131),$J131,0),0))</f>
        <v/>
      </c>
    </row>
    <row r="132">
      <c r="A132" s="4" t="n"/>
      <c r="B132" s="27" t="n"/>
      <c r="C132" s="4" t="n"/>
      <c r="D132" s="4" t="n"/>
      <c r="E132" s="4" t="n"/>
      <c r="F132" s="4" t="n"/>
      <c r="G132" s="28" t="n"/>
      <c r="H132" s="4" t="n"/>
      <c r="I132" s="4" t="n"/>
      <c r="J132" s="28" t="n"/>
      <c r="K132" s="4" t="n"/>
      <c r="L132" s="29">
        <f>IF($A132="",0,IF($H132="Yes",IF(ISNUMBER($G132),$G132,0)-IF(ISNUMBER($J132),$J132,0),0))</f>
        <v/>
      </c>
    </row>
    <row r="133">
      <c r="A133" s="4" t="n"/>
      <c r="B133" s="27" t="n"/>
      <c r="C133" s="4" t="n"/>
      <c r="D133" s="4" t="n"/>
      <c r="E133" s="4" t="n"/>
      <c r="F133" s="4" t="n"/>
      <c r="G133" s="28" t="n"/>
      <c r="H133" s="4" t="n"/>
      <c r="I133" s="4" t="n"/>
      <c r="J133" s="28" t="n"/>
      <c r="K133" s="4" t="n"/>
      <c r="L133" s="29">
        <f>IF($A133="",0,IF($H133="Yes",IF(ISNUMBER($G133),$G133,0)-IF(ISNUMBER($J133),$J133,0),0))</f>
        <v/>
      </c>
    </row>
    <row r="134">
      <c r="A134" s="4" t="n"/>
      <c r="B134" s="27" t="n"/>
      <c r="C134" s="4" t="n"/>
      <c r="D134" s="4" t="n"/>
      <c r="E134" s="4" t="n"/>
      <c r="F134" s="4" t="n"/>
      <c r="G134" s="28" t="n"/>
      <c r="H134" s="4" t="n"/>
      <c r="I134" s="4" t="n"/>
      <c r="J134" s="28" t="n"/>
      <c r="K134" s="4" t="n"/>
      <c r="L134" s="29">
        <f>IF($A134="",0,IF($H134="Yes",IF(ISNUMBER($G134),$G134,0)-IF(ISNUMBER($J134),$J134,0),0))</f>
        <v/>
      </c>
    </row>
    <row r="135">
      <c r="A135" s="4" t="n"/>
      <c r="B135" s="27" t="n"/>
      <c r="C135" s="4" t="n"/>
      <c r="D135" s="4" t="n"/>
      <c r="E135" s="4" t="n"/>
      <c r="F135" s="4" t="n"/>
      <c r="G135" s="28" t="n"/>
      <c r="H135" s="4" t="n"/>
      <c r="I135" s="4" t="n"/>
      <c r="J135" s="28" t="n"/>
      <c r="K135" s="4" t="n"/>
      <c r="L135" s="29">
        <f>IF($A135="",0,IF($H135="Yes",IF(ISNUMBER($G135),$G135,0)-IF(ISNUMBER($J135),$J135,0),0))</f>
        <v/>
      </c>
    </row>
    <row r="136">
      <c r="A136" s="4" t="n"/>
      <c r="B136" s="27" t="n"/>
      <c r="C136" s="4" t="n"/>
      <c r="D136" s="4" t="n"/>
      <c r="E136" s="4" t="n"/>
      <c r="F136" s="4" t="n"/>
      <c r="G136" s="28" t="n"/>
      <c r="H136" s="4" t="n"/>
      <c r="I136" s="4" t="n"/>
      <c r="J136" s="28" t="n"/>
      <c r="K136" s="4" t="n"/>
      <c r="L136" s="29">
        <f>IF($A136="",0,IF($H136="Yes",IF(ISNUMBER($G136),$G136,0)-IF(ISNUMBER($J136),$J136,0),0))</f>
        <v/>
      </c>
    </row>
    <row r="137">
      <c r="A137" s="4" t="n"/>
      <c r="B137" s="27" t="n"/>
      <c r="C137" s="4" t="n"/>
      <c r="D137" s="4" t="n"/>
      <c r="E137" s="4" t="n"/>
      <c r="F137" s="4" t="n"/>
      <c r="G137" s="28" t="n"/>
      <c r="H137" s="4" t="n"/>
      <c r="I137" s="4" t="n"/>
      <c r="J137" s="28" t="n"/>
      <c r="K137" s="4" t="n"/>
      <c r="L137" s="29">
        <f>IF($A137="",0,IF($H137="Yes",IF(ISNUMBER($G137),$G137,0)-IF(ISNUMBER($J137),$J137,0),0))</f>
        <v/>
      </c>
    </row>
    <row r="138">
      <c r="A138" s="4" t="n"/>
      <c r="B138" s="27" t="n"/>
      <c r="C138" s="4" t="n"/>
      <c r="D138" s="4" t="n"/>
      <c r="E138" s="4" t="n"/>
      <c r="F138" s="4" t="n"/>
      <c r="G138" s="28" t="n"/>
      <c r="H138" s="4" t="n"/>
      <c r="I138" s="4" t="n"/>
      <c r="J138" s="28" t="n"/>
      <c r="K138" s="4" t="n"/>
      <c r="L138" s="29">
        <f>IF($A138="",0,IF($H138="Yes",IF(ISNUMBER($G138),$G138,0)-IF(ISNUMBER($J138),$J138,0),0))</f>
        <v/>
      </c>
    </row>
    <row r="139">
      <c r="A139" s="4" t="n"/>
      <c r="B139" s="27" t="n"/>
      <c r="C139" s="4" t="n"/>
      <c r="D139" s="4" t="n"/>
      <c r="E139" s="4" t="n"/>
      <c r="F139" s="4" t="n"/>
      <c r="G139" s="28" t="n"/>
      <c r="H139" s="4" t="n"/>
      <c r="I139" s="4" t="n"/>
      <c r="J139" s="28" t="n"/>
      <c r="K139" s="4" t="n"/>
      <c r="L139" s="29">
        <f>IF($A139="",0,IF($H139="Yes",IF(ISNUMBER($G139),$G139,0)-IF(ISNUMBER($J139),$J139,0),0))</f>
        <v/>
      </c>
    </row>
    <row r="140">
      <c r="A140" s="4" t="n"/>
      <c r="B140" s="27" t="n"/>
      <c r="C140" s="4" t="n"/>
      <c r="D140" s="4" t="n"/>
      <c r="E140" s="4" t="n"/>
      <c r="F140" s="4" t="n"/>
      <c r="G140" s="28" t="n"/>
      <c r="H140" s="4" t="n"/>
      <c r="I140" s="4" t="n"/>
      <c r="J140" s="28" t="n"/>
      <c r="K140" s="4" t="n"/>
      <c r="L140" s="29">
        <f>IF($A140="",0,IF($H140="Yes",IF(ISNUMBER($G140),$G140,0)-IF(ISNUMBER($J140),$J140,0),0))</f>
        <v/>
      </c>
    </row>
    <row r="141">
      <c r="A141" s="4" t="n"/>
      <c r="B141" s="27" t="n"/>
      <c r="C141" s="4" t="n"/>
      <c r="D141" s="4" t="n"/>
      <c r="E141" s="4" t="n"/>
      <c r="F141" s="4" t="n"/>
      <c r="G141" s="28" t="n"/>
      <c r="H141" s="4" t="n"/>
      <c r="I141" s="4" t="n"/>
      <c r="J141" s="28" t="n"/>
      <c r="K141" s="4" t="n"/>
      <c r="L141" s="29">
        <f>IF($A141="",0,IF($H141="Yes",IF(ISNUMBER($G141),$G141,0)-IF(ISNUMBER($J141),$J141,0),0))</f>
        <v/>
      </c>
    </row>
    <row r="142">
      <c r="A142" s="4" t="n"/>
      <c r="B142" s="27" t="n"/>
      <c r="C142" s="4" t="n"/>
      <c r="D142" s="4" t="n"/>
      <c r="E142" s="4" t="n"/>
      <c r="F142" s="4" t="n"/>
      <c r="G142" s="28" t="n"/>
      <c r="H142" s="4" t="n"/>
      <c r="I142" s="4" t="n"/>
      <c r="J142" s="28" t="n"/>
      <c r="K142" s="4" t="n"/>
      <c r="L142" s="29">
        <f>IF($A142="",0,IF($H142="Yes",IF(ISNUMBER($G142),$G142,0)-IF(ISNUMBER($J142),$J142,0),0))</f>
        <v/>
      </c>
    </row>
    <row r="143">
      <c r="A143" s="4" t="n"/>
      <c r="B143" s="27" t="n"/>
      <c r="C143" s="4" t="n"/>
      <c r="D143" s="4" t="n"/>
      <c r="E143" s="4" t="n"/>
      <c r="F143" s="4" t="n"/>
      <c r="G143" s="28" t="n"/>
      <c r="H143" s="4" t="n"/>
      <c r="I143" s="4" t="n"/>
      <c r="J143" s="28" t="n"/>
      <c r="K143" s="4" t="n"/>
      <c r="L143" s="29">
        <f>IF($A143="",0,IF($H143="Yes",IF(ISNUMBER($G143),$G143,0)-IF(ISNUMBER($J143),$J143,0),0))</f>
        <v/>
      </c>
    </row>
    <row r="144">
      <c r="A144" s="4" t="n"/>
      <c r="B144" s="27" t="n"/>
      <c r="C144" s="4" t="n"/>
      <c r="D144" s="4" t="n"/>
      <c r="E144" s="4" t="n"/>
      <c r="F144" s="4" t="n"/>
      <c r="G144" s="28" t="n"/>
      <c r="H144" s="4" t="n"/>
      <c r="I144" s="4" t="n"/>
      <c r="J144" s="28" t="n"/>
      <c r="K144" s="4" t="n"/>
      <c r="L144" s="29">
        <f>IF($A144="",0,IF($H144="Yes",IF(ISNUMBER($G144),$G144,0)-IF(ISNUMBER($J144),$J144,0),0))</f>
        <v/>
      </c>
    </row>
    <row r="145">
      <c r="A145" s="4" t="n"/>
      <c r="B145" s="27" t="n"/>
      <c r="C145" s="4" t="n"/>
      <c r="D145" s="4" t="n"/>
      <c r="E145" s="4" t="n"/>
      <c r="F145" s="4" t="n"/>
      <c r="G145" s="28" t="n"/>
      <c r="H145" s="4" t="n"/>
      <c r="I145" s="4" t="n"/>
      <c r="J145" s="28" t="n"/>
      <c r="K145" s="4" t="n"/>
      <c r="L145" s="29">
        <f>IF($A145="",0,IF($H145="Yes",IF(ISNUMBER($G145),$G145,0)-IF(ISNUMBER($J145),$J145,0),0))</f>
        <v/>
      </c>
    </row>
    <row r="146">
      <c r="A146" s="4" t="n"/>
      <c r="B146" s="27" t="n"/>
      <c r="C146" s="4" t="n"/>
      <c r="D146" s="4" t="n"/>
      <c r="E146" s="4" t="n"/>
      <c r="F146" s="4" t="n"/>
      <c r="G146" s="28" t="n"/>
      <c r="H146" s="4" t="n"/>
      <c r="I146" s="4" t="n"/>
      <c r="J146" s="28" t="n"/>
      <c r="K146" s="4" t="n"/>
      <c r="L146" s="29">
        <f>IF($A146="",0,IF($H146="Yes",IF(ISNUMBER($G146),$G146,0)-IF(ISNUMBER($J146),$J146,0),0))</f>
        <v/>
      </c>
    </row>
    <row r="147">
      <c r="A147" s="4" t="n"/>
      <c r="B147" s="27" t="n"/>
      <c r="C147" s="4" t="n"/>
      <c r="D147" s="4" t="n"/>
      <c r="E147" s="4" t="n"/>
      <c r="F147" s="4" t="n"/>
      <c r="G147" s="28" t="n"/>
      <c r="H147" s="4" t="n"/>
      <c r="I147" s="4" t="n"/>
      <c r="J147" s="28" t="n"/>
      <c r="K147" s="4" t="n"/>
      <c r="L147" s="29">
        <f>IF($A147="",0,IF($H147="Yes",IF(ISNUMBER($G147),$G147,0)-IF(ISNUMBER($J147),$J147,0),0))</f>
        <v/>
      </c>
    </row>
    <row r="148">
      <c r="A148" s="4" t="n"/>
      <c r="B148" s="27" t="n"/>
      <c r="C148" s="4" t="n"/>
      <c r="D148" s="4" t="n"/>
      <c r="E148" s="4" t="n"/>
      <c r="F148" s="4" t="n"/>
      <c r="G148" s="28" t="n"/>
      <c r="H148" s="4" t="n"/>
      <c r="I148" s="4" t="n"/>
      <c r="J148" s="28" t="n"/>
      <c r="K148" s="4" t="n"/>
      <c r="L148" s="29">
        <f>IF($A148="",0,IF($H148="Yes",IF(ISNUMBER($G148),$G148,0)-IF(ISNUMBER($J148),$J148,0),0))</f>
        <v/>
      </c>
    </row>
    <row r="149">
      <c r="A149" s="4" t="n"/>
      <c r="B149" s="27" t="n"/>
      <c r="C149" s="4" t="n"/>
      <c r="D149" s="4" t="n"/>
      <c r="E149" s="4" t="n"/>
      <c r="F149" s="4" t="n"/>
      <c r="G149" s="28" t="n"/>
      <c r="H149" s="4" t="n"/>
      <c r="I149" s="4" t="n"/>
      <c r="J149" s="28" t="n"/>
      <c r="K149" s="4" t="n"/>
      <c r="L149" s="29">
        <f>IF($A149="",0,IF($H149="Yes",IF(ISNUMBER($G149),$G149,0)-IF(ISNUMBER($J149),$J149,0),0))</f>
        <v/>
      </c>
    </row>
    <row r="150">
      <c r="A150" s="4" t="n"/>
      <c r="B150" s="27" t="n"/>
      <c r="C150" s="4" t="n"/>
      <c r="D150" s="4" t="n"/>
      <c r="E150" s="4" t="n"/>
      <c r="F150" s="4" t="n"/>
      <c r="G150" s="28" t="n"/>
      <c r="H150" s="4" t="n"/>
      <c r="I150" s="4" t="n"/>
      <c r="J150" s="28" t="n"/>
      <c r="K150" s="4" t="n"/>
      <c r="L150" s="29">
        <f>IF($A150="",0,IF($H150="Yes",IF(ISNUMBER($G150),$G150,0)-IF(ISNUMBER($J150),$J150,0),0))</f>
        <v/>
      </c>
    </row>
    <row r="151">
      <c r="A151" s="4" t="n"/>
      <c r="B151" s="27" t="n"/>
      <c r="C151" s="4" t="n"/>
      <c r="D151" s="4" t="n"/>
      <c r="E151" s="4" t="n"/>
      <c r="F151" s="4" t="n"/>
      <c r="G151" s="28" t="n"/>
      <c r="H151" s="4" t="n"/>
      <c r="I151" s="4" t="n"/>
      <c r="J151" s="28" t="n"/>
      <c r="K151" s="4" t="n"/>
      <c r="L151" s="29">
        <f>IF($A151="",0,IF($H151="Yes",IF(ISNUMBER($G151),$G151,0)-IF(ISNUMBER($J151),$J151,0),0))</f>
        <v/>
      </c>
    </row>
    <row r="152">
      <c r="A152" s="4" t="n"/>
      <c r="B152" s="27" t="n"/>
      <c r="C152" s="4" t="n"/>
      <c r="D152" s="4" t="n"/>
      <c r="E152" s="4" t="n"/>
      <c r="F152" s="4" t="n"/>
      <c r="G152" s="28" t="n"/>
      <c r="H152" s="4" t="n"/>
      <c r="I152" s="4" t="n"/>
      <c r="J152" s="28" t="n"/>
      <c r="K152" s="4" t="n"/>
      <c r="L152" s="29">
        <f>IF($A152="",0,IF($H152="Yes",IF(ISNUMBER($G152),$G152,0)-IF(ISNUMBER($J152),$J152,0),0))</f>
        <v/>
      </c>
    </row>
    <row r="153">
      <c r="A153" s="4" t="n"/>
      <c r="B153" s="27" t="n"/>
      <c r="C153" s="4" t="n"/>
      <c r="D153" s="4" t="n"/>
      <c r="E153" s="4" t="n"/>
      <c r="F153" s="4" t="n"/>
      <c r="G153" s="28" t="n"/>
      <c r="H153" s="4" t="n"/>
      <c r="I153" s="4" t="n"/>
      <c r="J153" s="28" t="n"/>
      <c r="K153" s="4" t="n"/>
      <c r="L153" s="29">
        <f>IF($A153="",0,IF($H153="Yes",IF(ISNUMBER($G153),$G153,0)-IF(ISNUMBER($J153),$J153,0),0))</f>
        <v/>
      </c>
    </row>
    <row r="154">
      <c r="A154" s="4" t="n"/>
      <c r="B154" s="27" t="n"/>
      <c r="C154" s="4" t="n"/>
      <c r="D154" s="4" t="n"/>
      <c r="E154" s="4" t="n"/>
      <c r="F154" s="4" t="n"/>
      <c r="G154" s="28" t="n"/>
      <c r="H154" s="4" t="n"/>
      <c r="I154" s="4" t="n"/>
      <c r="J154" s="28" t="n"/>
      <c r="K154" s="4" t="n"/>
      <c r="L154" s="29">
        <f>IF($A154="",0,IF($H154="Yes",IF(ISNUMBER($G154),$G154,0)-IF(ISNUMBER($J154),$J154,0),0))</f>
        <v/>
      </c>
    </row>
    <row r="155">
      <c r="A155" s="4" t="n"/>
      <c r="B155" s="27" t="n"/>
      <c r="C155" s="4" t="n"/>
      <c r="D155" s="4" t="n"/>
      <c r="E155" s="4" t="n"/>
      <c r="F155" s="4" t="n"/>
      <c r="G155" s="28" t="n"/>
      <c r="H155" s="4" t="n"/>
      <c r="I155" s="4" t="n"/>
      <c r="J155" s="28" t="n"/>
      <c r="K155" s="4" t="n"/>
      <c r="L155" s="29">
        <f>IF($A155="",0,IF($H155="Yes",IF(ISNUMBER($G155),$G155,0)-IF(ISNUMBER($J155),$J155,0),0))</f>
        <v/>
      </c>
    </row>
    <row r="156">
      <c r="A156" s="4" t="n"/>
      <c r="B156" s="27" t="n"/>
      <c r="C156" s="4" t="n"/>
      <c r="D156" s="4" t="n"/>
      <c r="E156" s="4" t="n"/>
      <c r="F156" s="4" t="n"/>
      <c r="G156" s="28" t="n"/>
      <c r="H156" s="4" t="n"/>
      <c r="I156" s="4" t="n"/>
      <c r="J156" s="28" t="n"/>
      <c r="K156" s="4" t="n"/>
      <c r="L156" s="29">
        <f>IF($A156="",0,IF($H156="Yes",IF(ISNUMBER($G156),$G156,0)-IF(ISNUMBER($J156),$J156,0),0))</f>
        <v/>
      </c>
    </row>
    <row r="157">
      <c r="A157" s="4" t="n"/>
      <c r="B157" s="27" t="n"/>
      <c r="C157" s="4" t="n"/>
      <c r="D157" s="4" t="n"/>
      <c r="E157" s="4" t="n"/>
      <c r="F157" s="4" t="n"/>
      <c r="G157" s="28" t="n"/>
      <c r="H157" s="4" t="n"/>
      <c r="I157" s="4" t="n"/>
      <c r="J157" s="28" t="n"/>
      <c r="K157" s="4" t="n"/>
      <c r="L157" s="29">
        <f>IF($A157="",0,IF($H157="Yes",IF(ISNUMBER($G157),$G157,0)-IF(ISNUMBER($J157),$J157,0),0))</f>
        <v/>
      </c>
    </row>
    <row r="158">
      <c r="A158" s="4" t="n"/>
      <c r="B158" s="27" t="n"/>
      <c r="C158" s="4" t="n"/>
      <c r="D158" s="4" t="n"/>
      <c r="E158" s="4" t="n"/>
      <c r="F158" s="4" t="n"/>
      <c r="G158" s="28" t="n"/>
      <c r="H158" s="4" t="n"/>
      <c r="I158" s="4" t="n"/>
      <c r="J158" s="28" t="n"/>
      <c r="K158" s="4" t="n"/>
      <c r="L158" s="29">
        <f>IF($A158="",0,IF($H158="Yes",IF(ISNUMBER($G158),$G158,0)-IF(ISNUMBER($J158),$J158,0),0))</f>
        <v/>
      </c>
    </row>
    <row r="159">
      <c r="A159" s="4" t="n"/>
      <c r="B159" s="27" t="n"/>
      <c r="C159" s="4" t="n"/>
      <c r="D159" s="4" t="n"/>
      <c r="E159" s="4" t="n"/>
      <c r="F159" s="4" t="n"/>
      <c r="G159" s="28" t="n"/>
      <c r="H159" s="4" t="n"/>
      <c r="I159" s="4" t="n"/>
      <c r="J159" s="28" t="n"/>
      <c r="K159" s="4" t="n"/>
      <c r="L159" s="29">
        <f>IF($A159="",0,IF($H159="Yes",IF(ISNUMBER($G159),$G159,0)-IF(ISNUMBER($J159),$J159,0),0))</f>
        <v/>
      </c>
    </row>
    <row r="160">
      <c r="A160" s="4" t="n"/>
      <c r="B160" s="27" t="n"/>
      <c r="C160" s="4" t="n"/>
      <c r="D160" s="4" t="n"/>
      <c r="E160" s="4" t="n"/>
      <c r="F160" s="4" t="n"/>
      <c r="G160" s="28" t="n"/>
      <c r="H160" s="4" t="n"/>
      <c r="I160" s="4" t="n"/>
      <c r="J160" s="28" t="n"/>
      <c r="K160" s="4" t="n"/>
      <c r="L160" s="29">
        <f>IF($A160="",0,IF($H160="Yes",IF(ISNUMBER($G160),$G160,0)-IF(ISNUMBER($J160),$J160,0),0))</f>
        <v/>
      </c>
    </row>
    <row r="161">
      <c r="A161" s="4" t="n"/>
      <c r="B161" s="27" t="n"/>
      <c r="C161" s="4" t="n"/>
      <c r="D161" s="4" t="n"/>
      <c r="E161" s="4" t="n"/>
      <c r="F161" s="4" t="n"/>
      <c r="G161" s="28" t="n"/>
      <c r="H161" s="4" t="n"/>
      <c r="I161" s="4" t="n"/>
      <c r="J161" s="28" t="n"/>
      <c r="K161" s="4" t="n"/>
      <c r="L161" s="29">
        <f>IF($A161="",0,IF($H161="Yes",IF(ISNUMBER($G161),$G161,0)-IF(ISNUMBER($J161),$J161,0),0))</f>
        <v/>
      </c>
    </row>
    <row r="162">
      <c r="A162" s="4" t="n"/>
      <c r="B162" s="27" t="n"/>
      <c r="C162" s="4" t="n"/>
      <c r="D162" s="4" t="n"/>
      <c r="E162" s="4" t="n"/>
      <c r="F162" s="4" t="n"/>
      <c r="G162" s="28" t="n"/>
      <c r="H162" s="4" t="n"/>
      <c r="I162" s="4" t="n"/>
      <c r="J162" s="28" t="n"/>
      <c r="K162" s="4" t="n"/>
      <c r="L162" s="29">
        <f>IF($A162="",0,IF($H162="Yes",IF(ISNUMBER($G162),$G162,0)-IF(ISNUMBER($J162),$J162,0),0))</f>
        <v/>
      </c>
    </row>
    <row r="163">
      <c r="A163" s="4" t="n"/>
      <c r="B163" s="27" t="n"/>
      <c r="C163" s="4" t="n"/>
      <c r="D163" s="4" t="n"/>
      <c r="E163" s="4" t="n"/>
      <c r="F163" s="4" t="n"/>
      <c r="G163" s="28" t="n"/>
      <c r="H163" s="4" t="n"/>
      <c r="I163" s="4" t="n"/>
      <c r="J163" s="28" t="n"/>
      <c r="K163" s="4" t="n"/>
      <c r="L163" s="29">
        <f>IF($A163="",0,IF($H163="Yes",IF(ISNUMBER($G163),$G163,0)-IF(ISNUMBER($J163),$J163,0),0))</f>
        <v/>
      </c>
    </row>
    <row r="164">
      <c r="A164" s="4" t="n"/>
      <c r="B164" s="27" t="n"/>
      <c r="C164" s="4" t="n"/>
      <c r="D164" s="4" t="n"/>
      <c r="E164" s="4" t="n"/>
      <c r="F164" s="4" t="n"/>
      <c r="G164" s="28" t="n"/>
      <c r="H164" s="4" t="n"/>
      <c r="I164" s="4" t="n"/>
      <c r="J164" s="28" t="n"/>
      <c r="K164" s="4" t="n"/>
      <c r="L164" s="29">
        <f>IF($A164="",0,IF($H164="Yes",IF(ISNUMBER($G164),$G164,0)-IF(ISNUMBER($J164),$J164,0),0))</f>
        <v/>
      </c>
    </row>
    <row r="165">
      <c r="A165" s="4" t="n"/>
      <c r="B165" s="27" t="n"/>
      <c r="C165" s="4" t="n"/>
      <c r="D165" s="4" t="n"/>
      <c r="E165" s="4" t="n"/>
      <c r="F165" s="4" t="n"/>
      <c r="G165" s="28" t="n"/>
      <c r="H165" s="4" t="n"/>
      <c r="I165" s="4" t="n"/>
      <c r="J165" s="28" t="n"/>
      <c r="K165" s="4" t="n"/>
      <c r="L165" s="29">
        <f>IF($A165="",0,IF($H165="Yes",IF(ISNUMBER($G165),$G165,0)-IF(ISNUMBER($J165),$J165,0),0))</f>
        <v/>
      </c>
    </row>
    <row r="166">
      <c r="A166" s="4" t="n"/>
      <c r="B166" s="27" t="n"/>
      <c r="C166" s="4" t="n"/>
      <c r="D166" s="4" t="n"/>
      <c r="E166" s="4" t="n"/>
      <c r="F166" s="4" t="n"/>
      <c r="G166" s="28" t="n"/>
      <c r="H166" s="4" t="n"/>
      <c r="I166" s="4" t="n"/>
      <c r="J166" s="28" t="n"/>
      <c r="K166" s="4" t="n"/>
      <c r="L166" s="29">
        <f>IF($A166="",0,IF($H166="Yes",IF(ISNUMBER($G166),$G166,0)-IF(ISNUMBER($J166),$J166,0),0))</f>
        <v/>
      </c>
    </row>
    <row r="167">
      <c r="A167" s="4" t="n"/>
      <c r="B167" s="27" t="n"/>
      <c r="C167" s="4" t="n"/>
      <c r="D167" s="4" t="n"/>
      <c r="E167" s="4" t="n"/>
      <c r="F167" s="4" t="n"/>
      <c r="G167" s="28" t="n"/>
      <c r="H167" s="4" t="n"/>
      <c r="I167" s="4" t="n"/>
      <c r="J167" s="28" t="n"/>
      <c r="K167" s="4" t="n"/>
      <c r="L167" s="29">
        <f>IF($A167="",0,IF($H167="Yes",IF(ISNUMBER($G167),$G167,0)-IF(ISNUMBER($J167),$J167,0),0))</f>
        <v/>
      </c>
    </row>
    <row r="168">
      <c r="A168" s="4" t="n"/>
      <c r="B168" s="27" t="n"/>
      <c r="C168" s="4" t="n"/>
      <c r="D168" s="4" t="n"/>
      <c r="E168" s="4" t="n"/>
      <c r="F168" s="4" t="n"/>
      <c r="G168" s="28" t="n"/>
      <c r="H168" s="4" t="n"/>
      <c r="I168" s="4" t="n"/>
      <c r="J168" s="28" t="n"/>
      <c r="K168" s="4" t="n"/>
      <c r="L168" s="29">
        <f>IF($A168="",0,IF($H168="Yes",IF(ISNUMBER($G168),$G168,0)-IF(ISNUMBER($J168),$J168,0),0))</f>
        <v/>
      </c>
    </row>
    <row r="169">
      <c r="A169" s="4" t="n"/>
      <c r="B169" s="27" t="n"/>
      <c r="C169" s="4" t="n"/>
      <c r="D169" s="4" t="n"/>
      <c r="E169" s="4" t="n"/>
      <c r="F169" s="4" t="n"/>
      <c r="G169" s="28" t="n"/>
      <c r="H169" s="4" t="n"/>
      <c r="I169" s="4" t="n"/>
      <c r="J169" s="28" t="n"/>
      <c r="K169" s="4" t="n"/>
      <c r="L169" s="29">
        <f>IF($A169="",0,IF($H169="Yes",IF(ISNUMBER($G169),$G169,0)-IF(ISNUMBER($J169),$J169,0),0))</f>
        <v/>
      </c>
    </row>
    <row r="170">
      <c r="A170" s="4" t="n"/>
      <c r="B170" s="27" t="n"/>
      <c r="C170" s="4" t="n"/>
      <c r="D170" s="4" t="n"/>
      <c r="E170" s="4" t="n"/>
      <c r="F170" s="4" t="n"/>
      <c r="G170" s="28" t="n"/>
      <c r="H170" s="4" t="n"/>
      <c r="I170" s="4" t="n"/>
      <c r="J170" s="28" t="n"/>
      <c r="K170" s="4" t="n"/>
      <c r="L170" s="29">
        <f>IF($A170="",0,IF($H170="Yes",IF(ISNUMBER($G170),$G170,0)-IF(ISNUMBER($J170),$J170,0),0))</f>
        <v/>
      </c>
    </row>
    <row r="171">
      <c r="A171" s="4" t="n"/>
      <c r="B171" s="27" t="n"/>
      <c r="C171" s="4" t="n"/>
      <c r="D171" s="4" t="n"/>
      <c r="E171" s="4" t="n"/>
      <c r="F171" s="4" t="n"/>
      <c r="G171" s="28" t="n"/>
      <c r="H171" s="4" t="n"/>
      <c r="I171" s="4" t="n"/>
      <c r="J171" s="28" t="n"/>
      <c r="K171" s="4" t="n"/>
      <c r="L171" s="29">
        <f>IF($A171="",0,IF($H171="Yes",IF(ISNUMBER($G171),$G171,0)-IF(ISNUMBER($J171),$J171,0),0))</f>
        <v/>
      </c>
    </row>
    <row r="172">
      <c r="A172" s="4" t="n"/>
      <c r="B172" s="27" t="n"/>
      <c r="C172" s="4" t="n"/>
      <c r="D172" s="4" t="n"/>
      <c r="E172" s="4" t="n"/>
      <c r="F172" s="4" t="n"/>
      <c r="G172" s="28" t="n"/>
      <c r="H172" s="4" t="n"/>
      <c r="I172" s="4" t="n"/>
      <c r="J172" s="28" t="n"/>
      <c r="K172" s="4" t="n"/>
      <c r="L172" s="29">
        <f>IF($A172="",0,IF($H172="Yes",IF(ISNUMBER($G172),$G172,0)-IF(ISNUMBER($J172),$J172,0),0))</f>
        <v/>
      </c>
    </row>
    <row r="173">
      <c r="A173" s="4" t="n"/>
      <c r="B173" s="27" t="n"/>
      <c r="C173" s="4" t="n"/>
      <c r="D173" s="4" t="n"/>
      <c r="E173" s="4" t="n"/>
      <c r="F173" s="4" t="n"/>
      <c r="G173" s="28" t="n"/>
      <c r="H173" s="4" t="n"/>
      <c r="I173" s="4" t="n"/>
      <c r="J173" s="28" t="n"/>
      <c r="K173" s="4" t="n"/>
      <c r="L173" s="29">
        <f>IF($A173="",0,IF($H173="Yes",IF(ISNUMBER($G173),$G173,0)-IF(ISNUMBER($J173),$J173,0),0))</f>
        <v/>
      </c>
    </row>
    <row r="174">
      <c r="A174" s="4" t="n"/>
      <c r="B174" s="27" t="n"/>
      <c r="C174" s="4" t="n"/>
      <c r="D174" s="4" t="n"/>
      <c r="E174" s="4" t="n"/>
      <c r="F174" s="4" t="n"/>
      <c r="G174" s="28" t="n"/>
      <c r="H174" s="4" t="n"/>
      <c r="I174" s="4" t="n"/>
      <c r="J174" s="28" t="n"/>
      <c r="K174" s="4" t="n"/>
      <c r="L174" s="29">
        <f>IF($A174="",0,IF($H174="Yes",IF(ISNUMBER($G174),$G174,0)-IF(ISNUMBER($J174),$J174,0),0))</f>
        <v/>
      </c>
    </row>
    <row r="175">
      <c r="A175" s="4" t="n"/>
      <c r="B175" s="27" t="n"/>
      <c r="C175" s="4" t="n"/>
      <c r="D175" s="4" t="n"/>
      <c r="E175" s="4" t="n"/>
      <c r="F175" s="4" t="n"/>
      <c r="G175" s="28" t="n"/>
      <c r="H175" s="4" t="n"/>
      <c r="I175" s="4" t="n"/>
      <c r="J175" s="28" t="n"/>
      <c r="K175" s="4" t="n"/>
      <c r="L175" s="29">
        <f>IF($A175="",0,IF($H175="Yes",IF(ISNUMBER($G175),$G175,0)-IF(ISNUMBER($J175),$J175,0),0))</f>
        <v/>
      </c>
    </row>
    <row r="176">
      <c r="A176" s="4" t="n"/>
      <c r="B176" s="27" t="n"/>
      <c r="C176" s="4" t="n"/>
      <c r="D176" s="4" t="n"/>
      <c r="E176" s="4" t="n"/>
      <c r="F176" s="4" t="n"/>
      <c r="G176" s="28" t="n"/>
      <c r="H176" s="4" t="n"/>
      <c r="I176" s="4" t="n"/>
      <c r="J176" s="28" t="n"/>
      <c r="K176" s="4" t="n"/>
      <c r="L176" s="29">
        <f>IF($A176="",0,IF($H176="Yes",IF(ISNUMBER($G176),$G176,0)-IF(ISNUMBER($J176),$J176,0),0))</f>
        <v/>
      </c>
    </row>
    <row r="177">
      <c r="A177" s="4" t="n"/>
      <c r="B177" s="27" t="n"/>
      <c r="C177" s="4" t="n"/>
      <c r="D177" s="4" t="n"/>
      <c r="E177" s="4" t="n"/>
      <c r="F177" s="4" t="n"/>
      <c r="G177" s="28" t="n"/>
      <c r="H177" s="4" t="n"/>
      <c r="I177" s="4" t="n"/>
      <c r="J177" s="28" t="n"/>
      <c r="K177" s="4" t="n"/>
      <c r="L177" s="29">
        <f>IF($A177="",0,IF($H177="Yes",IF(ISNUMBER($G177),$G177,0)-IF(ISNUMBER($J177),$J177,0),0))</f>
        <v/>
      </c>
    </row>
    <row r="178">
      <c r="A178" s="4" t="n"/>
      <c r="B178" s="27" t="n"/>
      <c r="C178" s="4" t="n"/>
      <c r="D178" s="4" t="n"/>
      <c r="E178" s="4" t="n"/>
      <c r="F178" s="4" t="n"/>
      <c r="G178" s="28" t="n"/>
      <c r="H178" s="4" t="n"/>
      <c r="I178" s="4" t="n"/>
      <c r="J178" s="28" t="n"/>
      <c r="K178" s="4" t="n"/>
      <c r="L178" s="29">
        <f>IF($A178="",0,IF($H178="Yes",IF(ISNUMBER($G178),$G178,0)-IF(ISNUMBER($J178),$J178,0),0))</f>
        <v/>
      </c>
    </row>
    <row r="179">
      <c r="A179" s="4" t="n"/>
      <c r="B179" s="27" t="n"/>
      <c r="C179" s="4" t="n"/>
      <c r="D179" s="4" t="n"/>
      <c r="E179" s="4" t="n"/>
      <c r="F179" s="4" t="n"/>
      <c r="G179" s="28" t="n"/>
      <c r="H179" s="4" t="n"/>
      <c r="I179" s="4" t="n"/>
      <c r="J179" s="28" t="n"/>
      <c r="K179" s="4" t="n"/>
      <c r="L179" s="29">
        <f>IF($A179="",0,IF($H179="Yes",IF(ISNUMBER($G179),$G179,0)-IF(ISNUMBER($J179),$J179,0),0))</f>
        <v/>
      </c>
    </row>
    <row r="180">
      <c r="A180" s="4" t="n"/>
      <c r="B180" s="27" t="n"/>
      <c r="C180" s="4" t="n"/>
      <c r="D180" s="4" t="n"/>
      <c r="E180" s="4" t="n"/>
      <c r="F180" s="4" t="n"/>
      <c r="G180" s="28" t="n"/>
      <c r="H180" s="4" t="n"/>
      <c r="I180" s="4" t="n"/>
      <c r="J180" s="28" t="n"/>
      <c r="K180" s="4" t="n"/>
      <c r="L180" s="29">
        <f>IF($A180="",0,IF($H180="Yes",IF(ISNUMBER($G180),$G180,0)-IF(ISNUMBER($J180),$J180,0),0))</f>
        <v/>
      </c>
    </row>
    <row r="181">
      <c r="A181" s="4" t="n"/>
      <c r="B181" s="27" t="n"/>
      <c r="C181" s="4" t="n"/>
      <c r="D181" s="4" t="n"/>
      <c r="E181" s="4" t="n"/>
      <c r="F181" s="4" t="n"/>
      <c r="G181" s="28" t="n"/>
      <c r="H181" s="4" t="n"/>
      <c r="I181" s="4" t="n"/>
      <c r="J181" s="28" t="n"/>
      <c r="K181" s="4" t="n"/>
      <c r="L181" s="29">
        <f>IF($A181="",0,IF($H181="Yes",IF(ISNUMBER($G181),$G181,0)-IF(ISNUMBER($J181),$J181,0),0))</f>
        <v/>
      </c>
    </row>
    <row r="182">
      <c r="A182" s="4" t="n"/>
      <c r="B182" s="27" t="n"/>
      <c r="C182" s="4" t="n"/>
      <c r="D182" s="4" t="n"/>
      <c r="E182" s="4" t="n"/>
      <c r="F182" s="4" t="n"/>
      <c r="G182" s="28" t="n"/>
      <c r="H182" s="4" t="n"/>
      <c r="I182" s="4" t="n"/>
      <c r="J182" s="28" t="n"/>
      <c r="K182" s="4" t="n"/>
      <c r="L182" s="29">
        <f>IF($A182="",0,IF($H182="Yes",IF(ISNUMBER($G182),$G182,0)-IF(ISNUMBER($J182),$J182,0),0))</f>
        <v/>
      </c>
    </row>
    <row r="183">
      <c r="A183" s="4" t="n"/>
      <c r="B183" s="27" t="n"/>
      <c r="C183" s="4" t="n"/>
      <c r="D183" s="4" t="n"/>
      <c r="E183" s="4" t="n"/>
      <c r="F183" s="4" t="n"/>
      <c r="G183" s="28" t="n"/>
      <c r="H183" s="4" t="n"/>
      <c r="I183" s="4" t="n"/>
      <c r="J183" s="28" t="n"/>
      <c r="K183" s="4" t="n"/>
      <c r="L183" s="29">
        <f>IF($A183="",0,IF($H183="Yes",IF(ISNUMBER($G183),$G183,0)-IF(ISNUMBER($J183),$J183,0),0))</f>
        <v/>
      </c>
    </row>
    <row r="184">
      <c r="A184" s="4" t="n"/>
      <c r="B184" s="27" t="n"/>
      <c r="C184" s="4" t="n"/>
      <c r="D184" s="4" t="n"/>
      <c r="E184" s="4" t="n"/>
      <c r="F184" s="4" t="n"/>
      <c r="G184" s="28" t="n"/>
      <c r="H184" s="4" t="n"/>
      <c r="I184" s="4" t="n"/>
      <c r="J184" s="28" t="n"/>
      <c r="K184" s="4" t="n"/>
      <c r="L184" s="29">
        <f>IF($A184="",0,IF($H184="Yes",IF(ISNUMBER($G184),$G184,0)-IF(ISNUMBER($J184),$J184,0),0))</f>
        <v/>
      </c>
    </row>
    <row r="185">
      <c r="A185" s="4" t="n"/>
      <c r="B185" s="27" t="n"/>
      <c r="C185" s="4" t="n"/>
      <c r="D185" s="4" t="n"/>
      <c r="E185" s="4" t="n"/>
      <c r="F185" s="4" t="n"/>
      <c r="G185" s="28" t="n"/>
      <c r="H185" s="4" t="n"/>
      <c r="I185" s="4" t="n"/>
      <c r="J185" s="28" t="n"/>
      <c r="K185" s="4" t="n"/>
      <c r="L185" s="29">
        <f>IF($A185="",0,IF($H185="Yes",IF(ISNUMBER($G185),$G185,0)-IF(ISNUMBER($J185),$J185,0),0))</f>
        <v/>
      </c>
    </row>
    <row r="186">
      <c r="A186" s="4" t="n"/>
      <c r="B186" s="27" t="n"/>
      <c r="C186" s="4" t="n"/>
      <c r="D186" s="4" t="n"/>
      <c r="E186" s="4" t="n"/>
      <c r="F186" s="4" t="n"/>
      <c r="G186" s="28" t="n"/>
      <c r="H186" s="4" t="n"/>
      <c r="I186" s="4" t="n"/>
      <c r="J186" s="28" t="n"/>
      <c r="K186" s="4" t="n"/>
      <c r="L186" s="29">
        <f>IF($A186="",0,IF($H186="Yes",IF(ISNUMBER($G186),$G186,0)-IF(ISNUMBER($J186),$J186,0),0))</f>
        <v/>
      </c>
    </row>
    <row r="187">
      <c r="A187" s="4" t="n"/>
      <c r="B187" s="27" t="n"/>
      <c r="C187" s="4" t="n"/>
      <c r="D187" s="4" t="n"/>
      <c r="E187" s="4" t="n"/>
      <c r="F187" s="4" t="n"/>
      <c r="G187" s="28" t="n"/>
      <c r="H187" s="4" t="n"/>
      <c r="I187" s="4" t="n"/>
      <c r="J187" s="28" t="n"/>
      <c r="K187" s="4" t="n"/>
      <c r="L187" s="29">
        <f>IF($A187="",0,IF($H187="Yes",IF(ISNUMBER($G187),$G187,0)-IF(ISNUMBER($J187),$J187,0),0))</f>
        <v/>
      </c>
    </row>
    <row r="188">
      <c r="A188" s="4" t="n"/>
      <c r="B188" s="27" t="n"/>
      <c r="C188" s="4" t="n"/>
      <c r="D188" s="4" t="n"/>
      <c r="E188" s="4" t="n"/>
      <c r="F188" s="4" t="n"/>
      <c r="G188" s="28" t="n"/>
      <c r="H188" s="4" t="n"/>
      <c r="I188" s="4" t="n"/>
      <c r="J188" s="28" t="n"/>
      <c r="K188" s="4" t="n"/>
      <c r="L188" s="29">
        <f>IF($A188="",0,IF($H188="Yes",IF(ISNUMBER($G188),$G188,0)-IF(ISNUMBER($J188),$J188,0),0))</f>
        <v/>
      </c>
    </row>
    <row r="189">
      <c r="A189" s="4" t="n"/>
      <c r="B189" s="27" t="n"/>
      <c r="C189" s="4" t="n"/>
      <c r="D189" s="4" t="n"/>
      <c r="E189" s="4" t="n"/>
      <c r="F189" s="4" t="n"/>
      <c r="G189" s="28" t="n"/>
      <c r="H189" s="4" t="n"/>
      <c r="I189" s="4" t="n"/>
      <c r="J189" s="28" t="n"/>
      <c r="K189" s="4" t="n"/>
      <c r="L189" s="29">
        <f>IF($A189="",0,IF($H189="Yes",IF(ISNUMBER($G189),$G189,0)-IF(ISNUMBER($J189),$J189,0),0))</f>
        <v/>
      </c>
    </row>
    <row r="190">
      <c r="A190" s="4" t="n"/>
      <c r="B190" s="27" t="n"/>
      <c r="C190" s="4" t="n"/>
      <c r="D190" s="4" t="n"/>
      <c r="E190" s="4" t="n"/>
      <c r="F190" s="4" t="n"/>
      <c r="G190" s="28" t="n"/>
      <c r="H190" s="4" t="n"/>
      <c r="I190" s="4" t="n"/>
      <c r="J190" s="28" t="n"/>
      <c r="K190" s="4" t="n"/>
      <c r="L190" s="29">
        <f>IF($A190="",0,IF($H190="Yes",IF(ISNUMBER($G190),$G190,0)-IF(ISNUMBER($J190),$J190,0),0))</f>
        <v/>
      </c>
    </row>
    <row r="191">
      <c r="A191" s="4" t="n"/>
      <c r="B191" s="27" t="n"/>
      <c r="C191" s="4" t="n"/>
      <c r="D191" s="4" t="n"/>
      <c r="E191" s="4" t="n"/>
      <c r="F191" s="4" t="n"/>
      <c r="G191" s="28" t="n"/>
      <c r="H191" s="4" t="n"/>
      <c r="I191" s="4" t="n"/>
      <c r="J191" s="28" t="n"/>
      <c r="K191" s="4" t="n"/>
      <c r="L191" s="29">
        <f>IF($A191="",0,IF($H191="Yes",IF(ISNUMBER($G191),$G191,0)-IF(ISNUMBER($J191),$J191,0),0))</f>
        <v/>
      </c>
    </row>
    <row r="192">
      <c r="A192" s="4" t="n"/>
      <c r="B192" s="27" t="n"/>
      <c r="C192" s="4" t="n"/>
      <c r="D192" s="4" t="n"/>
      <c r="E192" s="4" t="n"/>
      <c r="F192" s="4" t="n"/>
      <c r="G192" s="28" t="n"/>
      <c r="H192" s="4" t="n"/>
      <c r="I192" s="4" t="n"/>
      <c r="J192" s="28" t="n"/>
      <c r="K192" s="4" t="n"/>
      <c r="L192" s="29">
        <f>IF($A192="",0,IF($H192="Yes",IF(ISNUMBER($G192),$G192,0)-IF(ISNUMBER($J192),$J192,0),0))</f>
        <v/>
      </c>
    </row>
    <row r="193">
      <c r="A193" s="4" t="n"/>
      <c r="B193" s="27" t="n"/>
      <c r="C193" s="4" t="n"/>
      <c r="D193" s="4" t="n"/>
      <c r="E193" s="4" t="n"/>
      <c r="F193" s="4" t="n"/>
      <c r="G193" s="28" t="n"/>
      <c r="H193" s="4" t="n"/>
      <c r="I193" s="4" t="n"/>
      <c r="J193" s="28" t="n"/>
      <c r="K193" s="4" t="n"/>
      <c r="L193" s="29">
        <f>IF($A193="",0,IF($H193="Yes",IF(ISNUMBER($G193),$G193,0)-IF(ISNUMBER($J193),$J193,0),0))</f>
        <v/>
      </c>
    </row>
    <row r="194">
      <c r="A194" s="4" t="n"/>
      <c r="B194" s="27" t="n"/>
      <c r="C194" s="4" t="n"/>
      <c r="D194" s="4" t="n"/>
      <c r="E194" s="4" t="n"/>
      <c r="F194" s="4" t="n"/>
      <c r="G194" s="28" t="n"/>
      <c r="H194" s="4" t="n"/>
      <c r="I194" s="4" t="n"/>
      <c r="J194" s="28" t="n"/>
      <c r="K194" s="4" t="n"/>
      <c r="L194" s="29">
        <f>IF($A194="",0,IF($H194="Yes",IF(ISNUMBER($G194),$G194,0)-IF(ISNUMBER($J194),$J194,0),0))</f>
        <v/>
      </c>
    </row>
    <row r="195">
      <c r="A195" s="4" t="n"/>
      <c r="B195" s="27" t="n"/>
      <c r="C195" s="4" t="n"/>
      <c r="D195" s="4" t="n"/>
      <c r="E195" s="4" t="n"/>
      <c r="F195" s="4" t="n"/>
      <c r="G195" s="28" t="n"/>
      <c r="H195" s="4" t="n"/>
      <c r="I195" s="4" t="n"/>
      <c r="J195" s="28" t="n"/>
      <c r="K195" s="4" t="n"/>
      <c r="L195" s="29">
        <f>IF($A195="",0,IF($H195="Yes",IF(ISNUMBER($G195),$G195,0)-IF(ISNUMBER($J195),$J195,0),0))</f>
        <v/>
      </c>
    </row>
    <row r="196">
      <c r="A196" s="4" t="n"/>
      <c r="B196" s="27" t="n"/>
      <c r="C196" s="4" t="n"/>
      <c r="D196" s="4" t="n"/>
      <c r="E196" s="4" t="n"/>
      <c r="F196" s="4" t="n"/>
      <c r="G196" s="28" t="n"/>
      <c r="H196" s="4" t="n"/>
      <c r="I196" s="4" t="n"/>
      <c r="J196" s="28" t="n"/>
      <c r="K196" s="4" t="n"/>
      <c r="L196" s="29">
        <f>IF($A196="",0,IF($H196="Yes",IF(ISNUMBER($G196),$G196,0)-IF(ISNUMBER($J196),$J196,0),0))</f>
        <v/>
      </c>
    </row>
    <row r="197">
      <c r="A197" s="4" t="n"/>
      <c r="B197" s="27" t="n"/>
      <c r="C197" s="4" t="n"/>
      <c r="D197" s="4" t="n"/>
      <c r="E197" s="4" t="n"/>
      <c r="F197" s="4" t="n"/>
      <c r="G197" s="28" t="n"/>
      <c r="H197" s="4" t="n"/>
      <c r="I197" s="4" t="n"/>
      <c r="J197" s="28" t="n"/>
      <c r="K197" s="4" t="n"/>
      <c r="L197" s="29">
        <f>IF($A197="",0,IF($H197="Yes",IF(ISNUMBER($G197),$G197,0)-IF(ISNUMBER($J197),$J197,0),0))</f>
        <v/>
      </c>
    </row>
    <row r="198">
      <c r="A198" s="4" t="n"/>
      <c r="B198" s="27" t="n"/>
      <c r="C198" s="4" t="n"/>
      <c r="D198" s="4" t="n"/>
      <c r="E198" s="4" t="n"/>
      <c r="F198" s="4" t="n"/>
      <c r="G198" s="28" t="n"/>
      <c r="H198" s="4" t="n"/>
      <c r="I198" s="4" t="n"/>
      <c r="J198" s="28" t="n"/>
      <c r="K198" s="4" t="n"/>
      <c r="L198" s="29">
        <f>IF($A198="",0,IF($H198="Yes",IF(ISNUMBER($G198),$G198,0)-IF(ISNUMBER($J198),$J198,0),0))</f>
        <v/>
      </c>
    </row>
    <row r="199">
      <c r="A199" s="4" t="n"/>
      <c r="B199" s="27" t="n"/>
      <c r="C199" s="4" t="n"/>
      <c r="D199" s="4" t="n"/>
      <c r="E199" s="4" t="n"/>
      <c r="F199" s="4" t="n"/>
      <c r="G199" s="28" t="n"/>
      <c r="H199" s="4" t="n"/>
      <c r="I199" s="4" t="n"/>
      <c r="J199" s="28" t="n"/>
      <c r="K199" s="4" t="n"/>
      <c r="L199" s="29">
        <f>IF($A199="",0,IF($H199="Yes",IF(ISNUMBER($G199),$G199,0)-IF(ISNUMBER($J199),$J199,0),0))</f>
        <v/>
      </c>
    </row>
    <row r="200">
      <c r="A200" s="4" t="n"/>
      <c r="B200" s="27" t="n"/>
      <c r="C200" s="4" t="n"/>
      <c r="D200" s="4" t="n"/>
      <c r="E200" s="4" t="n"/>
      <c r="F200" s="4" t="n"/>
      <c r="G200" s="28" t="n"/>
      <c r="H200" s="4" t="n"/>
      <c r="I200" s="4" t="n"/>
      <c r="J200" s="28" t="n"/>
      <c r="K200" s="4" t="n"/>
      <c r="L200" s="29">
        <f>IF($A200="",0,IF($H200="Yes",IF(ISNUMBER($G200),$G200,0)-IF(ISNUMBER($J200),$J200,0),0))</f>
        <v/>
      </c>
    </row>
    <row r="201">
      <c r="A201" s="4" t="n"/>
      <c r="B201" s="27" t="n"/>
      <c r="C201" s="4" t="n"/>
      <c r="D201" s="4" t="n"/>
      <c r="E201" s="4" t="n"/>
      <c r="F201" s="4" t="n"/>
      <c r="G201" s="28" t="n"/>
      <c r="H201" s="4" t="n"/>
      <c r="I201" s="4" t="n"/>
      <c r="J201" s="28" t="n"/>
      <c r="K201" s="4" t="n"/>
      <c r="L201" s="29">
        <f>IF($A201="",0,IF($H201="Yes",IF(ISNUMBER($G201),$G201,0)-IF(ISNUMBER($J201),$J201,0),0))</f>
        <v/>
      </c>
    </row>
    <row r="202">
      <c r="A202" s="4" t="n"/>
      <c r="B202" s="27" t="n"/>
      <c r="C202" s="4" t="n"/>
      <c r="D202" s="4" t="n"/>
      <c r="E202" s="4" t="n"/>
      <c r="F202" s="4" t="n"/>
      <c r="G202" s="28" t="n"/>
      <c r="H202" s="4" t="n"/>
      <c r="I202" s="4" t="n"/>
      <c r="J202" s="28" t="n"/>
      <c r="K202" s="4" t="n"/>
      <c r="L202" s="29">
        <f>IF($A202="",0,IF($H202="Yes",IF(ISNUMBER($G202),$G202,0)-IF(ISNUMBER($J202),$J202,0),0))</f>
        <v/>
      </c>
    </row>
    <row r="203">
      <c r="A203" s="4" t="n"/>
      <c r="B203" s="27" t="n"/>
      <c r="C203" s="4" t="n"/>
      <c r="D203" s="4" t="n"/>
      <c r="E203" s="4" t="n"/>
      <c r="F203" s="4" t="n"/>
      <c r="G203" s="28" t="n"/>
      <c r="H203" s="4" t="n"/>
      <c r="I203" s="4" t="n"/>
      <c r="J203" s="28" t="n"/>
      <c r="K203" s="4" t="n"/>
      <c r="L203" s="29">
        <f>IF($A203="",0,IF($H203="Yes",IF(ISNUMBER($G203),$G203,0)-IF(ISNUMBER($J203),$J203,0),0))</f>
        <v/>
      </c>
    </row>
    <row r="204">
      <c r="A204" s="4" t="n"/>
      <c r="B204" s="27" t="n"/>
      <c r="C204" s="4" t="n"/>
      <c r="D204" s="4" t="n"/>
      <c r="E204" s="4" t="n"/>
      <c r="F204" s="4" t="n"/>
      <c r="G204" s="28" t="n"/>
      <c r="H204" s="4" t="n"/>
      <c r="I204" s="4" t="n"/>
      <c r="J204" s="28" t="n"/>
      <c r="K204" s="4" t="n"/>
      <c r="L204" s="29">
        <f>IF($A204="",0,IF($H204="Yes",IF(ISNUMBER($G204),$G204,0)-IF(ISNUMBER($J204),$J204,0),0))</f>
        <v/>
      </c>
    </row>
    <row r="205">
      <c r="A205" s="4" t="n"/>
      <c r="B205" s="27" t="n"/>
      <c r="C205" s="4" t="n"/>
      <c r="D205" s="4" t="n"/>
      <c r="E205" s="4" t="n"/>
      <c r="F205" s="4" t="n"/>
      <c r="G205" s="28" t="n"/>
      <c r="H205" s="4" t="n"/>
      <c r="I205" s="4" t="n"/>
      <c r="J205" s="28" t="n"/>
      <c r="K205" s="4" t="n"/>
      <c r="L205" s="29">
        <f>IF($A205="",0,IF($H205="Yes",IF(ISNUMBER($G205),$G205,0)-IF(ISNUMBER($J205),$J205,0),0))</f>
        <v/>
      </c>
    </row>
    <row r="206">
      <c r="A206" s="4" t="n"/>
      <c r="B206" s="27" t="n"/>
      <c r="C206" s="4" t="n"/>
      <c r="D206" s="4" t="n"/>
      <c r="E206" s="4" t="n"/>
      <c r="F206" s="4" t="n"/>
      <c r="G206" s="28" t="n"/>
      <c r="H206" s="4" t="n"/>
      <c r="I206" s="4" t="n"/>
      <c r="J206" s="28" t="n"/>
      <c r="K206" s="4" t="n"/>
      <c r="L206" s="29">
        <f>IF($A206="",0,IF($H206="Yes",IF(ISNUMBER($G206),$G206,0)-IF(ISNUMBER($J206),$J206,0),0))</f>
        <v/>
      </c>
    </row>
    <row r="207">
      <c r="A207" s="4" t="n"/>
      <c r="B207" s="27" t="n"/>
      <c r="C207" s="4" t="n"/>
      <c r="D207" s="4" t="n"/>
      <c r="E207" s="4" t="n"/>
      <c r="F207" s="4" t="n"/>
      <c r="G207" s="28" t="n"/>
      <c r="H207" s="4" t="n"/>
      <c r="I207" s="4" t="n"/>
      <c r="J207" s="28" t="n"/>
      <c r="K207" s="4" t="n"/>
      <c r="L207" s="29">
        <f>IF($A207="",0,IF($H207="Yes",IF(ISNUMBER($G207),$G207,0)-IF(ISNUMBER($J207),$J207,0),0))</f>
        <v/>
      </c>
    </row>
    <row r="208">
      <c r="A208" s="4" t="n"/>
      <c r="B208" s="27" t="n"/>
      <c r="C208" s="4" t="n"/>
      <c r="D208" s="4" t="n"/>
      <c r="E208" s="4" t="n"/>
      <c r="F208" s="4" t="n"/>
      <c r="G208" s="28" t="n"/>
      <c r="H208" s="4" t="n"/>
      <c r="I208" s="4" t="n"/>
      <c r="J208" s="28" t="n"/>
      <c r="K208" s="4" t="n"/>
      <c r="L208" s="29">
        <f>IF($A208="",0,IF($H208="Yes",IF(ISNUMBER($G208),$G208,0)-IF(ISNUMBER($J208),$J208,0),0))</f>
        <v/>
      </c>
    </row>
    <row r="209">
      <c r="A209" s="4" t="n"/>
      <c r="B209" s="27" t="n"/>
      <c r="C209" s="4" t="n"/>
      <c r="D209" s="4" t="n"/>
      <c r="E209" s="4" t="n"/>
      <c r="F209" s="4" t="n"/>
      <c r="G209" s="28" t="n"/>
      <c r="H209" s="4" t="n"/>
      <c r="I209" s="4" t="n"/>
      <c r="J209" s="28" t="n"/>
      <c r="K209" s="4" t="n"/>
      <c r="L209" s="29">
        <f>IF($A209="",0,IF($H209="Yes",IF(ISNUMBER($G209),$G209,0)-IF(ISNUMBER($J209),$J209,0),0))</f>
        <v/>
      </c>
    </row>
    <row r="210">
      <c r="A210" s="4" t="n"/>
      <c r="B210" s="27" t="n"/>
      <c r="C210" s="4" t="n"/>
      <c r="D210" s="4" t="n"/>
      <c r="E210" s="4" t="n"/>
      <c r="F210" s="4" t="n"/>
      <c r="G210" s="28" t="n"/>
      <c r="H210" s="4" t="n"/>
      <c r="I210" s="4" t="n"/>
      <c r="J210" s="28" t="n"/>
      <c r="K210" s="4" t="n"/>
      <c r="L210" s="29">
        <f>IF($A210="",0,IF($H210="Yes",IF(ISNUMBER($G210),$G210,0)-IF(ISNUMBER($J210),$J210,0),0))</f>
        <v/>
      </c>
    </row>
    <row r="211">
      <c r="A211" s="4" t="n"/>
      <c r="B211" s="27" t="n"/>
      <c r="C211" s="4" t="n"/>
      <c r="D211" s="4" t="n"/>
      <c r="E211" s="4" t="n"/>
      <c r="F211" s="4" t="n"/>
      <c r="G211" s="28" t="n"/>
      <c r="H211" s="4" t="n"/>
      <c r="I211" s="4" t="n"/>
      <c r="J211" s="28" t="n"/>
      <c r="K211" s="4" t="n"/>
      <c r="L211" s="29">
        <f>IF($A211="",0,IF($H211="Yes",IF(ISNUMBER($G211),$G211,0)-IF(ISNUMBER($J211),$J211,0),0))</f>
        <v/>
      </c>
    </row>
    <row r="212">
      <c r="A212" s="4" t="n"/>
      <c r="B212" s="27" t="n"/>
      <c r="C212" s="4" t="n"/>
      <c r="D212" s="4" t="n"/>
      <c r="E212" s="4" t="n"/>
      <c r="F212" s="4" t="n"/>
      <c r="G212" s="28" t="n"/>
      <c r="H212" s="4" t="n"/>
      <c r="I212" s="4" t="n"/>
      <c r="J212" s="28" t="n"/>
      <c r="K212" s="4" t="n"/>
      <c r="L212" s="29">
        <f>IF($A212="",0,IF($H212="Yes",IF(ISNUMBER($G212),$G212,0)-IF(ISNUMBER($J212),$J212,0),0))</f>
        <v/>
      </c>
    </row>
    <row r="213">
      <c r="A213" s="4" t="n"/>
      <c r="B213" s="27" t="n"/>
      <c r="C213" s="4" t="n"/>
      <c r="D213" s="4" t="n"/>
      <c r="E213" s="4" t="n"/>
      <c r="F213" s="4" t="n"/>
      <c r="G213" s="28" t="n"/>
      <c r="H213" s="4" t="n"/>
      <c r="I213" s="4" t="n"/>
      <c r="J213" s="28" t="n"/>
      <c r="K213" s="4" t="n"/>
      <c r="L213" s="29">
        <f>IF($A213="",0,IF($H213="Yes",IF(ISNUMBER($G213),$G213,0)-IF(ISNUMBER($J213),$J213,0),0))</f>
        <v/>
      </c>
    </row>
    <row r="214">
      <c r="A214" s="4" t="n"/>
      <c r="B214" s="27" t="n"/>
      <c r="C214" s="4" t="n"/>
      <c r="D214" s="4" t="n"/>
      <c r="E214" s="4" t="n"/>
      <c r="F214" s="4" t="n"/>
      <c r="G214" s="28" t="n"/>
      <c r="H214" s="4" t="n"/>
      <c r="I214" s="4" t="n"/>
      <c r="J214" s="28" t="n"/>
      <c r="K214" s="4" t="n"/>
      <c r="L214" s="29">
        <f>IF($A214="",0,IF($H214="Yes",IF(ISNUMBER($G214),$G214,0)-IF(ISNUMBER($J214),$J214,0),0))</f>
        <v/>
      </c>
    </row>
    <row r="215">
      <c r="A215" s="4" t="n"/>
      <c r="B215" s="27" t="n"/>
      <c r="C215" s="4" t="n"/>
      <c r="D215" s="4" t="n"/>
      <c r="E215" s="4" t="n"/>
      <c r="F215" s="4" t="n"/>
      <c r="G215" s="28" t="n"/>
      <c r="H215" s="4" t="n"/>
      <c r="I215" s="4" t="n"/>
      <c r="J215" s="28" t="n"/>
      <c r="K215" s="4" t="n"/>
      <c r="L215" s="29">
        <f>IF($A215="",0,IF($H215="Yes",IF(ISNUMBER($G215),$G215,0)-IF(ISNUMBER($J215),$J215,0),0))</f>
        <v/>
      </c>
    </row>
    <row r="216">
      <c r="A216" s="4" t="n"/>
      <c r="B216" s="27" t="n"/>
      <c r="C216" s="4" t="n"/>
      <c r="D216" s="4" t="n"/>
      <c r="E216" s="4" t="n"/>
      <c r="F216" s="4" t="n"/>
      <c r="G216" s="28" t="n"/>
      <c r="H216" s="4" t="n"/>
      <c r="I216" s="4" t="n"/>
      <c r="J216" s="28" t="n"/>
      <c r="K216" s="4" t="n"/>
      <c r="L216" s="29">
        <f>IF($A216="",0,IF($H216="Yes",IF(ISNUMBER($G216),$G216,0)-IF(ISNUMBER($J216),$J216,0),0))</f>
        <v/>
      </c>
    </row>
    <row r="217">
      <c r="A217" s="4" t="n"/>
      <c r="B217" s="27" t="n"/>
      <c r="C217" s="4" t="n"/>
      <c r="D217" s="4" t="n"/>
      <c r="E217" s="4" t="n"/>
      <c r="F217" s="4" t="n"/>
      <c r="G217" s="28" t="n"/>
      <c r="H217" s="4" t="n"/>
      <c r="I217" s="4" t="n"/>
      <c r="J217" s="28" t="n"/>
      <c r="K217" s="4" t="n"/>
      <c r="L217" s="29">
        <f>IF($A217="",0,IF($H217="Yes",IF(ISNUMBER($G217),$G217,0)-IF(ISNUMBER($J217),$J217,0),0))</f>
        <v/>
      </c>
    </row>
    <row r="218">
      <c r="A218" s="4" t="n"/>
      <c r="B218" s="27" t="n"/>
      <c r="C218" s="4" t="n"/>
      <c r="D218" s="4" t="n"/>
      <c r="E218" s="4" t="n"/>
      <c r="F218" s="4" t="n"/>
      <c r="G218" s="28" t="n"/>
      <c r="H218" s="4" t="n"/>
      <c r="I218" s="4" t="n"/>
      <c r="J218" s="28" t="n"/>
      <c r="K218" s="4" t="n"/>
      <c r="L218" s="29">
        <f>IF($A218="",0,IF($H218="Yes",IF(ISNUMBER($G218),$G218,0)-IF(ISNUMBER($J218),$J218,0),0))</f>
        <v/>
      </c>
    </row>
    <row r="219">
      <c r="A219" s="4" t="n"/>
      <c r="B219" s="27" t="n"/>
      <c r="C219" s="4" t="n"/>
      <c r="D219" s="4" t="n"/>
      <c r="E219" s="4" t="n"/>
      <c r="F219" s="4" t="n"/>
      <c r="G219" s="28" t="n"/>
      <c r="H219" s="4" t="n"/>
      <c r="I219" s="4" t="n"/>
      <c r="J219" s="28" t="n"/>
      <c r="K219" s="4" t="n"/>
      <c r="L219" s="29">
        <f>IF($A219="",0,IF($H219="Yes",IF(ISNUMBER($G219),$G219,0)-IF(ISNUMBER($J219),$J219,0),0))</f>
        <v/>
      </c>
    </row>
    <row r="220">
      <c r="A220" s="4" t="n"/>
      <c r="B220" s="27" t="n"/>
      <c r="C220" s="4" t="n"/>
      <c r="D220" s="4" t="n"/>
      <c r="E220" s="4" t="n"/>
      <c r="F220" s="4" t="n"/>
      <c r="G220" s="28" t="n"/>
      <c r="H220" s="4" t="n"/>
      <c r="I220" s="4" t="n"/>
      <c r="J220" s="28" t="n"/>
      <c r="K220" s="4" t="n"/>
      <c r="L220" s="29">
        <f>IF($A220="",0,IF($H220="Yes",IF(ISNUMBER($G220),$G220,0)-IF(ISNUMBER($J220),$J220,0),0))</f>
        <v/>
      </c>
    </row>
    <row r="221">
      <c r="A221" s="4" t="n"/>
      <c r="B221" s="27" t="n"/>
      <c r="C221" s="4" t="n"/>
      <c r="D221" s="4" t="n"/>
      <c r="E221" s="4" t="n"/>
      <c r="F221" s="4" t="n"/>
      <c r="G221" s="28" t="n"/>
      <c r="H221" s="4" t="n"/>
      <c r="I221" s="4" t="n"/>
      <c r="J221" s="28" t="n"/>
      <c r="K221" s="4" t="n"/>
      <c r="L221" s="29">
        <f>IF($A221="",0,IF($H221="Yes",IF(ISNUMBER($G221),$G221,0)-IF(ISNUMBER($J221),$J221,0),0))</f>
        <v/>
      </c>
    </row>
    <row r="222">
      <c r="A222" s="4" t="n"/>
      <c r="B222" s="27" t="n"/>
      <c r="C222" s="4" t="n"/>
      <c r="D222" s="4" t="n"/>
      <c r="E222" s="4" t="n"/>
      <c r="F222" s="4" t="n"/>
      <c r="G222" s="28" t="n"/>
      <c r="H222" s="4" t="n"/>
      <c r="I222" s="4" t="n"/>
      <c r="J222" s="28" t="n"/>
      <c r="K222" s="4" t="n"/>
      <c r="L222" s="29">
        <f>IF($A222="",0,IF($H222="Yes",IF(ISNUMBER($G222),$G222,0)-IF(ISNUMBER($J222),$J222,0),0))</f>
        <v/>
      </c>
    </row>
    <row r="223">
      <c r="A223" s="4" t="n"/>
      <c r="B223" s="27" t="n"/>
      <c r="C223" s="4" t="n"/>
      <c r="D223" s="4" t="n"/>
      <c r="E223" s="4" t="n"/>
      <c r="F223" s="4" t="n"/>
      <c r="G223" s="28" t="n"/>
      <c r="H223" s="4" t="n"/>
      <c r="I223" s="4" t="n"/>
      <c r="J223" s="28" t="n"/>
      <c r="K223" s="4" t="n"/>
      <c r="L223" s="29">
        <f>IF($A223="",0,IF($H223="Yes",IF(ISNUMBER($G223),$G223,0)-IF(ISNUMBER($J223),$J223,0),0))</f>
        <v/>
      </c>
    </row>
    <row r="224">
      <c r="A224" s="4" t="n"/>
      <c r="B224" s="27" t="n"/>
      <c r="C224" s="4" t="n"/>
      <c r="D224" s="4" t="n"/>
      <c r="E224" s="4" t="n"/>
      <c r="F224" s="4" t="n"/>
      <c r="G224" s="28" t="n"/>
      <c r="H224" s="4" t="n"/>
      <c r="I224" s="4" t="n"/>
      <c r="J224" s="28" t="n"/>
      <c r="K224" s="4" t="n"/>
      <c r="L224" s="29">
        <f>IF($A224="",0,IF($H224="Yes",IF(ISNUMBER($G224),$G224,0)-IF(ISNUMBER($J224),$J224,0),0))</f>
        <v/>
      </c>
    </row>
    <row r="225">
      <c r="A225" s="4" t="n"/>
      <c r="B225" s="27" t="n"/>
      <c r="C225" s="4" t="n"/>
      <c r="D225" s="4" t="n"/>
      <c r="E225" s="4" t="n"/>
      <c r="F225" s="4" t="n"/>
      <c r="G225" s="28" t="n"/>
      <c r="H225" s="4" t="n"/>
      <c r="I225" s="4" t="n"/>
      <c r="J225" s="28" t="n"/>
      <c r="K225" s="4" t="n"/>
      <c r="L225" s="29">
        <f>IF($A225="",0,IF($H225="Yes",IF(ISNUMBER($G225),$G225,0)-IF(ISNUMBER($J225),$J225,0),0))</f>
        <v/>
      </c>
    </row>
    <row r="226">
      <c r="A226" s="4" t="n"/>
      <c r="B226" s="27" t="n"/>
      <c r="C226" s="4" t="n"/>
      <c r="D226" s="4" t="n"/>
      <c r="E226" s="4" t="n"/>
      <c r="F226" s="4" t="n"/>
      <c r="G226" s="28" t="n"/>
      <c r="H226" s="4" t="n"/>
      <c r="I226" s="4" t="n"/>
      <c r="J226" s="28" t="n"/>
      <c r="K226" s="4" t="n"/>
      <c r="L226" s="29">
        <f>IF($A226="",0,IF($H226="Yes",IF(ISNUMBER($G226),$G226,0)-IF(ISNUMBER($J226),$J226,0),0))</f>
        <v/>
      </c>
    </row>
    <row r="227">
      <c r="A227" s="4" t="n"/>
      <c r="B227" s="27" t="n"/>
      <c r="C227" s="4" t="n"/>
      <c r="D227" s="4" t="n"/>
      <c r="E227" s="4" t="n"/>
      <c r="F227" s="4" t="n"/>
      <c r="G227" s="28" t="n"/>
      <c r="H227" s="4" t="n"/>
      <c r="I227" s="4" t="n"/>
      <c r="J227" s="28" t="n"/>
      <c r="K227" s="4" t="n"/>
      <c r="L227" s="29">
        <f>IF($A227="",0,IF($H227="Yes",IF(ISNUMBER($G227),$G227,0)-IF(ISNUMBER($J227),$J227,0),0))</f>
        <v/>
      </c>
    </row>
    <row r="228">
      <c r="A228" s="4" t="n"/>
      <c r="B228" s="27" t="n"/>
      <c r="C228" s="4" t="n"/>
      <c r="D228" s="4" t="n"/>
      <c r="E228" s="4" t="n"/>
      <c r="F228" s="4" t="n"/>
      <c r="G228" s="28" t="n"/>
      <c r="H228" s="4" t="n"/>
      <c r="I228" s="4" t="n"/>
      <c r="J228" s="28" t="n"/>
      <c r="K228" s="4" t="n"/>
      <c r="L228" s="29">
        <f>IF($A228="",0,IF($H228="Yes",IF(ISNUMBER($G228),$G228,0)-IF(ISNUMBER($J228),$J228,0),0))</f>
        <v/>
      </c>
    </row>
    <row r="229">
      <c r="A229" s="4" t="n"/>
      <c r="B229" s="27" t="n"/>
      <c r="C229" s="4" t="n"/>
      <c r="D229" s="4" t="n"/>
      <c r="E229" s="4" t="n"/>
      <c r="F229" s="4" t="n"/>
      <c r="G229" s="28" t="n"/>
      <c r="H229" s="4" t="n"/>
      <c r="I229" s="4" t="n"/>
      <c r="J229" s="28" t="n"/>
      <c r="K229" s="4" t="n"/>
      <c r="L229" s="29">
        <f>IF($A229="",0,IF($H229="Yes",IF(ISNUMBER($G229),$G229,0)-IF(ISNUMBER($J229),$J229,0),0))</f>
        <v/>
      </c>
    </row>
    <row r="230">
      <c r="A230" s="4" t="n"/>
      <c r="B230" s="27" t="n"/>
      <c r="C230" s="4" t="n"/>
      <c r="D230" s="4" t="n"/>
      <c r="E230" s="4" t="n"/>
      <c r="F230" s="4" t="n"/>
      <c r="G230" s="28" t="n"/>
      <c r="H230" s="4" t="n"/>
      <c r="I230" s="4" t="n"/>
      <c r="J230" s="28" t="n"/>
      <c r="K230" s="4" t="n"/>
      <c r="L230" s="29">
        <f>IF($A230="",0,IF($H230="Yes",IF(ISNUMBER($G230),$G230,0)-IF(ISNUMBER($J230),$J230,0),0))</f>
        <v/>
      </c>
    </row>
    <row r="231">
      <c r="A231" s="4" t="n"/>
      <c r="B231" s="27" t="n"/>
      <c r="C231" s="4" t="n"/>
      <c r="D231" s="4" t="n"/>
      <c r="E231" s="4" t="n"/>
      <c r="F231" s="4" t="n"/>
      <c r="G231" s="28" t="n"/>
      <c r="H231" s="4" t="n"/>
      <c r="I231" s="4" t="n"/>
      <c r="J231" s="28" t="n"/>
      <c r="K231" s="4" t="n"/>
      <c r="L231" s="29">
        <f>IF($A231="",0,IF($H231="Yes",IF(ISNUMBER($G231),$G231,0)-IF(ISNUMBER($J231),$J231,0),0))</f>
        <v/>
      </c>
    </row>
    <row r="232">
      <c r="A232" s="4" t="n"/>
      <c r="B232" s="27" t="n"/>
      <c r="C232" s="4" t="n"/>
      <c r="D232" s="4" t="n"/>
      <c r="E232" s="4" t="n"/>
      <c r="F232" s="4" t="n"/>
      <c r="G232" s="28" t="n"/>
      <c r="H232" s="4" t="n"/>
      <c r="I232" s="4" t="n"/>
      <c r="J232" s="28" t="n"/>
      <c r="K232" s="4" t="n"/>
      <c r="L232" s="29">
        <f>IF($A232="",0,IF($H232="Yes",IF(ISNUMBER($G232),$G232,0)-IF(ISNUMBER($J232),$J232,0),0))</f>
        <v/>
      </c>
    </row>
    <row r="233">
      <c r="A233" s="4" t="n"/>
      <c r="B233" s="27" t="n"/>
      <c r="C233" s="4" t="n"/>
      <c r="D233" s="4" t="n"/>
      <c r="E233" s="4" t="n"/>
      <c r="F233" s="4" t="n"/>
      <c r="G233" s="28" t="n"/>
      <c r="H233" s="4" t="n"/>
      <c r="I233" s="4" t="n"/>
      <c r="J233" s="28" t="n"/>
      <c r="K233" s="4" t="n"/>
      <c r="L233" s="29">
        <f>IF($A233="",0,IF($H233="Yes",IF(ISNUMBER($G233),$G233,0)-IF(ISNUMBER($J233),$J233,0),0))</f>
        <v/>
      </c>
    </row>
    <row r="234">
      <c r="A234" s="4" t="n"/>
      <c r="B234" s="27" t="n"/>
      <c r="C234" s="4" t="n"/>
      <c r="D234" s="4" t="n"/>
      <c r="E234" s="4" t="n"/>
      <c r="F234" s="4" t="n"/>
      <c r="G234" s="28" t="n"/>
      <c r="H234" s="4" t="n"/>
      <c r="I234" s="4" t="n"/>
      <c r="J234" s="28" t="n"/>
      <c r="K234" s="4" t="n"/>
      <c r="L234" s="29">
        <f>IF($A234="",0,IF($H234="Yes",IF(ISNUMBER($G234),$G234,0)-IF(ISNUMBER($J234),$J234,0),0))</f>
        <v/>
      </c>
    </row>
    <row r="235">
      <c r="A235" s="4" t="n"/>
      <c r="B235" s="27" t="n"/>
      <c r="C235" s="4" t="n"/>
      <c r="D235" s="4" t="n"/>
      <c r="E235" s="4" t="n"/>
      <c r="F235" s="4" t="n"/>
      <c r="G235" s="28" t="n"/>
      <c r="H235" s="4" t="n"/>
      <c r="I235" s="4" t="n"/>
      <c r="J235" s="28" t="n"/>
      <c r="K235" s="4" t="n"/>
      <c r="L235" s="29">
        <f>IF($A235="",0,IF($H235="Yes",IF(ISNUMBER($G235),$G235,0)-IF(ISNUMBER($J235),$J235,0),0))</f>
        <v/>
      </c>
    </row>
    <row r="236">
      <c r="A236" s="4" t="n"/>
      <c r="B236" s="27" t="n"/>
      <c r="C236" s="4" t="n"/>
      <c r="D236" s="4" t="n"/>
      <c r="E236" s="4" t="n"/>
      <c r="F236" s="4" t="n"/>
      <c r="G236" s="28" t="n"/>
      <c r="H236" s="4" t="n"/>
      <c r="I236" s="4" t="n"/>
      <c r="J236" s="28" t="n"/>
      <c r="K236" s="4" t="n"/>
      <c r="L236" s="29">
        <f>IF($A236="",0,IF($H236="Yes",IF(ISNUMBER($G236),$G236,0)-IF(ISNUMBER($J236),$J236,0),0))</f>
        <v/>
      </c>
    </row>
    <row r="237">
      <c r="A237" s="4" t="n"/>
      <c r="B237" s="27" t="n"/>
      <c r="C237" s="4" t="n"/>
      <c r="D237" s="4" t="n"/>
      <c r="E237" s="4" t="n"/>
      <c r="F237" s="4" t="n"/>
      <c r="G237" s="28" t="n"/>
      <c r="H237" s="4" t="n"/>
      <c r="I237" s="4" t="n"/>
      <c r="J237" s="28" t="n"/>
      <c r="K237" s="4" t="n"/>
      <c r="L237" s="29">
        <f>IF($A237="",0,IF($H237="Yes",IF(ISNUMBER($G237),$G237,0)-IF(ISNUMBER($J237),$J237,0),0))</f>
        <v/>
      </c>
    </row>
    <row r="238">
      <c r="A238" s="4" t="n"/>
      <c r="B238" s="27" t="n"/>
      <c r="C238" s="4" t="n"/>
      <c r="D238" s="4" t="n"/>
      <c r="E238" s="4" t="n"/>
      <c r="F238" s="4" t="n"/>
      <c r="G238" s="28" t="n"/>
      <c r="H238" s="4" t="n"/>
      <c r="I238" s="4" t="n"/>
      <c r="J238" s="28" t="n"/>
      <c r="K238" s="4" t="n"/>
      <c r="L238" s="29">
        <f>IF($A238="",0,IF($H238="Yes",IF(ISNUMBER($G238),$G238,0)-IF(ISNUMBER($J238),$J238,0),0))</f>
        <v/>
      </c>
    </row>
    <row r="239">
      <c r="A239" s="4" t="n"/>
      <c r="B239" s="27" t="n"/>
      <c r="C239" s="4" t="n"/>
      <c r="D239" s="4" t="n"/>
      <c r="E239" s="4" t="n"/>
      <c r="F239" s="4" t="n"/>
      <c r="G239" s="28" t="n"/>
      <c r="H239" s="4" t="n"/>
      <c r="I239" s="4" t="n"/>
      <c r="J239" s="28" t="n"/>
      <c r="K239" s="4" t="n"/>
      <c r="L239" s="29">
        <f>IF($A239="",0,IF($H239="Yes",IF(ISNUMBER($G239),$G239,0)-IF(ISNUMBER($J239),$J239,0),0))</f>
        <v/>
      </c>
    </row>
    <row r="240">
      <c r="A240" s="4" t="n"/>
      <c r="B240" s="27" t="n"/>
      <c r="C240" s="4" t="n"/>
      <c r="D240" s="4" t="n"/>
      <c r="E240" s="4" t="n"/>
      <c r="F240" s="4" t="n"/>
      <c r="G240" s="28" t="n"/>
      <c r="H240" s="4" t="n"/>
      <c r="I240" s="4" t="n"/>
      <c r="J240" s="28" t="n"/>
      <c r="K240" s="4" t="n"/>
      <c r="L240" s="29">
        <f>IF($A240="",0,IF($H240="Yes",IF(ISNUMBER($G240),$G240,0)-IF(ISNUMBER($J240),$J240,0),0))</f>
        <v/>
      </c>
    </row>
    <row r="241">
      <c r="A241" s="4" t="n"/>
      <c r="B241" s="27" t="n"/>
      <c r="C241" s="4" t="n"/>
      <c r="D241" s="4" t="n"/>
      <c r="E241" s="4" t="n"/>
      <c r="F241" s="4" t="n"/>
      <c r="G241" s="28" t="n"/>
      <c r="H241" s="4" t="n"/>
      <c r="I241" s="4" t="n"/>
      <c r="J241" s="28" t="n"/>
      <c r="K241" s="4" t="n"/>
      <c r="L241" s="29">
        <f>IF($A241="",0,IF($H241="Yes",IF(ISNUMBER($G241),$G241,0)-IF(ISNUMBER($J241),$J241,0),0))</f>
        <v/>
      </c>
    </row>
    <row r="242">
      <c r="A242" s="4" t="n"/>
      <c r="B242" s="27" t="n"/>
      <c r="C242" s="4" t="n"/>
      <c r="D242" s="4" t="n"/>
      <c r="E242" s="4" t="n"/>
      <c r="F242" s="4" t="n"/>
      <c r="G242" s="28" t="n"/>
      <c r="H242" s="4" t="n"/>
      <c r="I242" s="4" t="n"/>
      <c r="J242" s="28" t="n"/>
      <c r="K242" s="4" t="n"/>
      <c r="L242" s="29">
        <f>IF($A242="",0,IF($H242="Yes",IF(ISNUMBER($G242),$G242,0)-IF(ISNUMBER($J242),$J242,0),0))</f>
        <v/>
      </c>
    </row>
    <row r="243">
      <c r="A243" s="4" t="n"/>
      <c r="B243" s="27" t="n"/>
      <c r="C243" s="4" t="n"/>
      <c r="D243" s="4" t="n"/>
      <c r="E243" s="4" t="n"/>
      <c r="F243" s="4" t="n"/>
      <c r="G243" s="28" t="n"/>
      <c r="H243" s="4" t="n"/>
      <c r="I243" s="4" t="n"/>
      <c r="J243" s="28" t="n"/>
      <c r="K243" s="4" t="n"/>
      <c r="L243" s="29">
        <f>IF($A243="",0,IF($H243="Yes",IF(ISNUMBER($G243),$G243,0)-IF(ISNUMBER($J243),$J243,0),0))</f>
        <v/>
      </c>
    </row>
    <row r="244">
      <c r="A244" s="4" t="n"/>
      <c r="B244" s="27" t="n"/>
      <c r="C244" s="4" t="n"/>
      <c r="D244" s="4" t="n"/>
      <c r="E244" s="4" t="n"/>
      <c r="F244" s="4" t="n"/>
      <c r="G244" s="28" t="n"/>
      <c r="H244" s="4" t="n"/>
      <c r="I244" s="4" t="n"/>
      <c r="J244" s="28" t="n"/>
      <c r="K244" s="4" t="n"/>
      <c r="L244" s="29">
        <f>IF($A244="",0,IF($H244="Yes",IF(ISNUMBER($G244),$G244,0)-IF(ISNUMBER($J244),$J244,0),0))</f>
        <v/>
      </c>
    </row>
    <row r="245">
      <c r="A245" s="4" t="n"/>
      <c r="B245" s="27" t="n"/>
      <c r="C245" s="4" t="n"/>
      <c r="D245" s="4" t="n"/>
      <c r="E245" s="4" t="n"/>
      <c r="F245" s="4" t="n"/>
      <c r="G245" s="28" t="n"/>
      <c r="H245" s="4" t="n"/>
      <c r="I245" s="4" t="n"/>
      <c r="J245" s="28" t="n"/>
      <c r="K245" s="4" t="n"/>
      <c r="L245" s="29">
        <f>IF($A245="",0,IF($H245="Yes",IF(ISNUMBER($G245),$G245,0)-IF(ISNUMBER($J245),$J245,0),0))</f>
        <v/>
      </c>
    </row>
    <row r="246">
      <c r="A246" s="4" t="n"/>
      <c r="B246" s="27" t="n"/>
      <c r="C246" s="4" t="n"/>
      <c r="D246" s="4" t="n"/>
      <c r="E246" s="4" t="n"/>
      <c r="F246" s="4" t="n"/>
      <c r="G246" s="28" t="n"/>
      <c r="H246" s="4" t="n"/>
      <c r="I246" s="4" t="n"/>
      <c r="J246" s="28" t="n"/>
      <c r="K246" s="4" t="n"/>
      <c r="L246" s="29">
        <f>IF($A246="",0,IF($H246="Yes",IF(ISNUMBER($G246),$G246,0)-IF(ISNUMBER($J246),$J246,0),0))</f>
        <v/>
      </c>
    </row>
    <row r="247">
      <c r="A247" s="4" t="n"/>
      <c r="B247" s="27" t="n"/>
      <c r="C247" s="4" t="n"/>
      <c r="D247" s="4" t="n"/>
      <c r="E247" s="4" t="n"/>
      <c r="F247" s="4" t="n"/>
      <c r="G247" s="28" t="n"/>
      <c r="H247" s="4" t="n"/>
      <c r="I247" s="4" t="n"/>
      <c r="J247" s="28" t="n"/>
      <c r="K247" s="4" t="n"/>
      <c r="L247" s="29">
        <f>IF($A247="",0,IF($H247="Yes",IF(ISNUMBER($G247),$G247,0)-IF(ISNUMBER($J247),$J247,0),0))</f>
        <v/>
      </c>
    </row>
    <row r="248">
      <c r="A248" s="4" t="n"/>
      <c r="B248" s="27" t="n"/>
      <c r="C248" s="4" t="n"/>
      <c r="D248" s="4" t="n"/>
      <c r="E248" s="4" t="n"/>
      <c r="F248" s="4" t="n"/>
      <c r="G248" s="28" t="n"/>
      <c r="H248" s="4" t="n"/>
      <c r="I248" s="4" t="n"/>
      <c r="J248" s="28" t="n"/>
      <c r="K248" s="4" t="n"/>
      <c r="L248" s="29">
        <f>IF($A248="",0,IF($H248="Yes",IF(ISNUMBER($G248),$G248,0)-IF(ISNUMBER($J248),$J248,0),0))</f>
        <v/>
      </c>
    </row>
    <row r="249">
      <c r="A249" s="4" t="n"/>
      <c r="B249" s="27" t="n"/>
      <c r="C249" s="4" t="n"/>
      <c r="D249" s="4" t="n"/>
      <c r="E249" s="4" t="n"/>
      <c r="F249" s="4" t="n"/>
      <c r="G249" s="28" t="n"/>
      <c r="H249" s="4" t="n"/>
      <c r="I249" s="4" t="n"/>
      <c r="J249" s="28" t="n"/>
      <c r="K249" s="4" t="n"/>
      <c r="L249" s="29">
        <f>IF($A249="",0,IF($H249="Yes",IF(ISNUMBER($G249),$G249,0)-IF(ISNUMBER($J249),$J249,0),0))</f>
        <v/>
      </c>
    </row>
    <row r="250">
      <c r="A250" s="4" t="n"/>
      <c r="B250" s="27" t="n"/>
      <c r="C250" s="4" t="n"/>
      <c r="D250" s="4" t="n"/>
      <c r="E250" s="4" t="n"/>
      <c r="F250" s="4" t="n"/>
      <c r="G250" s="28" t="n"/>
      <c r="H250" s="4" t="n"/>
      <c r="I250" s="4" t="n"/>
      <c r="J250" s="28" t="n"/>
      <c r="K250" s="4" t="n"/>
      <c r="L250" s="29">
        <f>IF($A250="",0,IF($H250="Yes",IF(ISNUMBER($G250),$G250,0)-IF(ISNUMBER($J250),$J250,0),0))</f>
        <v/>
      </c>
    </row>
    <row r="251">
      <c r="A251" s="4" t="n"/>
      <c r="B251" s="27" t="n"/>
      <c r="C251" s="4" t="n"/>
      <c r="D251" s="4" t="n"/>
      <c r="E251" s="4" t="n"/>
      <c r="F251" s="4" t="n"/>
      <c r="G251" s="28" t="n"/>
      <c r="H251" s="4" t="n"/>
      <c r="I251" s="4" t="n"/>
      <c r="J251" s="28" t="n"/>
      <c r="K251" s="4" t="n"/>
      <c r="L251" s="29">
        <f>IF($A251="",0,IF($H251="Yes",IF(ISNUMBER($G251),$G251,0)-IF(ISNUMBER($J251),$J251,0),0))</f>
        <v/>
      </c>
    </row>
    <row r="252">
      <c r="A252" s="4" t="n"/>
      <c r="B252" s="27" t="n"/>
      <c r="C252" s="4" t="n"/>
      <c r="D252" s="4" t="n"/>
      <c r="E252" s="4" t="n"/>
      <c r="F252" s="4" t="n"/>
      <c r="G252" s="28" t="n"/>
      <c r="H252" s="4" t="n"/>
      <c r="I252" s="4" t="n"/>
      <c r="J252" s="28" t="n"/>
      <c r="K252" s="4" t="n"/>
      <c r="L252" s="29">
        <f>IF($A252="",0,IF($H252="Yes",IF(ISNUMBER($G252),$G252,0)-IF(ISNUMBER($J252),$J252,0),0))</f>
        <v/>
      </c>
    </row>
    <row r="253">
      <c r="A253" s="4" t="n"/>
      <c r="B253" s="27" t="n"/>
      <c r="C253" s="4" t="n"/>
      <c r="D253" s="4" t="n"/>
      <c r="E253" s="4" t="n"/>
      <c r="F253" s="4" t="n"/>
      <c r="G253" s="28" t="n"/>
      <c r="H253" s="4" t="n"/>
      <c r="I253" s="4" t="n"/>
      <c r="J253" s="28" t="n"/>
      <c r="K253" s="4" t="n"/>
      <c r="L253" s="29">
        <f>IF($A253="",0,IF($H253="Yes",IF(ISNUMBER($G253),$G253,0)-IF(ISNUMBER($J253),$J253,0),0))</f>
        <v/>
      </c>
    </row>
    <row r="254">
      <c r="A254" s="4" t="n"/>
      <c r="B254" s="27" t="n"/>
      <c r="C254" s="4" t="n"/>
      <c r="D254" s="4" t="n"/>
      <c r="E254" s="4" t="n"/>
      <c r="F254" s="4" t="n"/>
      <c r="G254" s="28" t="n"/>
      <c r="H254" s="4" t="n"/>
      <c r="I254" s="4" t="n"/>
      <c r="J254" s="28" t="n"/>
      <c r="K254" s="4" t="n"/>
      <c r="L254" s="29">
        <f>IF($A254="",0,IF($H254="Yes",IF(ISNUMBER($G254),$G254,0)-IF(ISNUMBER($J254),$J254,0),0))</f>
        <v/>
      </c>
    </row>
    <row r="255">
      <c r="A255" s="4" t="n"/>
      <c r="B255" s="27" t="n"/>
      <c r="C255" s="4" t="n"/>
      <c r="D255" s="4" t="n"/>
      <c r="E255" s="4" t="n"/>
      <c r="F255" s="4" t="n"/>
      <c r="G255" s="28" t="n"/>
      <c r="H255" s="4" t="n"/>
      <c r="I255" s="4" t="n"/>
      <c r="J255" s="28" t="n"/>
      <c r="K255" s="4" t="n"/>
      <c r="L255" s="29">
        <f>IF($A255="",0,IF($H255="Yes",IF(ISNUMBER($G255),$G255,0)-IF(ISNUMBER($J255),$J255,0),0))</f>
        <v/>
      </c>
    </row>
    <row r="256">
      <c r="A256" s="4" t="n"/>
      <c r="B256" s="27" t="n"/>
      <c r="C256" s="4" t="n"/>
      <c r="D256" s="4" t="n"/>
      <c r="E256" s="4" t="n"/>
      <c r="F256" s="4" t="n"/>
      <c r="G256" s="28" t="n"/>
      <c r="H256" s="4" t="n"/>
      <c r="I256" s="4" t="n"/>
      <c r="J256" s="28" t="n"/>
      <c r="K256" s="4" t="n"/>
      <c r="L256" s="29">
        <f>IF($A256="",0,IF($H256="Yes",IF(ISNUMBER($G256),$G256,0)-IF(ISNUMBER($J256),$J256,0),0))</f>
        <v/>
      </c>
    </row>
    <row r="257">
      <c r="A257" s="4" t="n"/>
      <c r="B257" s="27" t="n"/>
      <c r="C257" s="4" t="n"/>
      <c r="D257" s="4" t="n"/>
      <c r="E257" s="4" t="n"/>
      <c r="F257" s="4" t="n"/>
      <c r="G257" s="28" t="n"/>
      <c r="H257" s="4" t="n"/>
      <c r="I257" s="4" t="n"/>
      <c r="J257" s="28" t="n"/>
      <c r="K257" s="4" t="n"/>
      <c r="L257" s="29">
        <f>IF($A257="",0,IF($H257="Yes",IF(ISNUMBER($G257),$G257,0)-IF(ISNUMBER($J257),$J257,0),0))</f>
        <v/>
      </c>
    </row>
    <row r="258">
      <c r="A258" s="4" t="n"/>
      <c r="B258" s="27" t="n"/>
      <c r="C258" s="4" t="n"/>
      <c r="D258" s="4" t="n"/>
      <c r="E258" s="4" t="n"/>
      <c r="F258" s="4" t="n"/>
      <c r="G258" s="28" t="n"/>
      <c r="H258" s="4" t="n"/>
      <c r="I258" s="4" t="n"/>
      <c r="J258" s="28" t="n"/>
      <c r="K258" s="4" t="n"/>
      <c r="L258" s="29">
        <f>IF($A258="",0,IF($H258="Yes",IF(ISNUMBER($G258),$G258,0)-IF(ISNUMBER($J258),$J258,0),0))</f>
        <v/>
      </c>
    </row>
    <row r="259">
      <c r="A259" s="4" t="n"/>
      <c r="B259" s="27" t="n"/>
      <c r="C259" s="4" t="n"/>
      <c r="D259" s="4" t="n"/>
      <c r="E259" s="4" t="n"/>
      <c r="F259" s="4" t="n"/>
      <c r="G259" s="28" t="n"/>
      <c r="H259" s="4" t="n"/>
      <c r="I259" s="4" t="n"/>
      <c r="J259" s="28" t="n"/>
      <c r="K259" s="4" t="n"/>
      <c r="L259" s="29">
        <f>IF($A259="",0,IF($H259="Yes",IF(ISNUMBER($G259),$G259,0)-IF(ISNUMBER($J259),$J259,0),0))</f>
        <v/>
      </c>
    </row>
    <row r="260">
      <c r="A260" s="4" t="n"/>
      <c r="B260" s="27" t="n"/>
      <c r="C260" s="4" t="n"/>
      <c r="D260" s="4" t="n"/>
      <c r="E260" s="4" t="n"/>
      <c r="F260" s="4" t="n"/>
      <c r="G260" s="28" t="n"/>
      <c r="H260" s="4" t="n"/>
      <c r="I260" s="4" t="n"/>
      <c r="J260" s="28" t="n"/>
      <c r="K260" s="4" t="n"/>
      <c r="L260" s="29">
        <f>IF($A260="",0,IF($H260="Yes",IF(ISNUMBER($G260),$G260,0)-IF(ISNUMBER($J260),$J260,0),0))</f>
        <v/>
      </c>
    </row>
    <row r="261">
      <c r="A261" s="4" t="n"/>
      <c r="B261" s="27" t="n"/>
      <c r="C261" s="4" t="n"/>
      <c r="D261" s="4" t="n"/>
      <c r="E261" s="4" t="n"/>
      <c r="F261" s="4" t="n"/>
      <c r="G261" s="28" t="n"/>
      <c r="H261" s="4" t="n"/>
      <c r="I261" s="4" t="n"/>
      <c r="J261" s="28" t="n"/>
      <c r="K261" s="4" t="n"/>
      <c r="L261" s="29">
        <f>IF($A261="",0,IF($H261="Yes",IF(ISNUMBER($G261),$G261,0)-IF(ISNUMBER($J261),$J261,0),0))</f>
        <v/>
      </c>
    </row>
    <row r="262">
      <c r="A262" s="4" t="n"/>
      <c r="B262" s="27" t="n"/>
      <c r="C262" s="4" t="n"/>
      <c r="D262" s="4" t="n"/>
      <c r="E262" s="4" t="n"/>
      <c r="F262" s="4" t="n"/>
      <c r="G262" s="28" t="n"/>
      <c r="H262" s="4" t="n"/>
      <c r="I262" s="4" t="n"/>
      <c r="J262" s="28" t="n"/>
      <c r="K262" s="4" t="n"/>
      <c r="L262" s="29">
        <f>IF($A262="",0,IF($H262="Yes",IF(ISNUMBER($G262),$G262,0)-IF(ISNUMBER($J262),$J262,0),0))</f>
        <v/>
      </c>
    </row>
    <row r="263">
      <c r="A263" s="4" t="n"/>
      <c r="B263" s="27" t="n"/>
      <c r="C263" s="4" t="n"/>
      <c r="D263" s="4" t="n"/>
      <c r="E263" s="4" t="n"/>
      <c r="F263" s="4" t="n"/>
      <c r="G263" s="28" t="n"/>
      <c r="H263" s="4" t="n"/>
      <c r="I263" s="4" t="n"/>
      <c r="J263" s="28" t="n"/>
      <c r="K263" s="4" t="n"/>
      <c r="L263" s="29">
        <f>IF($A263="",0,IF($H263="Yes",IF(ISNUMBER($G263),$G263,0)-IF(ISNUMBER($J263),$J263,0),0))</f>
        <v/>
      </c>
    </row>
    <row r="264">
      <c r="A264" s="4" t="n"/>
      <c r="B264" s="27" t="n"/>
      <c r="C264" s="4" t="n"/>
      <c r="D264" s="4" t="n"/>
      <c r="E264" s="4" t="n"/>
      <c r="F264" s="4" t="n"/>
      <c r="G264" s="28" t="n"/>
      <c r="H264" s="4" t="n"/>
      <c r="I264" s="4" t="n"/>
      <c r="J264" s="28" t="n"/>
      <c r="K264" s="4" t="n"/>
      <c r="L264" s="29">
        <f>IF($A264="",0,IF($H264="Yes",IF(ISNUMBER($G264),$G264,0)-IF(ISNUMBER($J264),$J264,0),0))</f>
        <v/>
      </c>
    </row>
    <row r="265">
      <c r="A265" s="4" t="n"/>
      <c r="B265" s="27" t="n"/>
      <c r="C265" s="4" t="n"/>
      <c r="D265" s="4" t="n"/>
      <c r="E265" s="4" t="n"/>
      <c r="F265" s="4" t="n"/>
      <c r="G265" s="28" t="n"/>
      <c r="H265" s="4" t="n"/>
      <c r="I265" s="4" t="n"/>
      <c r="J265" s="28" t="n"/>
      <c r="K265" s="4" t="n"/>
      <c r="L265" s="29">
        <f>IF($A265="",0,IF($H265="Yes",IF(ISNUMBER($G265),$G265,0)-IF(ISNUMBER($J265),$J265,0),0))</f>
        <v/>
      </c>
    </row>
    <row r="266">
      <c r="A266" s="4" t="n"/>
      <c r="B266" s="27" t="n"/>
      <c r="C266" s="4" t="n"/>
      <c r="D266" s="4" t="n"/>
      <c r="E266" s="4" t="n"/>
      <c r="F266" s="4" t="n"/>
      <c r="G266" s="28" t="n"/>
      <c r="H266" s="4" t="n"/>
      <c r="I266" s="4" t="n"/>
      <c r="J266" s="28" t="n"/>
      <c r="K266" s="4" t="n"/>
      <c r="L266" s="29">
        <f>IF($A266="",0,IF($H266="Yes",IF(ISNUMBER($G266),$G266,0)-IF(ISNUMBER($J266),$J266,0),0))</f>
        <v/>
      </c>
    </row>
    <row r="267">
      <c r="A267" s="4" t="n"/>
      <c r="B267" s="27" t="n"/>
      <c r="C267" s="4" t="n"/>
      <c r="D267" s="4" t="n"/>
      <c r="E267" s="4" t="n"/>
      <c r="F267" s="4" t="n"/>
      <c r="G267" s="28" t="n"/>
      <c r="H267" s="4" t="n"/>
      <c r="I267" s="4" t="n"/>
      <c r="J267" s="28" t="n"/>
      <c r="K267" s="4" t="n"/>
      <c r="L267" s="29">
        <f>IF($A267="",0,IF($H267="Yes",IF(ISNUMBER($G267),$G267,0)-IF(ISNUMBER($J267),$J267,0),0))</f>
        <v/>
      </c>
    </row>
    <row r="268">
      <c r="A268" s="4" t="n"/>
      <c r="B268" s="27" t="n"/>
      <c r="C268" s="4" t="n"/>
      <c r="D268" s="4" t="n"/>
      <c r="E268" s="4" t="n"/>
      <c r="F268" s="4" t="n"/>
      <c r="G268" s="28" t="n"/>
      <c r="H268" s="4" t="n"/>
      <c r="I268" s="4" t="n"/>
      <c r="J268" s="28" t="n"/>
      <c r="K268" s="4" t="n"/>
      <c r="L268" s="29">
        <f>IF($A268="",0,IF($H268="Yes",IF(ISNUMBER($G268),$G268,0)-IF(ISNUMBER($J268),$J268,0),0))</f>
        <v/>
      </c>
    </row>
    <row r="269">
      <c r="A269" s="4" t="n"/>
      <c r="B269" s="27" t="n"/>
      <c r="C269" s="4" t="n"/>
      <c r="D269" s="4" t="n"/>
      <c r="E269" s="4" t="n"/>
      <c r="F269" s="4" t="n"/>
      <c r="G269" s="28" t="n"/>
      <c r="H269" s="4" t="n"/>
      <c r="I269" s="4" t="n"/>
      <c r="J269" s="28" t="n"/>
      <c r="K269" s="4" t="n"/>
      <c r="L269" s="29">
        <f>IF($A269="",0,IF($H269="Yes",IF(ISNUMBER($G269),$G269,0)-IF(ISNUMBER($J269),$J269,0),0))</f>
        <v/>
      </c>
    </row>
    <row r="270">
      <c r="A270" s="4" t="n"/>
      <c r="B270" s="27" t="n"/>
      <c r="C270" s="4" t="n"/>
      <c r="D270" s="4" t="n"/>
      <c r="E270" s="4" t="n"/>
      <c r="F270" s="4" t="n"/>
      <c r="G270" s="28" t="n"/>
      <c r="H270" s="4" t="n"/>
      <c r="I270" s="4" t="n"/>
      <c r="J270" s="28" t="n"/>
      <c r="K270" s="4" t="n"/>
      <c r="L270" s="29">
        <f>IF($A270="",0,IF($H270="Yes",IF(ISNUMBER($G270),$G270,0)-IF(ISNUMBER($J270),$J270,0),0))</f>
        <v/>
      </c>
    </row>
    <row r="271">
      <c r="A271" s="4" t="n"/>
      <c r="B271" s="27" t="n"/>
      <c r="C271" s="4" t="n"/>
      <c r="D271" s="4" t="n"/>
      <c r="E271" s="4" t="n"/>
      <c r="F271" s="4" t="n"/>
      <c r="G271" s="28" t="n"/>
      <c r="H271" s="4" t="n"/>
      <c r="I271" s="4" t="n"/>
      <c r="J271" s="28" t="n"/>
      <c r="K271" s="4" t="n"/>
      <c r="L271" s="29">
        <f>IF($A271="",0,IF($H271="Yes",IF(ISNUMBER($G271),$G271,0)-IF(ISNUMBER($J271),$J271,0),0))</f>
        <v/>
      </c>
    </row>
    <row r="272">
      <c r="A272" s="4" t="n"/>
      <c r="B272" s="27" t="n"/>
      <c r="C272" s="4" t="n"/>
      <c r="D272" s="4" t="n"/>
      <c r="E272" s="4" t="n"/>
      <c r="F272" s="4" t="n"/>
      <c r="G272" s="28" t="n"/>
      <c r="H272" s="4" t="n"/>
      <c r="I272" s="4" t="n"/>
      <c r="J272" s="28" t="n"/>
      <c r="K272" s="4" t="n"/>
      <c r="L272" s="29">
        <f>IF($A272="",0,IF($H272="Yes",IF(ISNUMBER($G272),$G272,0)-IF(ISNUMBER($J272),$J272,0),0))</f>
        <v/>
      </c>
    </row>
    <row r="273">
      <c r="A273" s="4" t="n"/>
      <c r="B273" s="27" t="n"/>
      <c r="C273" s="4" t="n"/>
      <c r="D273" s="4" t="n"/>
      <c r="E273" s="4" t="n"/>
      <c r="F273" s="4" t="n"/>
      <c r="G273" s="28" t="n"/>
      <c r="H273" s="4" t="n"/>
      <c r="I273" s="4" t="n"/>
      <c r="J273" s="28" t="n"/>
      <c r="K273" s="4" t="n"/>
      <c r="L273" s="29">
        <f>IF($A273="",0,IF($H273="Yes",IF(ISNUMBER($G273),$G273,0)-IF(ISNUMBER($J273),$J273,0),0))</f>
        <v/>
      </c>
    </row>
    <row r="274">
      <c r="A274" s="4" t="n"/>
      <c r="B274" s="27" t="n"/>
      <c r="C274" s="4" t="n"/>
      <c r="D274" s="4" t="n"/>
      <c r="E274" s="4" t="n"/>
      <c r="F274" s="4" t="n"/>
      <c r="G274" s="28" t="n"/>
      <c r="H274" s="4" t="n"/>
      <c r="I274" s="4" t="n"/>
      <c r="J274" s="28" t="n"/>
      <c r="K274" s="4" t="n"/>
      <c r="L274" s="29">
        <f>IF($A274="",0,IF($H274="Yes",IF(ISNUMBER($G274),$G274,0)-IF(ISNUMBER($J274),$J274,0),0))</f>
        <v/>
      </c>
    </row>
    <row r="275">
      <c r="A275" s="4" t="n"/>
      <c r="B275" s="27" t="n"/>
      <c r="C275" s="4" t="n"/>
      <c r="D275" s="4" t="n"/>
      <c r="E275" s="4" t="n"/>
      <c r="F275" s="4" t="n"/>
      <c r="G275" s="28" t="n"/>
      <c r="H275" s="4" t="n"/>
      <c r="I275" s="4" t="n"/>
      <c r="J275" s="28" t="n"/>
      <c r="K275" s="4" t="n"/>
      <c r="L275" s="29">
        <f>IF($A275="",0,IF($H275="Yes",IF(ISNUMBER($G275),$G275,0)-IF(ISNUMBER($J275),$J275,0),0))</f>
        <v/>
      </c>
    </row>
    <row r="276">
      <c r="A276" s="4" t="n"/>
      <c r="B276" s="27" t="n"/>
      <c r="C276" s="4" t="n"/>
      <c r="D276" s="4" t="n"/>
      <c r="E276" s="4" t="n"/>
      <c r="F276" s="4" t="n"/>
      <c r="G276" s="28" t="n"/>
      <c r="H276" s="4" t="n"/>
      <c r="I276" s="4" t="n"/>
      <c r="J276" s="28" t="n"/>
      <c r="K276" s="4" t="n"/>
      <c r="L276" s="29">
        <f>IF($A276="",0,IF($H276="Yes",IF(ISNUMBER($G276),$G276,0)-IF(ISNUMBER($J276),$J276,0),0))</f>
        <v/>
      </c>
    </row>
    <row r="277">
      <c r="A277" s="4" t="n"/>
      <c r="B277" s="27" t="n"/>
      <c r="C277" s="4" t="n"/>
      <c r="D277" s="4" t="n"/>
      <c r="E277" s="4" t="n"/>
      <c r="F277" s="4" t="n"/>
      <c r="G277" s="28" t="n"/>
      <c r="H277" s="4" t="n"/>
      <c r="I277" s="4" t="n"/>
      <c r="J277" s="28" t="n"/>
      <c r="K277" s="4" t="n"/>
      <c r="L277" s="29">
        <f>IF($A277="",0,IF($H277="Yes",IF(ISNUMBER($G277),$G277,0)-IF(ISNUMBER($J277),$J277,0),0))</f>
        <v/>
      </c>
    </row>
    <row r="278">
      <c r="A278" s="4" t="n"/>
      <c r="B278" s="27" t="n"/>
      <c r="C278" s="4" t="n"/>
      <c r="D278" s="4" t="n"/>
      <c r="E278" s="4" t="n"/>
      <c r="F278" s="4" t="n"/>
      <c r="G278" s="28" t="n"/>
      <c r="H278" s="4" t="n"/>
      <c r="I278" s="4" t="n"/>
      <c r="J278" s="28" t="n"/>
      <c r="K278" s="4" t="n"/>
      <c r="L278" s="29">
        <f>IF($A278="",0,IF($H278="Yes",IF(ISNUMBER($G278),$G278,0)-IF(ISNUMBER($J278),$J278,0),0))</f>
        <v/>
      </c>
    </row>
    <row r="279">
      <c r="A279" s="4" t="n"/>
      <c r="B279" s="27" t="n"/>
      <c r="C279" s="4" t="n"/>
      <c r="D279" s="4" t="n"/>
      <c r="E279" s="4" t="n"/>
      <c r="F279" s="4" t="n"/>
      <c r="G279" s="28" t="n"/>
      <c r="H279" s="4" t="n"/>
      <c r="I279" s="4" t="n"/>
      <c r="J279" s="28" t="n"/>
      <c r="K279" s="4" t="n"/>
      <c r="L279" s="29">
        <f>IF($A279="",0,IF($H279="Yes",IF(ISNUMBER($G279),$G279,0)-IF(ISNUMBER($J279),$J279,0),0))</f>
        <v/>
      </c>
    </row>
    <row r="280">
      <c r="A280" s="4" t="n"/>
      <c r="B280" s="27" t="n"/>
      <c r="C280" s="4" t="n"/>
      <c r="D280" s="4" t="n"/>
      <c r="E280" s="4" t="n"/>
      <c r="F280" s="4" t="n"/>
      <c r="G280" s="28" t="n"/>
      <c r="H280" s="4" t="n"/>
      <c r="I280" s="4" t="n"/>
      <c r="J280" s="28" t="n"/>
      <c r="K280" s="4" t="n"/>
      <c r="L280" s="29">
        <f>IF($A280="",0,IF($H280="Yes",IF(ISNUMBER($G280),$G280,0)-IF(ISNUMBER($J280),$J280,0),0))</f>
        <v/>
      </c>
    </row>
    <row r="281">
      <c r="A281" s="4" t="n"/>
      <c r="B281" s="27" t="n"/>
      <c r="C281" s="4" t="n"/>
      <c r="D281" s="4" t="n"/>
      <c r="E281" s="4" t="n"/>
      <c r="F281" s="4" t="n"/>
      <c r="G281" s="28" t="n"/>
      <c r="H281" s="4" t="n"/>
      <c r="I281" s="4" t="n"/>
      <c r="J281" s="28" t="n"/>
      <c r="K281" s="4" t="n"/>
      <c r="L281" s="29">
        <f>IF($A281="",0,IF($H281="Yes",IF(ISNUMBER($G281),$G281,0)-IF(ISNUMBER($J281),$J281,0),0))</f>
        <v/>
      </c>
    </row>
    <row r="282">
      <c r="A282" s="4" t="n"/>
      <c r="B282" s="27" t="n"/>
      <c r="C282" s="4" t="n"/>
      <c r="D282" s="4" t="n"/>
      <c r="E282" s="4" t="n"/>
      <c r="F282" s="4" t="n"/>
      <c r="G282" s="28" t="n"/>
      <c r="H282" s="4" t="n"/>
      <c r="I282" s="4" t="n"/>
      <c r="J282" s="28" t="n"/>
      <c r="K282" s="4" t="n"/>
      <c r="L282" s="29">
        <f>IF($A282="",0,IF($H282="Yes",IF(ISNUMBER($G282),$G282,0)-IF(ISNUMBER($J282),$J282,0),0))</f>
        <v/>
      </c>
    </row>
    <row r="283">
      <c r="A283" s="4" t="n"/>
      <c r="B283" s="27" t="n"/>
      <c r="C283" s="4" t="n"/>
      <c r="D283" s="4" t="n"/>
      <c r="E283" s="4" t="n"/>
      <c r="F283" s="4" t="n"/>
      <c r="G283" s="28" t="n"/>
      <c r="H283" s="4" t="n"/>
      <c r="I283" s="4" t="n"/>
      <c r="J283" s="28" t="n"/>
      <c r="K283" s="4" t="n"/>
      <c r="L283" s="29">
        <f>IF($A283="",0,IF($H283="Yes",IF(ISNUMBER($G283),$G283,0)-IF(ISNUMBER($J283),$J283,0),0))</f>
        <v/>
      </c>
    </row>
    <row r="284">
      <c r="A284" s="4" t="n"/>
      <c r="B284" s="27" t="n"/>
      <c r="C284" s="4" t="n"/>
      <c r="D284" s="4" t="n"/>
      <c r="E284" s="4" t="n"/>
      <c r="F284" s="4" t="n"/>
      <c r="G284" s="28" t="n"/>
      <c r="H284" s="4" t="n"/>
      <c r="I284" s="4" t="n"/>
      <c r="J284" s="28" t="n"/>
      <c r="K284" s="4" t="n"/>
      <c r="L284" s="29">
        <f>IF($A284="",0,IF($H284="Yes",IF(ISNUMBER($G284),$G284,0)-IF(ISNUMBER($J284),$J284,0),0))</f>
        <v/>
      </c>
    </row>
    <row r="285">
      <c r="A285" s="4" t="n"/>
      <c r="B285" s="27" t="n"/>
      <c r="C285" s="4" t="n"/>
      <c r="D285" s="4" t="n"/>
      <c r="E285" s="4" t="n"/>
      <c r="F285" s="4" t="n"/>
      <c r="G285" s="28" t="n"/>
      <c r="H285" s="4" t="n"/>
      <c r="I285" s="4" t="n"/>
      <c r="J285" s="28" t="n"/>
      <c r="K285" s="4" t="n"/>
      <c r="L285" s="29">
        <f>IF($A285="",0,IF($H285="Yes",IF(ISNUMBER($G285),$G285,0)-IF(ISNUMBER($J285),$J285,0),0))</f>
        <v/>
      </c>
    </row>
    <row r="286">
      <c r="A286" s="4" t="n"/>
      <c r="B286" s="27" t="n"/>
      <c r="C286" s="4" t="n"/>
      <c r="D286" s="4" t="n"/>
      <c r="E286" s="4" t="n"/>
      <c r="F286" s="4" t="n"/>
      <c r="G286" s="28" t="n"/>
      <c r="H286" s="4" t="n"/>
      <c r="I286" s="4" t="n"/>
      <c r="J286" s="28" t="n"/>
      <c r="K286" s="4" t="n"/>
      <c r="L286" s="29">
        <f>IF($A286="",0,IF($H286="Yes",IF(ISNUMBER($G286),$G286,0)-IF(ISNUMBER($J286),$J286,0),0))</f>
        <v/>
      </c>
    </row>
    <row r="287">
      <c r="A287" s="4" t="n"/>
      <c r="B287" s="27" t="n"/>
      <c r="C287" s="4" t="n"/>
      <c r="D287" s="4" t="n"/>
      <c r="E287" s="4" t="n"/>
      <c r="F287" s="4" t="n"/>
      <c r="G287" s="28" t="n"/>
      <c r="H287" s="4" t="n"/>
      <c r="I287" s="4" t="n"/>
      <c r="J287" s="28" t="n"/>
      <c r="K287" s="4" t="n"/>
      <c r="L287" s="29">
        <f>IF($A287="",0,IF($H287="Yes",IF(ISNUMBER($G287),$G287,0)-IF(ISNUMBER($J287),$J287,0),0))</f>
        <v/>
      </c>
    </row>
    <row r="288">
      <c r="A288" s="4" t="n"/>
      <c r="B288" s="27" t="n"/>
      <c r="C288" s="4" t="n"/>
      <c r="D288" s="4" t="n"/>
      <c r="E288" s="4" t="n"/>
      <c r="F288" s="4" t="n"/>
      <c r="G288" s="28" t="n"/>
      <c r="H288" s="4" t="n"/>
      <c r="I288" s="4" t="n"/>
      <c r="J288" s="28" t="n"/>
      <c r="K288" s="4" t="n"/>
      <c r="L288" s="29">
        <f>IF($A288="",0,IF($H288="Yes",IF(ISNUMBER($G288),$G288,0)-IF(ISNUMBER($J288),$J288,0),0))</f>
        <v/>
      </c>
    </row>
    <row r="289">
      <c r="A289" s="4" t="n"/>
      <c r="B289" s="27" t="n"/>
      <c r="C289" s="4" t="n"/>
      <c r="D289" s="4" t="n"/>
      <c r="E289" s="4" t="n"/>
      <c r="F289" s="4" t="n"/>
      <c r="G289" s="28" t="n"/>
      <c r="H289" s="4" t="n"/>
      <c r="I289" s="4" t="n"/>
      <c r="J289" s="28" t="n"/>
      <c r="K289" s="4" t="n"/>
      <c r="L289" s="29">
        <f>IF($A289="",0,IF($H289="Yes",IF(ISNUMBER($G289),$G289,0)-IF(ISNUMBER($J289),$J289,0),0))</f>
        <v/>
      </c>
    </row>
    <row r="290">
      <c r="A290" s="4" t="n"/>
      <c r="B290" s="27" t="n"/>
      <c r="C290" s="4" t="n"/>
      <c r="D290" s="4" t="n"/>
      <c r="E290" s="4" t="n"/>
      <c r="F290" s="4" t="n"/>
      <c r="G290" s="28" t="n"/>
      <c r="H290" s="4" t="n"/>
      <c r="I290" s="4" t="n"/>
      <c r="J290" s="28" t="n"/>
      <c r="K290" s="4" t="n"/>
      <c r="L290" s="29">
        <f>IF($A290="",0,IF($H290="Yes",IF(ISNUMBER($G290),$G290,0)-IF(ISNUMBER($J290),$J290,0),0))</f>
        <v/>
      </c>
    </row>
    <row r="291">
      <c r="A291" s="4" t="n"/>
      <c r="B291" s="27" t="n"/>
      <c r="C291" s="4" t="n"/>
      <c r="D291" s="4" t="n"/>
      <c r="E291" s="4" t="n"/>
      <c r="F291" s="4" t="n"/>
      <c r="G291" s="28" t="n"/>
      <c r="H291" s="4" t="n"/>
      <c r="I291" s="4" t="n"/>
      <c r="J291" s="28" t="n"/>
      <c r="K291" s="4" t="n"/>
      <c r="L291" s="29">
        <f>IF($A291="",0,IF($H291="Yes",IF(ISNUMBER($G291),$G291,0)-IF(ISNUMBER($J291),$J291,0),0))</f>
        <v/>
      </c>
    </row>
    <row r="292">
      <c r="A292" s="4" t="n"/>
      <c r="B292" s="27" t="n"/>
      <c r="C292" s="4" t="n"/>
      <c r="D292" s="4" t="n"/>
      <c r="E292" s="4" t="n"/>
      <c r="F292" s="4" t="n"/>
      <c r="G292" s="28" t="n"/>
      <c r="H292" s="4" t="n"/>
      <c r="I292" s="4" t="n"/>
      <c r="J292" s="28" t="n"/>
      <c r="K292" s="4" t="n"/>
      <c r="L292" s="29">
        <f>IF($A292="",0,IF($H292="Yes",IF(ISNUMBER($G292),$G292,0)-IF(ISNUMBER($J292),$J292,0),0))</f>
        <v/>
      </c>
    </row>
    <row r="293">
      <c r="A293" s="4" t="n"/>
      <c r="B293" s="27" t="n"/>
      <c r="C293" s="4" t="n"/>
      <c r="D293" s="4" t="n"/>
      <c r="E293" s="4" t="n"/>
      <c r="F293" s="4" t="n"/>
      <c r="G293" s="28" t="n"/>
      <c r="H293" s="4" t="n"/>
      <c r="I293" s="4" t="n"/>
      <c r="J293" s="28" t="n"/>
      <c r="K293" s="4" t="n"/>
      <c r="L293" s="29">
        <f>IF($A293="",0,IF($H293="Yes",IF(ISNUMBER($G293),$G293,0)-IF(ISNUMBER($J293),$J293,0),0))</f>
        <v/>
      </c>
    </row>
    <row r="294">
      <c r="A294" s="4" t="n"/>
      <c r="B294" s="27" t="n"/>
      <c r="C294" s="4" t="n"/>
      <c r="D294" s="4" t="n"/>
      <c r="E294" s="4" t="n"/>
      <c r="F294" s="4" t="n"/>
      <c r="G294" s="28" t="n"/>
      <c r="H294" s="4" t="n"/>
      <c r="I294" s="4" t="n"/>
      <c r="J294" s="28" t="n"/>
      <c r="K294" s="4" t="n"/>
      <c r="L294" s="29">
        <f>IF($A294="",0,IF($H294="Yes",IF(ISNUMBER($G294),$G294,0)-IF(ISNUMBER($J294),$J294,0),0))</f>
        <v/>
      </c>
    </row>
    <row r="295">
      <c r="A295" s="4" t="n"/>
      <c r="B295" s="27" t="n"/>
      <c r="C295" s="4" t="n"/>
      <c r="D295" s="4" t="n"/>
      <c r="E295" s="4" t="n"/>
      <c r="F295" s="4" t="n"/>
      <c r="G295" s="28" t="n"/>
      <c r="H295" s="4" t="n"/>
      <c r="I295" s="4" t="n"/>
      <c r="J295" s="28" t="n"/>
      <c r="K295" s="4" t="n"/>
      <c r="L295" s="29">
        <f>IF($A295="",0,IF($H295="Yes",IF(ISNUMBER($G295),$G295,0)-IF(ISNUMBER($J295),$J295,0),0))</f>
        <v/>
      </c>
    </row>
    <row r="296">
      <c r="A296" s="4" t="n"/>
      <c r="B296" s="27" t="n"/>
      <c r="C296" s="4" t="n"/>
      <c r="D296" s="4" t="n"/>
      <c r="E296" s="4" t="n"/>
      <c r="F296" s="4" t="n"/>
      <c r="G296" s="28" t="n"/>
      <c r="H296" s="4" t="n"/>
      <c r="I296" s="4" t="n"/>
      <c r="J296" s="28" t="n"/>
      <c r="K296" s="4" t="n"/>
      <c r="L296" s="29">
        <f>IF($A296="",0,IF($H296="Yes",IF(ISNUMBER($G296),$G296,0)-IF(ISNUMBER($J296),$J296,0),0))</f>
        <v/>
      </c>
    </row>
    <row r="297">
      <c r="A297" s="4" t="n"/>
      <c r="B297" s="27" t="n"/>
      <c r="C297" s="4" t="n"/>
      <c r="D297" s="4" t="n"/>
      <c r="E297" s="4" t="n"/>
      <c r="F297" s="4" t="n"/>
      <c r="G297" s="28" t="n"/>
      <c r="H297" s="4" t="n"/>
      <c r="I297" s="4" t="n"/>
      <c r="J297" s="28" t="n"/>
      <c r="K297" s="4" t="n"/>
      <c r="L297" s="29">
        <f>IF($A297="",0,IF($H297="Yes",IF(ISNUMBER($G297),$G297,0)-IF(ISNUMBER($J297),$J297,0),0))</f>
        <v/>
      </c>
    </row>
    <row r="298">
      <c r="A298" s="4" t="n"/>
      <c r="B298" s="27" t="n"/>
      <c r="C298" s="4" t="n"/>
      <c r="D298" s="4" t="n"/>
      <c r="E298" s="4" t="n"/>
      <c r="F298" s="4" t="n"/>
      <c r="G298" s="28" t="n"/>
      <c r="H298" s="4" t="n"/>
      <c r="I298" s="4" t="n"/>
      <c r="J298" s="28" t="n"/>
      <c r="K298" s="4" t="n"/>
      <c r="L298" s="29">
        <f>IF($A298="",0,IF($H298="Yes",IF(ISNUMBER($G298),$G298,0)-IF(ISNUMBER($J298),$J298,0),0))</f>
        <v/>
      </c>
    </row>
    <row r="299">
      <c r="A299" s="4" t="n"/>
      <c r="B299" s="27" t="n"/>
      <c r="C299" s="4" t="n"/>
      <c r="D299" s="4" t="n"/>
      <c r="E299" s="4" t="n"/>
      <c r="F299" s="4" t="n"/>
      <c r="G299" s="28" t="n"/>
      <c r="H299" s="4" t="n"/>
      <c r="I299" s="4" t="n"/>
      <c r="J299" s="28" t="n"/>
      <c r="K299" s="4" t="n"/>
      <c r="L299" s="29">
        <f>IF($A299="",0,IF($H299="Yes",IF(ISNUMBER($G299),$G299,0)-IF(ISNUMBER($J299),$J299,0),0))</f>
        <v/>
      </c>
    </row>
    <row r="300">
      <c r="A300" s="4" t="n"/>
      <c r="B300" s="27" t="n"/>
      <c r="C300" s="4" t="n"/>
      <c r="D300" s="4" t="n"/>
      <c r="E300" s="4" t="n"/>
      <c r="F300" s="4" t="n"/>
      <c r="G300" s="28" t="n"/>
      <c r="H300" s="4" t="n"/>
      <c r="I300" s="4" t="n"/>
      <c r="J300" s="28" t="n"/>
      <c r="K300" s="4" t="n"/>
      <c r="L300" s="29">
        <f>IF($A300="",0,IF($H300="Yes",IF(ISNUMBER($G300),$G300,0)-IF(ISNUMBER($J300),$J300,0),0))</f>
        <v/>
      </c>
    </row>
    <row r="301">
      <c r="A301" s="4" t="n"/>
      <c r="B301" s="27" t="n"/>
      <c r="C301" s="4" t="n"/>
      <c r="D301" s="4" t="n"/>
      <c r="E301" s="4" t="n"/>
      <c r="F301" s="4" t="n"/>
      <c r="G301" s="28" t="n"/>
      <c r="H301" s="4" t="n"/>
      <c r="I301" s="4" t="n"/>
      <c r="J301" s="28" t="n"/>
      <c r="K301" s="4" t="n"/>
      <c r="L301" s="29">
        <f>IF($A301="",0,IF($H301="Yes",IF(ISNUMBER($G301),$G301,0)-IF(ISNUMBER($J301),$J301,0),0))</f>
        <v/>
      </c>
    </row>
    <row r="302">
      <c r="A302" s="4" t="n"/>
      <c r="B302" s="27" t="n"/>
      <c r="C302" s="4" t="n"/>
      <c r="D302" s="4" t="n"/>
      <c r="E302" s="4" t="n"/>
      <c r="F302" s="4" t="n"/>
      <c r="G302" s="28" t="n"/>
      <c r="H302" s="4" t="n"/>
      <c r="I302" s="4" t="n"/>
      <c r="J302" s="28" t="n"/>
      <c r="K302" s="4" t="n"/>
      <c r="L302" s="29">
        <f>IF($A302="",0,IF($H302="Yes",IF(ISNUMBER($G302),$G302,0)-IF(ISNUMBER($J302),$J302,0),0))</f>
        <v/>
      </c>
    </row>
    <row r="303">
      <c r="A303" s="4" t="n"/>
      <c r="B303" s="27" t="n"/>
      <c r="C303" s="4" t="n"/>
      <c r="D303" s="4" t="n"/>
      <c r="E303" s="4" t="n"/>
      <c r="F303" s="4" t="n"/>
      <c r="G303" s="28" t="n"/>
      <c r="H303" s="4" t="n"/>
      <c r="I303" s="4" t="n"/>
      <c r="J303" s="28" t="n"/>
      <c r="K303" s="4" t="n"/>
      <c r="L303" s="29">
        <f>IF($A303="",0,IF($H303="Yes",IF(ISNUMBER($G303),$G303,0)-IF(ISNUMBER($J303),$J303,0),0))</f>
        <v/>
      </c>
    </row>
  </sheetData>
  <sheetProtection selectLockedCells="0" selectUnlockedCells="0" sheet="1" objects="0" insertRows="1" insertHyperlinks="1" autoFilter="0" scenarios="0" formatColumns="0" deleteColumns="1" insertColumns="1" pivotTables="1" deleteRows="1" formatCells="1" formatRows="0" sort="0"/>
  <autoFilter ref="A3:L3"/>
  <dataValidations count="7">
    <dataValidation sqref="C4:C303" showDropDown="0" showInputMessage="0" showErrorMessage="0" allowBlank="1" type="list">
      <formula1>"Professional Fees,Property Maintenance,Executor Travel,Administrative,Other"</formula1>
    </dataValidation>
    <dataValidation sqref="E4:E303" showDropDown="0" showInputMessage="0" showErrorMessage="0" allowBlank="1" type="list">
      <formula1>"Estate,Nadia Doyle"</formula1>
    </dataValidation>
    <dataValidation sqref="F4:F303" showDropDown="0" showInputMessage="0" showErrorMessage="0" allowBlank="1" type="list">
      <formula1>"Estate-Paid,Executor Advance"</formula1>
    </dataValidation>
    <dataValidation sqref="H4:H303" showDropDown="0" showInputMessage="0" showErrorMessage="0" allowBlank="1" type="list">
      <formula1>"Yes,No,N/A"</formula1>
    </dataValidation>
    <dataValidation sqref="I4:I303" showDropDown="0" showInputMessage="0" showErrorMessage="0" allowBlank="1" type="list">
      <formula1>"Yes,No,Partial,N/A"</formula1>
    </dataValidation>
    <dataValidation sqref="K4:K303" showDropDown="0" showInputMessage="0" showErrorMessage="0" allowBlank="1" type="list">
      <formula1>"Provided,Not Applicable,Missing"</formula1>
    </dataValidation>
    <dataValidation sqref="G4:G303 J4:J30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3.8"/>
  <cols>
    <col width="30" customWidth="1" style="21" min="1" max="1"/>
    <col width="13" customWidth="1" style="21" min="2" max="2"/>
    <col width="10" customWidth="1" style="21" min="3" max="3"/>
    <col width="15" customWidth="1" style="21" min="4" max="5"/>
    <col width="20" customWidth="1" style="21" min="6" max="6"/>
    <col width="22" customWidth="1" style="21" min="7" max="7"/>
    <col width="14" customWidth="1" style="21" min="8" max="9"/>
  </cols>
  <sheetData>
    <row r="1" ht="17.4" customHeight="1" s="21">
      <c r="A1" s="16" t="inlineStr">
        <is>
          <t>DOCUMENT CONTROL</t>
        </is>
      </c>
    </row>
    <row r="2" ht="55.2" customHeight="1" s="21">
      <c r="A2" s="20" t="inlineStr">
        <is>
          <t>Not a jurisdiction-specific legal completeness checklist — a tracker for the documents you decide you need.</t>
        </is>
      </c>
    </row>
    <row r="3" ht="15.6" customHeight="1" s="21">
      <c r="A3" s="1" t="inlineStr">
        <is>
          <t>Document / Item</t>
        </is>
      </c>
      <c r="B3" s="1" t="inlineStr">
        <is>
          <t>Category</t>
        </is>
      </c>
      <c r="C3" s="1" t="inlineStr">
        <is>
          <t>Required?</t>
        </is>
      </c>
      <c r="D3" s="1" t="inlineStr">
        <is>
          <t>Requested Date</t>
        </is>
      </c>
      <c r="E3" s="1" t="inlineStr">
        <is>
          <t>Received Date</t>
        </is>
      </c>
      <c r="F3" s="1" t="inlineStr">
        <is>
          <t>Institution</t>
        </is>
      </c>
      <c r="G3" s="1" t="inlineStr">
        <is>
          <t>Related Task ID</t>
        </is>
      </c>
      <c r="H3" s="1" t="inlineStr">
        <is>
          <t>Status</t>
        </is>
      </c>
      <c r="I3" s="1" t="inlineStr">
        <is>
          <t>Warning (auto)</t>
        </is>
      </c>
    </row>
    <row r="4">
      <c r="A4" s="4" t="inlineStr">
        <is>
          <t>Certified Death Certificate</t>
        </is>
      </c>
      <c r="B4" s="4" t="inlineStr">
        <is>
          <t>Legal</t>
        </is>
      </c>
      <c r="C4" s="4" t="inlineStr">
        <is>
          <t>Yes</t>
        </is>
      </c>
      <c r="D4" s="27" t="n">
        <v>46197</v>
      </c>
      <c r="E4" s="27" t="n">
        <v>46202</v>
      </c>
      <c r="F4" s="4" t="inlineStr">
        <is>
          <t>County Vital Records</t>
        </is>
      </c>
      <c r="G4" s="4" t="n"/>
      <c r="H4" s="4" t="inlineStr">
        <is>
          <t>Received</t>
        </is>
      </c>
      <c r="I4">
        <f>IF($A4="","",IF($H4="Not Applicable","",IF(AND($H4="Requested",$D4&lt;&gt;"",TODAY()-$D4&gt;14),"⚠ requested &gt;14 days ago",IF(AND($C4="Yes",$H4&lt;&gt;"Received"),"⚠ outstanding item",""))))</f>
        <v/>
      </c>
    </row>
    <row r="5">
      <c r="A5" s="4" t="inlineStr">
        <is>
          <t>Original Will</t>
        </is>
      </c>
      <c r="B5" s="4" t="inlineStr">
        <is>
          <t>Legal</t>
        </is>
      </c>
      <c r="C5" s="4" t="inlineStr">
        <is>
          <t>Yes</t>
        </is>
      </c>
      <c r="D5" s="27" t="n">
        <v>46197</v>
      </c>
      <c r="E5" s="27" t="n">
        <v>46199</v>
      </c>
      <c r="F5" s="4" t="inlineStr">
        <is>
          <t>Cook County Probate Court</t>
        </is>
      </c>
      <c r="G5" s="4" t="n"/>
      <c r="H5" s="4" t="inlineStr">
        <is>
          <t>Received</t>
        </is>
      </c>
      <c r="I5">
        <f>IF($A5="","",IF($H5="Not Applicable","",IF(AND($H5="Requested",$D5&lt;&gt;"",TODAY()-$D5&gt;14),"⚠ requested &gt;14 days ago",IF(AND($C5="Yes",$H5&lt;&gt;"Received"),"⚠ outstanding item",""))))</f>
        <v/>
      </c>
    </row>
    <row r="6">
      <c r="A6" s="4" t="inlineStr">
        <is>
          <t>Life Insurance Policy Document</t>
        </is>
      </c>
      <c r="B6" s="4" t="inlineStr">
        <is>
          <t>Financial</t>
        </is>
      </c>
      <c r="C6" s="4" t="inlineStr">
        <is>
          <t>Yes</t>
        </is>
      </c>
      <c r="D6" s="27" t="n">
        <v>46209</v>
      </c>
      <c r="E6" s="27" t="n">
        <v>46212</v>
      </c>
      <c r="F6" s="4" t="inlineStr">
        <is>
          <t>Meridian Life</t>
        </is>
      </c>
      <c r="G6" s="4" t="n"/>
      <c r="H6" s="4" t="inlineStr">
        <is>
          <t>Received</t>
        </is>
      </c>
      <c r="I6">
        <f>IF($A6="","",IF($H6="Not Applicable","",IF(AND($H6="Requested",$D6&lt;&gt;"",TODAY()-$D6&gt;14),"⚠ requested &gt;14 days ago",IF(AND($C6="Yes",$H6&lt;&gt;"Received"),"⚠ outstanding item",""))))</f>
        <v/>
      </c>
    </row>
    <row r="7">
      <c r="A7" s="4" t="inlineStr">
        <is>
          <t>Home Appraisal Report</t>
        </is>
      </c>
      <c r="B7" s="4" t="inlineStr">
        <is>
          <t>Financial</t>
        </is>
      </c>
      <c r="C7" s="4" t="inlineStr">
        <is>
          <t>Yes</t>
        </is>
      </c>
      <c r="D7" s="27" t="n">
        <v>46277</v>
      </c>
      <c r="E7" s="4" t="n"/>
      <c r="F7" s="4" t="inlineStr">
        <is>
          <t>Riverside Appraisals</t>
        </is>
      </c>
      <c r="G7" s="4" t="n"/>
      <c r="H7" s="4" t="inlineStr">
        <is>
          <t>Requested</t>
        </is>
      </c>
      <c r="I7">
        <f>IF($A7="","",IF($H7="Not Applicable","",IF(AND($H7="Requested",$D7&lt;&gt;"",TODAY()-$D7&gt;14),"⚠ requested &gt;14 days ago",IF(AND($C7="Yes",$H7&lt;&gt;"Received"),"⚠ outstanding item",""))))</f>
        <v/>
      </c>
    </row>
    <row r="8">
      <c r="A8" s="4" t="inlineStr">
        <is>
          <t>Brokerage Account Statement (final)</t>
        </is>
      </c>
      <c r="B8" s="4" t="inlineStr">
        <is>
          <t>Financial</t>
        </is>
      </c>
      <c r="C8" s="4" t="inlineStr">
        <is>
          <t>Yes</t>
        </is>
      </c>
      <c r="D8" s="27" t="n">
        <v>46227</v>
      </c>
      <c r="E8" s="27" t="n">
        <v>46229</v>
      </c>
      <c r="F8" s="4" t="inlineStr">
        <is>
          <t>Vantage Investments</t>
        </is>
      </c>
      <c r="G8" s="4" t="n"/>
      <c r="H8" s="4" t="inlineStr">
        <is>
          <t>Received</t>
        </is>
      </c>
      <c r="I8">
        <f>IF($A8="","",IF($H8="Not Applicable","",IF(AND($H8="Requested",$D8&lt;&gt;"",TODAY()-$D8&gt;14),"⚠ requested &gt;14 days ago",IF(AND($C8="Yes",$H8&lt;&gt;"Received"),"⚠ outstanding item",""))))</f>
        <v/>
      </c>
    </row>
    <row r="9">
      <c r="A9" s="4" t="inlineStr">
        <is>
          <t>Vehicle Title</t>
        </is>
      </c>
      <c r="B9" s="4" t="inlineStr">
        <is>
          <t>Legal</t>
        </is>
      </c>
      <c r="C9" s="4" t="inlineStr">
        <is>
          <t>No</t>
        </is>
      </c>
      <c r="D9" s="4" t="n"/>
      <c r="E9" s="4" t="n"/>
      <c r="F9" s="4" t="inlineStr">
        <is>
          <t>N/A</t>
        </is>
      </c>
      <c r="G9" s="4" t="n"/>
      <c r="H9" s="4" t="inlineStr">
        <is>
          <t>Not Applicable</t>
        </is>
      </c>
      <c r="I9">
        <f>IF($A9="","",IF($H9="Not Applicable","",IF(AND($H9="Requested",$D9&lt;&gt;"",TODAY()-$D9&gt;14),"⚠ requested &gt;14 days ago",IF(AND($C9="Yes",$H9&lt;&gt;"Received"),"⚠ outstanding item",""))))</f>
        <v/>
      </c>
    </row>
    <row r="10">
      <c r="A10" s="4" t="n"/>
      <c r="B10" s="4" t="n"/>
      <c r="C10" s="4" t="n"/>
      <c r="D10" s="4" t="n"/>
      <c r="E10" s="4" t="n"/>
      <c r="F10" s="4" t="n"/>
      <c r="G10" s="4" t="n"/>
      <c r="H10" s="4" t="n"/>
      <c r="I10">
        <f>IF($A10="","",IF($H10="Not Applicable","",IF(AND($H10="Requested",$D10&lt;&gt;"",TODAY()-$D10&gt;14),"⚠ requested &gt;14 days ago",IF(AND($C10="Yes",$H10&lt;&gt;"Received"),"⚠ outstanding item",""))))</f>
        <v/>
      </c>
    </row>
    <row r="11">
      <c r="A11" s="4" t="n"/>
      <c r="B11" s="4" t="n"/>
      <c r="C11" s="4" t="n"/>
      <c r="D11" s="27" t="n"/>
      <c r="E11" s="27" t="n"/>
      <c r="F11" s="4" t="n"/>
      <c r="G11" s="4" t="n"/>
      <c r="H11" s="4" t="n"/>
      <c r="I11">
        <f>IF($A11="","",IF($H11="Not Applicable","",IF(AND($H11="Requested",$D11&lt;&gt;"",TODAY()-$D11&gt;14),"⚠ requested &gt;14 days ago",IF(AND($C11="Yes",$H11&lt;&gt;"Received"),"⚠ outstanding item",""))))</f>
        <v/>
      </c>
    </row>
    <row r="12">
      <c r="A12" s="4" t="n"/>
      <c r="B12" s="4" t="n"/>
      <c r="C12" s="4" t="n"/>
      <c r="D12" s="27" t="n"/>
      <c r="E12" s="27" t="n"/>
      <c r="F12" s="4" t="n"/>
      <c r="G12" s="4" t="n"/>
      <c r="H12" s="4" t="n"/>
      <c r="I12">
        <f>IF($A12="","",IF($H12="Not Applicable","",IF(AND($H12="Requested",$D12&lt;&gt;"",TODAY()-$D12&gt;14),"⚠ requested &gt;14 days ago",IF(AND($C12="Yes",$H12&lt;&gt;"Received"),"⚠ outstanding item",""))))</f>
        <v/>
      </c>
    </row>
    <row r="13">
      <c r="A13" s="4" t="n"/>
      <c r="B13" s="4" t="n"/>
      <c r="C13" s="4" t="n"/>
      <c r="D13" s="27" t="n"/>
      <c r="E13" s="27" t="n"/>
      <c r="F13" s="4" t="n"/>
      <c r="G13" s="4" t="n"/>
      <c r="H13" s="4" t="n"/>
      <c r="I13">
        <f>IF($A13="","",IF($H13="Not Applicable","",IF(AND($H13="Requested",$D13&lt;&gt;"",TODAY()-$D13&gt;14),"⚠ requested &gt;14 days ago",IF(AND($C13="Yes",$H13&lt;&gt;"Received"),"⚠ outstanding item",""))))</f>
        <v/>
      </c>
    </row>
    <row r="14">
      <c r="A14" s="4" t="n"/>
      <c r="B14" s="4" t="n"/>
      <c r="C14" s="4" t="n"/>
      <c r="D14" s="27" t="n"/>
      <c r="E14" s="27" t="n"/>
      <c r="F14" s="4" t="n"/>
      <c r="G14" s="4" t="n"/>
      <c r="H14" s="4" t="n"/>
      <c r="I14">
        <f>IF($A14="","",IF($H14="Not Applicable","",IF(AND($H14="Requested",$D14&lt;&gt;"",TODAY()-$D14&gt;14),"⚠ requested &gt;14 days ago",IF(AND($C14="Yes",$H14&lt;&gt;"Received"),"⚠ outstanding item",""))))</f>
        <v/>
      </c>
    </row>
    <row r="15">
      <c r="A15" s="4" t="n"/>
      <c r="B15" s="4" t="n"/>
      <c r="C15" s="4" t="n"/>
      <c r="D15" s="27" t="n"/>
      <c r="E15" s="27" t="n"/>
      <c r="F15" s="4" t="n"/>
      <c r="G15" s="4" t="n"/>
      <c r="H15" s="4" t="n"/>
      <c r="I15">
        <f>IF($A15="","",IF($H15="Not Applicable","",IF(AND($H15="Requested",$D15&lt;&gt;"",TODAY()-$D15&gt;14),"⚠ requested &gt;14 days ago",IF(AND($C15="Yes",$H15&lt;&gt;"Received"),"⚠ outstanding item",""))))</f>
        <v/>
      </c>
    </row>
    <row r="16">
      <c r="A16" s="4" t="n"/>
      <c r="B16" s="4" t="n"/>
      <c r="C16" s="4" t="n"/>
      <c r="D16" s="27" t="n"/>
      <c r="E16" s="27" t="n"/>
      <c r="F16" s="4" t="n"/>
      <c r="G16" s="4" t="n"/>
      <c r="H16" s="4" t="n"/>
      <c r="I16">
        <f>IF($A16="","",IF($H16="Not Applicable","",IF(AND($H16="Requested",$D16&lt;&gt;"",TODAY()-$D16&gt;14),"⚠ requested &gt;14 days ago",IF(AND($C16="Yes",$H16&lt;&gt;"Received"),"⚠ outstanding item",""))))</f>
        <v/>
      </c>
    </row>
    <row r="17">
      <c r="A17" s="4" t="n"/>
      <c r="B17" s="4" t="n"/>
      <c r="C17" s="4" t="n"/>
      <c r="D17" s="27" t="n"/>
      <c r="E17" s="27" t="n"/>
      <c r="F17" s="4" t="n"/>
      <c r="G17" s="4" t="n"/>
      <c r="H17" s="4" t="n"/>
      <c r="I17">
        <f>IF($A17="","",IF($H17="Not Applicable","",IF(AND($H17="Requested",$D17&lt;&gt;"",TODAY()-$D17&gt;14),"⚠ requested &gt;14 days ago",IF(AND($C17="Yes",$H17&lt;&gt;"Received"),"⚠ outstanding item",""))))</f>
        <v/>
      </c>
    </row>
    <row r="18">
      <c r="A18" s="4" t="n"/>
      <c r="B18" s="4" t="n"/>
      <c r="C18" s="4" t="n"/>
      <c r="D18" s="27" t="n"/>
      <c r="E18" s="27" t="n"/>
      <c r="F18" s="4" t="n"/>
      <c r="G18" s="4" t="n"/>
      <c r="H18" s="4" t="n"/>
      <c r="I18">
        <f>IF($A18="","",IF($H18="Not Applicable","",IF(AND($H18="Requested",$D18&lt;&gt;"",TODAY()-$D18&gt;14),"⚠ requested &gt;14 days ago",IF(AND($C18="Yes",$H18&lt;&gt;"Received"),"⚠ outstanding item",""))))</f>
        <v/>
      </c>
    </row>
    <row r="19">
      <c r="A19" s="4" t="n"/>
      <c r="B19" s="4" t="n"/>
      <c r="C19" s="4" t="n"/>
      <c r="D19" s="27" t="n"/>
      <c r="E19" s="27" t="n"/>
      <c r="F19" s="4" t="n"/>
      <c r="G19" s="4" t="n"/>
      <c r="H19" s="4" t="n"/>
      <c r="I19">
        <f>IF($A19="","",IF($H19="Not Applicable","",IF(AND($H19="Requested",$D19&lt;&gt;"",TODAY()-$D19&gt;14),"⚠ requested &gt;14 days ago",IF(AND($C19="Yes",$H19&lt;&gt;"Received"),"⚠ outstanding item",""))))</f>
        <v/>
      </c>
    </row>
    <row r="20">
      <c r="A20" s="4" t="n"/>
      <c r="B20" s="4" t="n"/>
      <c r="C20" s="4" t="n"/>
      <c r="D20" s="27" t="n"/>
      <c r="E20" s="27" t="n"/>
      <c r="F20" s="4" t="n"/>
      <c r="G20" s="4" t="n"/>
      <c r="H20" s="4" t="n"/>
      <c r="I20">
        <f>IF($A20="","",IF($H20="Not Applicable","",IF(AND($H20="Requested",$D20&lt;&gt;"",TODAY()-$D20&gt;14),"⚠ requested &gt;14 days ago",IF(AND($C20="Yes",$H20&lt;&gt;"Received"),"⚠ outstanding item",""))))</f>
        <v/>
      </c>
    </row>
    <row r="21">
      <c r="A21" s="4" t="n"/>
      <c r="B21" s="4" t="n"/>
      <c r="C21" s="4" t="n"/>
      <c r="D21" s="27" t="n"/>
      <c r="E21" s="27" t="n"/>
      <c r="F21" s="4" t="n"/>
      <c r="G21" s="4" t="n"/>
      <c r="H21" s="4" t="n"/>
      <c r="I21">
        <f>IF($A21="","",IF($H21="Not Applicable","",IF(AND($H21="Requested",$D21&lt;&gt;"",TODAY()-$D21&gt;14),"⚠ requested &gt;14 days ago",IF(AND($C21="Yes",$H21&lt;&gt;"Received"),"⚠ outstanding item",""))))</f>
        <v/>
      </c>
    </row>
    <row r="22">
      <c r="A22" s="4" t="n"/>
      <c r="B22" s="4" t="n"/>
      <c r="C22" s="4" t="n"/>
      <c r="D22" s="27" t="n"/>
      <c r="E22" s="27" t="n"/>
      <c r="F22" s="4" t="n"/>
      <c r="G22" s="4" t="n"/>
      <c r="H22" s="4" t="n"/>
      <c r="I22">
        <f>IF($A22="","",IF($H22="Not Applicable","",IF(AND($H22="Requested",$D22&lt;&gt;"",TODAY()-$D22&gt;14),"⚠ requested &gt;14 days ago",IF(AND($C22="Yes",$H22&lt;&gt;"Received"),"⚠ outstanding item",""))))</f>
        <v/>
      </c>
    </row>
    <row r="23">
      <c r="A23" s="4" t="n"/>
      <c r="B23" s="4" t="n"/>
      <c r="C23" s="4" t="n"/>
      <c r="D23" s="27" t="n"/>
      <c r="E23" s="27" t="n"/>
      <c r="F23" s="4" t="n"/>
      <c r="G23" s="4" t="n"/>
      <c r="H23" s="4" t="n"/>
      <c r="I23">
        <f>IF($A23="","",IF($H23="Not Applicable","",IF(AND($H23="Requested",$D23&lt;&gt;"",TODAY()-$D23&gt;14),"⚠ requested &gt;14 days ago",IF(AND($C23="Yes",$H23&lt;&gt;"Received"),"⚠ outstanding item",""))))</f>
        <v/>
      </c>
    </row>
    <row r="24">
      <c r="A24" s="4" t="n"/>
      <c r="B24" s="4" t="n"/>
      <c r="C24" s="4" t="n"/>
      <c r="D24" s="27" t="n"/>
      <c r="E24" s="27" t="n"/>
      <c r="F24" s="4" t="n"/>
      <c r="G24" s="4" t="n"/>
      <c r="H24" s="4" t="n"/>
      <c r="I24">
        <f>IF($A24="","",IF($H24="Not Applicable","",IF(AND($H24="Requested",$D24&lt;&gt;"",TODAY()-$D24&gt;14),"⚠ requested &gt;14 days ago",IF(AND($C24="Yes",$H24&lt;&gt;"Received"),"⚠ outstanding item",""))))</f>
        <v/>
      </c>
    </row>
    <row r="25">
      <c r="A25" s="4" t="n"/>
      <c r="B25" s="4" t="n"/>
      <c r="C25" s="4" t="n"/>
      <c r="D25" s="27" t="n"/>
      <c r="E25" s="27" t="n"/>
      <c r="F25" s="4" t="n"/>
      <c r="G25" s="4" t="n"/>
      <c r="H25" s="4" t="n"/>
      <c r="I25">
        <f>IF($A25="","",IF($H25="Not Applicable","",IF(AND($H25="Requested",$D25&lt;&gt;"",TODAY()-$D25&gt;14),"⚠ requested &gt;14 days ago",IF(AND($C25="Yes",$H25&lt;&gt;"Received"),"⚠ outstanding item",""))))</f>
        <v/>
      </c>
    </row>
    <row r="26">
      <c r="A26" s="4" t="n"/>
      <c r="B26" s="4" t="n"/>
      <c r="C26" s="4" t="n"/>
      <c r="D26" s="27" t="n"/>
      <c r="E26" s="27" t="n"/>
      <c r="F26" s="4" t="n"/>
      <c r="G26" s="4" t="n"/>
      <c r="H26" s="4" t="n"/>
      <c r="I26">
        <f>IF($A26="","",IF($H26="Not Applicable","",IF(AND($H26="Requested",$D26&lt;&gt;"",TODAY()-$D26&gt;14),"⚠ requested &gt;14 days ago",IF(AND($C26="Yes",$H26&lt;&gt;"Received"),"⚠ outstanding item",""))))</f>
        <v/>
      </c>
    </row>
    <row r="27">
      <c r="A27" s="4" t="n"/>
      <c r="B27" s="4" t="n"/>
      <c r="C27" s="4" t="n"/>
      <c r="D27" s="27" t="n"/>
      <c r="E27" s="27" t="n"/>
      <c r="F27" s="4" t="n"/>
      <c r="G27" s="4" t="n"/>
      <c r="H27" s="4" t="n"/>
      <c r="I27">
        <f>IF($A27="","",IF($H27="Not Applicable","",IF(AND($H27="Requested",$D27&lt;&gt;"",TODAY()-$D27&gt;14),"⚠ requested &gt;14 days ago",IF(AND($C27="Yes",$H27&lt;&gt;"Received"),"⚠ outstanding item",""))))</f>
        <v/>
      </c>
    </row>
    <row r="28">
      <c r="A28" s="4" t="n"/>
      <c r="B28" s="4" t="n"/>
      <c r="C28" s="4" t="n"/>
      <c r="D28" s="27" t="n"/>
      <c r="E28" s="27" t="n"/>
      <c r="F28" s="4" t="n"/>
      <c r="G28" s="4" t="n"/>
      <c r="H28" s="4" t="n"/>
      <c r="I28">
        <f>IF($A28="","",IF($H28="Not Applicable","",IF(AND($H28="Requested",$D28&lt;&gt;"",TODAY()-$D28&gt;14),"⚠ requested &gt;14 days ago",IF(AND($C28="Yes",$H28&lt;&gt;"Received"),"⚠ outstanding item",""))))</f>
        <v/>
      </c>
    </row>
    <row r="29">
      <c r="A29" s="4" t="n"/>
      <c r="B29" s="4" t="n"/>
      <c r="C29" s="4" t="n"/>
      <c r="D29" s="27" t="n"/>
      <c r="E29" s="27" t="n"/>
      <c r="F29" s="4" t="n"/>
      <c r="G29" s="4" t="n"/>
      <c r="H29" s="4" t="n"/>
      <c r="I29">
        <f>IF($A29="","",IF($H29="Not Applicable","",IF(AND($H29="Requested",$D29&lt;&gt;"",TODAY()-$D29&gt;14),"⚠ requested &gt;14 days ago",IF(AND($C29="Yes",$H29&lt;&gt;"Received"),"⚠ outstanding item",""))))</f>
        <v/>
      </c>
    </row>
    <row r="30">
      <c r="A30" s="4" t="n"/>
      <c r="B30" s="4" t="n"/>
      <c r="C30" s="4" t="n"/>
      <c r="D30" s="27" t="n"/>
      <c r="E30" s="27" t="n"/>
      <c r="F30" s="4" t="n"/>
      <c r="G30" s="4" t="n"/>
      <c r="H30" s="4" t="n"/>
      <c r="I30">
        <f>IF($A30="","",IF($H30="Not Applicable","",IF(AND($H30="Requested",$D30&lt;&gt;"",TODAY()-$D30&gt;14),"⚠ requested &gt;14 days ago",IF(AND($C30="Yes",$H30&lt;&gt;"Received"),"⚠ outstanding item",""))))</f>
        <v/>
      </c>
    </row>
    <row r="31">
      <c r="A31" s="4" t="n"/>
      <c r="B31" s="4" t="n"/>
      <c r="C31" s="4" t="n"/>
      <c r="D31" s="27" t="n"/>
      <c r="E31" s="27" t="n"/>
      <c r="F31" s="4" t="n"/>
      <c r="G31" s="4" t="n"/>
      <c r="H31" s="4" t="n"/>
      <c r="I31">
        <f>IF($A31="","",IF($H31="Not Applicable","",IF(AND($H31="Requested",$D31&lt;&gt;"",TODAY()-$D31&gt;14),"⚠ requested &gt;14 days ago",IF(AND($C31="Yes",$H31&lt;&gt;"Received"),"⚠ outstanding item",""))))</f>
        <v/>
      </c>
    </row>
    <row r="32">
      <c r="A32" s="4" t="n"/>
      <c r="B32" s="4" t="n"/>
      <c r="C32" s="4" t="n"/>
      <c r="D32" s="27" t="n"/>
      <c r="E32" s="27" t="n"/>
      <c r="F32" s="4" t="n"/>
      <c r="G32" s="4" t="n"/>
      <c r="H32" s="4" t="n"/>
      <c r="I32">
        <f>IF($A32="","",IF($H32="Not Applicable","",IF(AND($H32="Requested",$D32&lt;&gt;"",TODAY()-$D32&gt;14),"⚠ requested &gt;14 days ago",IF(AND($C32="Yes",$H32&lt;&gt;"Received"),"⚠ outstanding item",""))))</f>
        <v/>
      </c>
    </row>
    <row r="33">
      <c r="A33" s="4" t="n"/>
      <c r="B33" s="4" t="n"/>
      <c r="C33" s="4" t="n"/>
      <c r="D33" s="27" t="n"/>
      <c r="E33" s="27" t="n"/>
      <c r="F33" s="4" t="n"/>
      <c r="G33" s="4" t="n"/>
      <c r="H33" s="4" t="n"/>
      <c r="I33">
        <f>IF($A33="","",IF($H33="Not Applicable","",IF(AND($H33="Requested",$D33&lt;&gt;"",TODAY()-$D33&gt;14),"⚠ requested &gt;14 days ago",IF(AND($C33="Yes",$H33&lt;&gt;"Received"),"⚠ outstanding item",""))))</f>
        <v/>
      </c>
    </row>
    <row r="34">
      <c r="A34" s="4" t="n"/>
      <c r="B34" s="4" t="n"/>
      <c r="C34" s="4" t="n"/>
      <c r="D34" s="27" t="n"/>
      <c r="E34" s="27" t="n"/>
      <c r="F34" s="4" t="n"/>
      <c r="G34" s="4" t="n"/>
      <c r="H34" s="4" t="n"/>
      <c r="I34">
        <f>IF($A34="","",IF($H34="Not Applicable","",IF(AND($H34="Requested",$D34&lt;&gt;"",TODAY()-$D34&gt;14),"⚠ requested &gt;14 days ago",IF(AND($C34="Yes",$H34&lt;&gt;"Received"),"⚠ outstanding item",""))))</f>
        <v/>
      </c>
    </row>
    <row r="35">
      <c r="A35" s="4" t="n"/>
      <c r="B35" s="4" t="n"/>
      <c r="C35" s="4" t="n"/>
      <c r="D35" s="27" t="n"/>
      <c r="E35" s="27" t="n"/>
      <c r="F35" s="4" t="n"/>
      <c r="G35" s="4" t="n"/>
      <c r="H35" s="4" t="n"/>
      <c r="I35">
        <f>IF($A35="","",IF($H35="Not Applicable","",IF(AND($H35="Requested",$D35&lt;&gt;"",TODAY()-$D35&gt;14),"⚠ requested &gt;14 days ago",IF(AND($C35="Yes",$H35&lt;&gt;"Received"),"⚠ outstanding item",""))))</f>
        <v/>
      </c>
    </row>
    <row r="36">
      <c r="A36" s="4" t="n"/>
      <c r="B36" s="4" t="n"/>
      <c r="C36" s="4" t="n"/>
      <c r="D36" s="27" t="n"/>
      <c r="E36" s="27" t="n"/>
      <c r="F36" s="4" t="n"/>
      <c r="G36" s="4" t="n"/>
      <c r="H36" s="4" t="n"/>
      <c r="I36">
        <f>IF($A36="","",IF($H36="Not Applicable","",IF(AND($H36="Requested",$D36&lt;&gt;"",TODAY()-$D36&gt;14),"⚠ requested &gt;14 days ago",IF(AND($C36="Yes",$H36&lt;&gt;"Received"),"⚠ outstanding item",""))))</f>
        <v/>
      </c>
    </row>
    <row r="37">
      <c r="A37" s="4" t="n"/>
      <c r="B37" s="4" t="n"/>
      <c r="C37" s="4" t="n"/>
      <c r="D37" s="27" t="n"/>
      <c r="E37" s="27" t="n"/>
      <c r="F37" s="4" t="n"/>
      <c r="G37" s="4" t="n"/>
      <c r="H37" s="4" t="n"/>
      <c r="I37">
        <f>IF($A37="","",IF($H37="Not Applicable","",IF(AND($H37="Requested",$D37&lt;&gt;"",TODAY()-$D37&gt;14),"⚠ requested &gt;14 days ago",IF(AND($C37="Yes",$H37&lt;&gt;"Received"),"⚠ outstanding item",""))))</f>
        <v/>
      </c>
    </row>
    <row r="38">
      <c r="A38" s="4" t="n"/>
      <c r="B38" s="4" t="n"/>
      <c r="C38" s="4" t="n"/>
      <c r="D38" s="27" t="n"/>
      <c r="E38" s="27" t="n"/>
      <c r="F38" s="4" t="n"/>
      <c r="G38" s="4" t="n"/>
      <c r="H38" s="4" t="n"/>
      <c r="I38">
        <f>IF($A38="","",IF($H38="Not Applicable","",IF(AND($H38="Requested",$D38&lt;&gt;"",TODAY()-$D38&gt;14),"⚠ requested &gt;14 days ago",IF(AND($C38="Yes",$H38&lt;&gt;"Received"),"⚠ outstanding item",""))))</f>
        <v/>
      </c>
    </row>
    <row r="39">
      <c r="A39" s="4" t="n"/>
      <c r="B39" s="4" t="n"/>
      <c r="C39" s="4" t="n"/>
      <c r="D39" s="27" t="n"/>
      <c r="E39" s="27" t="n"/>
      <c r="F39" s="4" t="n"/>
      <c r="G39" s="4" t="n"/>
      <c r="H39" s="4" t="n"/>
      <c r="I39">
        <f>IF($A39="","",IF($H39="Not Applicable","",IF(AND($H39="Requested",$D39&lt;&gt;"",TODAY()-$D39&gt;14),"⚠ requested &gt;14 days ago",IF(AND($C39="Yes",$H39&lt;&gt;"Received"),"⚠ outstanding item",""))))</f>
        <v/>
      </c>
    </row>
    <row r="40">
      <c r="A40" s="4" t="n"/>
      <c r="B40" s="4" t="n"/>
      <c r="C40" s="4" t="n"/>
      <c r="D40" s="27" t="n"/>
      <c r="E40" s="27" t="n"/>
      <c r="F40" s="4" t="n"/>
      <c r="G40" s="4" t="n"/>
      <c r="H40" s="4" t="n"/>
      <c r="I40">
        <f>IF($A40="","",IF($H40="Not Applicable","",IF(AND($H40="Requested",$D40&lt;&gt;"",TODAY()-$D40&gt;14),"⚠ requested &gt;14 days ago",IF(AND($C40="Yes",$H40&lt;&gt;"Received"),"⚠ outstanding item",""))))</f>
        <v/>
      </c>
    </row>
    <row r="41">
      <c r="A41" s="4" t="n"/>
      <c r="B41" s="4" t="n"/>
      <c r="C41" s="4" t="n"/>
      <c r="D41" s="27" t="n"/>
      <c r="E41" s="27" t="n"/>
      <c r="F41" s="4" t="n"/>
      <c r="G41" s="4" t="n"/>
      <c r="H41" s="4" t="n"/>
      <c r="I41">
        <f>IF($A41="","",IF($H41="Not Applicable","",IF(AND($H41="Requested",$D41&lt;&gt;"",TODAY()-$D41&gt;14),"⚠ requested &gt;14 days ago",IF(AND($C41="Yes",$H41&lt;&gt;"Received"),"⚠ outstanding item",""))))</f>
        <v/>
      </c>
    </row>
    <row r="42">
      <c r="A42" s="4" t="n"/>
      <c r="B42" s="4" t="n"/>
      <c r="C42" s="4" t="n"/>
      <c r="D42" s="27" t="n"/>
      <c r="E42" s="27" t="n"/>
      <c r="F42" s="4" t="n"/>
      <c r="G42" s="4" t="n"/>
      <c r="H42" s="4" t="n"/>
      <c r="I42">
        <f>IF($A42="","",IF($H42="Not Applicable","",IF(AND($H42="Requested",$D42&lt;&gt;"",TODAY()-$D42&gt;14),"⚠ requested &gt;14 days ago",IF(AND($C42="Yes",$H42&lt;&gt;"Received"),"⚠ outstanding item",""))))</f>
        <v/>
      </c>
    </row>
    <row r="43">
      <c r="A43" s="4" t="n"/>
      <c r="B43" s="4" t="n"/>
      <c r="C43" s="4" t="n"/>
      <c r="D43" s="27" t="n"/>
      <c r="E43" s="27" t="n"/>
      <c r="F43" s="4" t="n"/>
      <c r="G43" s="4" t="n"/>
      <c r="H43" s="4" t="n"/>
      <c r="I43">
        <f>IF($A43="","",IF($H43="Not Applicable","",IF(AND($H43="Requested",$D43&lt;&gt;"",TODAY()-$D43&gt;14),"⚠ requested &gt;14 days ago",IF(AND($C43="Yes",$H43&lt;&gt;"Received"),"⚠ outstanding item",""))))</f>
        <v/>
      </c>
    </row>
    <row r="44">
      <c r="A44" s="4" t="n"/>
      <c r="B44" s="4" t="n"/>
      <c r="C44" s="4" t="n"/>
      <c r="D44" s="27" t="n"/>
      <c r="E44" s="27" t="n"/>
      <c r="F44" s="4" t="n"/>
      <c r="G44" s="4" t="n"/>
      <c r="H44" s="4" t="n"/>
      <c r="I44">
        <f>IF($A44="","",IF($H44="Not Applicable","",IF(AND($H44="Requested",$D44&lt;&gt;"",TODAY()-$D44&gt;14),"⚠ requested &gt;14 days ago",IF(AND($C44="Yes",$H44&lt;&gt;"Received"),"⚠ outstanding item",""))))</f>
        <v/>
      </c>
    </row>
    <row r="45">
      <c r="A45" s="4" t="n"/>
      <c r="B45" s="4" t="n"/>
      <c r="C45" s="4" t="n"/>
      <c r="D45" s="27" t="n"/>
      <c r="E45" s="27" t="n"/>
      <c r="F45" s="4" t="n"/>
      <c r="G45" s="4" t="n"/>
      <c r="H45" s="4" t="n"/>
      <c r="I45">
        <f>IF($A45="","",IF($H45="Not Applicable","",IF(AND($H45="Requested",$D45&lt;&gt;"",TODAY()-$D45&gt;14),"⚠ requested &gt;14 days ago",IF(AND($C45="Yes",$H45&lt;&gt;"Received"),"⚠ outstanding item",""))))</f>
        <v/>
      </c>
    </row>
    <row r="46">
      <c r="A46" s="4" t="n"/>
      <c r="B46" s="4" t="n"/>
      <c r="C46" s="4" t="n"/>
      <c r="D46" s="27" t="n"/>
      <c r="E46" s="27" t="n"/>
      <c r="F46" s="4" t="n"/>
      <c r="G46" s="4" t="n"/>
      <c r="H46" s="4" t="n"/>
      <c r="I46">
        <f>IF($A46="","",IF($H46="Not Applicable","",IF(AND($H46="Requested",$D46&lt;&gt;"",TODAY()-$D46&gt;14),"⚠ requested &gt;14 days ago",IF(AND($C46="Yes",$H46&lt;&gt;"Received"),"⚠ outstanding item",""))))</f>
        <v/>
      </c>
    </row>
    <row r="47">
      <c r="A47" s="4" t="n"/>
      <c r="B47" s="4" t="n"/>
      <c r="C47" s="4" t="n"/>
      <c r="D47" s="27" t="n"/>
      <c r="E47" s="27" t="n"/>
      <c r="F47" s="4" t="n"/>
      <c r="G47" s="4" t="n"/>
      <c r="H47" s="4" t="n"/>
      <c r="I47">
        <f>IF($A47="","",IF($H47="Not Applicable","",IF(AND($H47="Requested",$D47&lt;&gt;"",TODAY()-$D47&gt;14),"⚠ requested &gt;14 days ago",IF(AND($C47="Yes",$H47&lt;&gt;"Received"),"⚠ outstanding item",""))))</f>
        <v/>
      </c>
    </row>
    <row r="48">
      <c r="A48" s="4" t="n"/>
      <c r="B48" s="4" t="n"/>
      <c r="C48" s="4" t="n"/>
      <c r="D48" s="27" t="n"/>
      <c r="E48" s="27" t="n"/>
      <c r="F48" s="4" t="n"/>
      <c r="G48" s="4" t="n"/>
      <c r="H48" s="4" t="n"/>
      <c r="I48">
        <f>IF($A48="","",IF($H48="Not Applicable","",IF(AND($H48="Requested",$D48&lt;&gt;"",TODAY()-$D48&gt;14),"⚠ requested &gt;14 days ago",IF(AND($C48="Yes",$H48&lt;&gt;"Received"),"⚠ outstanding item",""))))</f>
        <v/>
      </c>
    </row>
    <row r="49">
      <c r="A49" s="4" t="n"/>
      <c r="B49" s="4" t="n"/>
      <c r="C49" s="4" t="n"/>
      <c r="D49" s="27" t="n"/>
      <c r="E49" s="27" t="n"/>
      <c r="F49" s="4" t="n"/>
      <c r="G49" s="4" t="n"/>
      <c r="H49" s="4" t="n"/>
      <c r="I49">
        <f>IF($A49="","",IF($H49="Not Applicable","",IF(AND($H49="Requested",$D49&lt;&gt;"",TODAY()-$D49&gt;14),"⚠ requested &gt;14 days ago",IF(AND($C49="Yes",$H49&lt;&gt;"Received"),"⚠ outstanding item",""))))</f>
        <v/>
      </c>
    </row>
    <row r="50">
      <c r="A50" s="4" t="n"/>
      <c r="B50" s="4" t="n"/>
      <c r="C50" s="4" t="n"/>
      <c r="D50" s="27" t="n"/>
      <c r="E50" s="27" t="n"/>
      <c r="F50" s="4" t="n"/>
      <c r="G50" s="4" t="n"/>
      <c r="H50" s="4" t="n"/>
      <c r="I50">
        <f>IF($A50="","",IF($H50="Not Applicable","",IF(AND($H50="Requested",$D50&lt;&gt;"",TODAY()-$D50&gt;14),"⚠ requested &gt;14 days ago",IF(AND($C50="Yes",$H50&lt;&gt;"Received"),"⚠ outstanding item",""))))</f>
        <v/>
      </c>
    </row>
    <row r="51">
      <c r="A51" s="4" t="n"/>
      <c r="B51" s="4" t="n"/>
      <c r="C51" s="4" t="n"/>
      <c r="D51" s="27" t="n"/>
      <c r="E51" s="27" t="n"/>
      <c r="F51" s="4" t="n"/>
      <c r="G51" s="4" t="n"/>
      <c r="H51" s="4" t="n"/>
      <c r="I51">
        <f>IF($A51="","",IF($H51="Not Applicable","",IF(AND($H51="Requested",$D51&lt;&gt;"",TODAY()-$D51&gt;14),"⚠ requested &gt;14 days ago",IF(AND($C51="Yes",$H51&lt;&gt;"Received"),"⚠ outstanding item",""))))</f>
        <v/>
      </c>
    </row>
    <row r="52">
      <c r="A52" s="4" t="n"/>
      <c r="B52" s="4" t="n"/>
      <c r="C52" s="4" t="n"/>
      <c r="D52" s="27" t="n"/>
      <c r="E52" s="27" t="n"/>
      <c r="F52" s="4" t="n"/>
      <c r="G52" s="4" t="n"/>
      <c r="H52" s="4" t="n"/>
      <c r="I52">
        <f>IF($A52="","",IF($H52="Not Applicable","",IF(AND($H52="Requested",$D52&lt;&gt;"",TODAY()-$D52&gt;14),"⚠ requested &gt;14 days ago",IF(AND($C52="Yes",$H52&lt;&gt;"Received"),"⚠ outstanding item",""))))</f>
        <v/>
      </c>
    </row>
    <row r="53">
      <c r="A53" s="4" t="n"/>
      <c r="B53" s="4" t="n"/>
      <c r="C53" s="4" t="n"/>
      <c r="D53" s="27" t="n"/>
      <c r="E53" s="27" t="n"/>
      <c r="F53" s="4" t="n"/>
      <c r="G53" s="4" t="n"/>
      <c r="H53" s="4" t="n"/>
      <c r="I53">
        <f>IF($A53="","",IF($H53="Not Applicable","",IF(AND($H53="Requested",$D53&lt;&gt;"",TODAY()-$D53&gt;14),"⚠ requested &gt;14 days ago",IF(AND($C53="Yes",$H53&lt;&gt;"Received"),"⚠ outstanding item",""))))</f>
        <v/>
      </c>
    </row>
    <row r="54">
      <c r="A54" s="4" t="n"/>
      <c r="B54" s="4" t="n"/>
      <c r="C54" s="4" t="n"/>
      <c r="D54" s="27" t="n"/>
      <c r="E54" s="27" t="n"/>
      <c r="F54" s="4" t="n"/>
      <c r="G54" s="4" t="n"/>
      <c r="H54" s="4" t="n"/>
      <c r="I54">
        <f>IF($A54="","",IF($H54="Not Applicable","",IF(AND($H54="Requested",$D54&lt;&gt;"",TODAY()-$D54&gt;14),"⚠ requested &gt;14 days ago",IF(AND($C54="Yes",$H54&lt;&gt;"Received"),"⚠ outstanding item",""))))</f>
        <v/>
      </c>
    </row>
    <row r="55">
      <c r="A55" s="4" t="n"/>
      <c r="B55" s="4" t="n"/>
      <c r="C55" s="4" t="n"/>
      <c r="D55" s="27" t="n"/>
      <c r="E55" s="27" t="n"/>
      <c r="F55" s="4" t="n"/>
      <c r="G55" s="4" t="n"/>
      <c r="H55" s="4" t="n"/>
      <c r="I55">
        <f>IF($A55="","",IF($H55="Not Applicable","",IF(AND($H55="Requested",$D55&lt;&gt;"",TODAY()-$D55&gt;14),"⚠ requested &gt;14 days ago",IF(AND($C55="Yes",$H55&lt;&gt;"Received"),"⚠ outstanding item",""))))</f>
        <v/>
      </c>
    </row>
    <row r="56">
      <c r="A56" s="4" t="n"/>
      <c r="B56" s="4" t="n"/>
      <c r="C56" s="4" t="n"/>
      <c r="D56" s="27" t="n"/>
      <c r="E56" s="27" t="n"/>
      <c r="F56" s="4" t="n"/>
      <c r="G56" s="4" t="n"/>
      <c r="H56" s="4" t="n"/>
      <c r="I56">
        <f>IF($A56="","",IF($H56="Not Applicable","",IF(AND($H56="Requested",$D56&lt;&gt;"",TODAY()-$D56&gt;14),"⚠ requested &gt;14 days ago",IF(AND($C56="Yes",$H56&lt;&gt;"Received"),"⚠ outstanding item",""))))</f>
        <v/>
      </c>
    </row>
    <row r="57">
      <c r="A57" s="4" t="n"/>
      <c r="B57" s="4" t="n"/>
      <c r="C57" s="4" t="n"/>
      <c r="D57" s="27" t="n"/>
      <c r="E57" s="27" t="n"/>
      <c r="F57" s="4" t="n"/>
      <c r="G57" s="4" t="n"/>
      <c r="H57" s="4" t="n"/>
      <c r="I57">
        <f>IF($A57="","",IF($H57="Not Applicable","",IF(AND($H57="Requested",$D57&lt;&gt;"",TODAY()-$D57&gt;14),"⚠ requested &gt;14 days ago",IF(AND($C57="Yes",$H57&lt;&gt;"Received"),"⚠ outstanding item",""))))</f>
        <v/>
      </c>
    </row>
    <row r="58">
      <c r="A58" s="4" t="n"/>
      <c r="B58" s="4" t="n"/>
      <c r="C58" s="4" t="n"/>
      <c r="D58" s="27" t="n"/>
      <c r="E58" s="27" t="n"/>
      <c r="F58" s="4" t="n"/>
      <c r="G58" s="4" t="n"/>
      <c r="H58" s="4" t="n"/>
      <c r="I58">
        <f>IF($A58="","",IF($H58="Not Applicable","",IF(AND($H58="Requested",$D58&lt;&gt;"",TODAY()-$D58&gt;14),"⚠ requested &gt;14 days ago",IF(AND($C58="Yes",$H58&lt;&gt;"Received"),"⚠ outstanding item",""))))</f>
        <v/>
      </c>
    </row>
    <row r="59">
      <c r="A59" s="4" t="n"/>
      <c r="B59" s="4" t="n"/>
      <c r="C59" s="4" t="n"/>
      <c r="D59" s="27" t="n"/>
      <c r="E59" s="27" t="n"/>
      <c r="F59" s="4" t="n"/>
      <c r="G59" s="4" t="n"/>
      <c r="H59" s="4" t="n"/>
      <c r="I59">
        <f>IF($A59="","",IF($H59="Not Applicable","",IF(AND($H59="Requested",$D59&lt;&gt;"",TODAY()-$D59&gt;14),"⚠ requested &gt;14 days ago",IF(AND($C59="Yes",$H59&lt;&gt;"Received"),"⚠ outstanding item",""))))</f>
        <v/>
      </c>
    </row>
    <row r="60">
      <c r="A60" s="4" t="n"/>
      <c r="B60" s="4" t="n"/>
      <c r="C60" s="4" t="n"/>
      <c r="D60" s="27" t="n"/>
      <c r="E60" s="27" t="n"/>
      <c r="F60" s="4" t="n"/>
      <c r="G60" s="4" t="n"/>
      <c r="H60" s="4" t="n"/>
      <c r="I60">
        <f>IF($A60="","",IF($H60="Not Applicable","",IF(AND($H60="Requested",$D60&lt;&gt;"",TODAY()-$D60&gt;14),"⚠ requested &gt;14 days ago",IF(AND($C60="Yes",$H60&lt;&gt;"Received"),"⚠ outstanding item",""))))</f>
        <v/>
      </c>
    </row>
    <row r="61">
      <c r="A61" s="4" t="n"/>
      <c r="B61" s="4" t="n"/>
      <c r="C61" s="4" t="n"/>
      <c r="D61" s="27" t="n"/>
      <c r="E61" s="27" t="n"/>
      <c r="F61" s="4" t="n"/>
      <c r="G61" s="4" t="n"/>
      <c r="H61" s="4" t="n"/>
      <c r="I61">
        <f>IF($A61="","",IF($H61="Not Applicable","",IF(AND($H61="Requested",$D61&lt;&gt;"",TODAY()-$D61&gt;14),"⚠ requested &gt;14 days ago",IF(AND($C61="Yes",$H61&lt;&gt;"Received"),"⚠ outstanding item",""))))</f>
        <v/>
      </c>
    </row>
    <row r="62">
      <c r="A62" s="4" t="n"/>
      <c r="B62" s="4" t="n"/>
      <c r="C62" s="4" t="n"/>
      <c r="D62" s="27" t="n"/>
      <c r="E62" s="27" t="n"/>
      <c r="F62" s="4" t="n"/>
      <c r="G62" s="4" t="n"/>
      <c r="H62" s="4" t="n"/>
      <c r="I62">
        <f>IF($A62="","",IF($H62="Not Applicable","",IF(AND($H62="Requested",$D62&lt;&gt;"",TODAY()-$D62&gt;14),"⚠ requested &gt;14 days ago",IF(AND($C62="Yes",$H62&lt;&gt;"Received"),"⚠ outstanding item",""))))</f>
        <v/>
      </c>
    </row>
    <row r="63">
      <c r="A63" s="4" t="n"/>
      <c r="B63" s="4" t="n"/>
      <c r="C63" s="4" t="n"/>
      <c r="D63" s="27" t="n"/>
      <c r="E63" s="27" t="n"/>
      <c r="F63" s="4" t="n"/>
      <c r="G63" s="4" t="n"/>
      <c r="H63" s="4" t="n"/>
      <c r="I63">
        <f>IF($A63="","",IF($H63="Not Applicable","",IF(AND($H63="Requested",$D63&lt;&gt;"",TODAY()-$D63&gt;14),"⚠ requested &gt;14 days ago",IF(AND($C63="Yes",$H63&lt;&gt;"Received"),"⚠ outstanding item",""))))</f>
        <v/>
      </c>
    </row>
    <row r="64">
      <c r="A64" s="4" t="n"/>
      <c r="B64" s="4" t="n"/>
      <c r="C64" s="4" t="n"/>
      <c r="D64" s="27" t="n"/>
      <c r="E64" s="27" t="n"/>
      <c r="F64" s="4" t="n"/>
      <c r="G64" s="4" t="n"/>
      <c r="H64" s="4" t="n"/>
      <c r="I64">
        <f>IF($A64="","",IF($H64="Not Applicable","",IF(AND($H64="Requested",$D64&lt;&gt;"",TODAY()-$D64&gt;14),"⚠ requested &gt;14 days ago",IF(AND($C64="Yes",$H64&lt;&gt;"Received"),"⚠ outstanding item",""))))</f>
        <v/>
      </c>
    </row>
    <row r="65">
      <c r="A65" s="4" t="n"/>
      <c r="B65" s="4" t="n"/>
      <c r="C65" s="4" t="n"/>
      <c r="D65" s="27" t="n"/>
      <c r="E65" s="27" t="n"/>
      <c r="F65" s="4" t="n"/>
      <c r="G65" s="4" t="n"/>
      <c r="H65" s="4" t="n"/>
      <c r="I65">
        <f>IF($A65="","",IF($H65="Not Applicable","",IF(AND($H65="Requested",$D65&lt;&gt;"",TODAY()-$D65&gt;14),"⚠ requested &gt;14 days ago",IF(AND($C65="Yes",$H65&lt;&gt;"Received"),"⚠ outstanding item",""))))</f>
        <v/>
      </c>
    </row>
    <row r="66">
      <c r="A66" s="4" t="n"/>
      <c r="B66" s="4" t="n"/>
      <c r="C66" s="4" t="n"/>
      <c r="D66" s="27" t="n"/>
      <c r="E66" s="27" t="n"/>
      <c r="F66" s="4" t="n"/>
      <c r="G66" s="4" t="n"/>
      <c r="H66" s="4" t="n"/>
      <c r="I66">
        <f>IF($A66="","",IF($H66="Not Applicable","",IF(AND($H66="Requested",$D66&lt;&gt;"",TODAY()-$D66&gt;14),"⚠ requested &gt;14 days ago",IF(AND($C66="Yes",$H66&lt;&gt;"Received"),"⚠ outstanding item",""))))</f>
        <v/>
      </c>
    </row>
    <row r="67">
      <c r="A67" s="4" t="n"/>
      <c r="B67" s="4" t="n"/>
      <c r="C67" s="4" t="n"/>
      <c r="D67" s="27" t="n"/>
      <c r="E67" s="27" t="n"/>
      <c r="F67" s="4" t="n"/>
      <c r="G67" s="4" t="n"/>
      <c r="H67" s="4" t="n"/>
      <c r="I67">
        <f>IF($A67="","",IF($H67="Not Applicable","",IF(AND($H67="Requested",$D67&lt;&gt;"",TODAY()-$D67&gt;14),"⚠ requested &gt;14 days ago",IF(AND($C67="Yes",$H67&lt;&gt;"Received"),"⚠ outstanding item",""))))</f>
        <v/>
      </c>
    </row>
    <row r="68">
      <c r="A68" s="4" t="n"/>
      <c r="B68" s="4" t="n"/>
      <c r="C68" s="4" t="n"/>
      <c r="D68" s="27" t="n"/>
      <c r="E68" s="27" t="n"/>
      <c r="F68" s="4" t="n"/>
      <c r="G68" s="4" t="n"/>
      <c r="H68" s="4" t="n"/>
      <c r="I68">
        <f>IF($A68="","",IF($H68="Not Applicable","",IF(AND($H68="Requested",$D68&lt;&gt;"",TODAY()-$D68&gt;14),"⚠ requested &gt;14 days ago",IF(AND($C68="Yes",$H68&lt;&gt;"Received"),"⚠ outstanding item",""))))</f>
        <v/>
      </c>
    </row>
    <row r="69">
      <c r="A69" s="4" t="n"/>
      <c r="B69" s="4" t="n"/>
      <c r="C69" s="4" t="n"/>
      <c r="D69" s="27" t="n"/>
      <c r="E69" s="27" t="n"/>
      <c r="F69" s="4" t="n"/>
      <c r="G69" s="4" t="n"/>
      <c r="H69" s="4" t="n"/>
      <c r="I69">
        <f>IF($A69="","",IF($H69="Not Applicable","",IF(AND($H69="Requested",$D69&lt;&gt;"",TODAY()-$D69&gt;14),"⚠ requested &gt;14 days ago",IF(AND($C69="Yes",$H69&lt;&gt;"Received"),"⚠ outstanding item",""))))</f>
        <v/>
      </c>
    </row>
    <row r="70">
      <c r="A70" s="4" t="n"/>
      <c r="B70" s="4" t="n"/>
      <c r="C70" s="4" t="n"/>
      <c r="D70" s="27" t="n"/>
      <c r="E70" s="27" t="n"/>
      <c r="F70" s="4" t="n"/>
      <c r="G70" s="4" t="n"/>
      <c r="H70" s="4" t="n"/>
      <c r="I70">
        <f>IF($A70="","",IF($H70="Not Applicable","",IF(AND($H70="Requested",$D70&lt;&gt;"",TODAY()-$D70&gt;14),"⚠ requested &gt;14 days ago",IF(AND($C70="Yes",$H70&lt;&gt;"Received"),"⚠ outstanding item",""))))</f>
        <v/>
      </c>
    </row>
    <row r="71">
      <c r="A71" s="4" t="n"/>
      <c r="B71" s="4" t="n"/>
      <c r="C71" s="4" t="n"/>
      <c r="D71" s="27" t="n"/>
      <c r="E71" s="27" t="n"/>
      <c r="F71" s="4" t="n"/>
      <c r="G71" s="4" t="n"/>
      <c r="H71" s="4" t="n"/>
      <c r="I71">
        <f>IF($A71="","",IF($H71="Not Applicable","",IF(AND($H71="Requested",$D71&lt;&gt;"",TODAY()-$D71&gt;14),"⚠ requested &gt;14 days ago",IF(AND($C71="Yes",$H71&lt;&gt;"Received"),"⚠ outstanding item",""))))</f>
        <v/>
      </c>
    </row>
    <row r="72">
      <c r="A72" s="4" t="n"/>
      <c r="B72" s="4" t="n"/>
      <c r="C72" s="4" t="n"/>
      <c r="D72" s="27" t="n"/>
      <c r="E72" s="27" t="n"/>
      <c r="F72" s="4" t="n"/>
      <c r="G72" s="4" t="n"/>
      <c r="H72" s="4" t="n"/>
      <c r="I72">
        <f>IF($A72="","",IF($H72="Not Applicable","",IF(AND($H72="Requested",$D72&lt;&gt;"",TODAY()-$D72&gt;14),"⚠ requested &gt;14 days ago",IF(AND($C72="Yes",$H72&lt;&gt;"Received"),"⚠ outstanding item",""))))</f>
        <v/>
      </c>
    </row>
    <row r="73">
      <c r="A73" s="4" t="n"/>
      <c r="B73" s="4" t="n"/>
      <c r="C73" s="4" t="n"/>
      <c r="D73" s="27" t="n"/>
      <c r="E73" s="27" t="n"/>
      <c r="F73" s="4" t="n"/>
      <c r="G73" s="4" t="n"/>
      <c r="H73" s="4" t="n"/>
      <c r="I73">
        <f>IF($A73="","",IF($H73="Not Applicable","",IF(AND($H73="Requested",$D73&lt;&gt;"",TODAY()-$D73&gt;14),"⚠ requested &gt;14 days ago",IF(AND($C73="Yes",$H73&lt;&gt;"Received"),"⚠ outstanding item",""))))</f>
        <v/>
      </c>
    </row>
    <row r="74">
      <c r="A74" s="4" t="n"/>
      <c r="B74" s="4" t="n"/>
      <c r="C74" s="4" t="n"/>
      <c r="D74" s="27" t="n"/>
      <c r="E74" s="27" t="n"/>
      <c r="F74" s="4" t="n"/>
      <c r="G74" s="4" t="n"/>
      <c r="H74" s="4" t="n"/>
      <c r="I74">
        <f>IF($A74="","",IF($H74="Not Applicable","",IF(AND($H74="Requested",$D74&lt;&gt;"",TODAY()-$D74&gt;14),"⚠ requested &gt;14 days ago",IF(AND($C74="Yes",$H74&lt;&gt;"Received"),"⚠ outstanding item",""))))</f>
        <v/>
      </c>
    </row>
    <row r="75">
      <c r="A75" s="4" t="n"/>
      <c r="B75" s="4" t="n"/>
      <c r="C75" s="4" t="n"/>
      <c r="D75" s="27" t="n"/>
      <c r="E75" s="27" t="n"/>
      <c r="F75" s="4" t="n"/>
      <c r="G75" s="4" t="n"/>
      <c r="H75" s="4" t="n"/>
      <c r="I75">
        <f>IF($A75="","",IF($H75="Not Applicable","",IF(AND($H75="Requested",$D75&lt;&gt;"",TODAY()-$D75&gt;14),"⚠ requested &gt;14 days ago",IF(AND($C75="Yes",$H75&lt;&gt;"Received"),"⚠ outstanding item",""))))</f>
        <v/>
      </c>
    </row>
    <row r="76">
      <c r="A76" s="4" t="n"/>
      <c r="B76" s="4" t="n"/>
      <c r="C76" s="4" t="n"/>
      <c r="D76" s="27" t="n"/>
      <c r="E76" s="27" t="n"/>
      <c r="F76" s="4" t="n"/>
      <c r="G76" s="4" t="n"/>
      <c r="H76" s="4" t="n"/>
      <c r="I76">
        <f>IF($A76="","",IF($H76="Not Applicable","",IF(AND($H76="Requested",$D76&lt;&gt;"",TODAY()-$D76&gt;14),"⚠ requested &gt;14 days ago",IF(AND($C76="Yes",$H76&lt;&gt;"Received"),"⚠ outstanding item",""))))</f>
        <v/>
      </c>
    </row>
    <row r="77">
      <c r="A77" s="4" t="n"/>
      <c r="B77" s="4" t="n"/>
      <c r="C77" s="4" t="n"/>
      <c r="D77" s="27" t="n"/>
      <c r="E77" s="27" t="n"/>
      <c r="F77" s="4" t="n"/>
      <c r="G77" s="4" t="n"/>
      <c r="H77" s="4" t="n"/>
      <c r="I77">
        <f>IF($A77="","",IF($H77="Not Applicable","",IF(AND($H77="Requested",$D77&lt;&gt;"",TODAY()-$D77&gt;14),"⚠ requested &gt;14 days ago",IF(AND($C77="Yes",$H77&lt;&gt;"Received"),"⚠ outstanding item",""))))</f>
        <v/>
      </c>
    </row>
    <row r="78">
      <c r="A78" s="4" t="n"/>
      <c r="B78" s="4" t="n"/>
      <c r="C78" s="4" t="n"/>
      <c r="D78" s="27" t="n"/>
      <c r="E78" s="27" t="n"/>
      <c r="F78" s="4" t="n"/>
      <c r="G78" s="4" t="n"/>
      <c r="H78" s="4" t="n"/>
      <c r="I78">
        <f>IF($A78="","",IF($H78="Not Applicable","",IF(AND($H78="Requested",$D78&lt;&gt;"",TODAY()-$D78&gt;14),"⚠ requested &gt;14 days ago",IF(AND($C78="Yes",$H78&lt;&gt;"Received"),"⚠ outstanding item",""))))</f>
        <v/>
      </c>
    </row>
    <row r="79">
      <c r="A79" s="4" t="n"/>
      <c r="B79" s="4" t="n"/>
      <c r="C79" s="4" t="n"/>
      <c r="D79" s="27" t="n"/>
      <c r="E79" s="27" t="n"/>
      <c r="F79" s="4" t="n"/>
      <c r="G79" s="4" t="n"/>
      <c r="H79" s="4" t="n"/>
      <c r="I79">
        <f>IF($A79="","",IF($H79="Not Applicable","",IF(AND($H79="Requested",$D79&lt;&gt;"",TODAY()-$D79&gt;14),"⚠ requested &gt;14 days ago",IF(AND($C79="Yes",$H79&lt;&gt;"Received"),"⚠ outstanding item",""))))</f>
        <v/>
      </c>
    </row>
    <row r="80">
      <c r="A80" s="4" t="n"/>
      <c r="B80" s="4" t="n"/>
      <c r="C80" s="4" t="n"/>
      <c r="D80" s="27" t="n"/>
      <c r="E80" s="27" t="n"/>
      <c r="F80" s="4" t="n"/>
      <c r="G80" s="4" t="n"/>
      <c r="H80" s="4" t="n"/>
      <c r="I80">
        <f>IF($A80="","",IF($H80="Not Applicable","",IF(AND($H80="Requested",$D80&lt;&gt;"",TODAY()-$D80&gt;14),"⚠ requested &gt;14 days ago",IF(AND($C80="Yes",$H80&lt;&gt;"Received"),"⚠ outstanding item",""))))</f>
        <v/>
      </c>
    </row>
    <row r="81">
      <c r="A81" s="4" t="n"/>
      <c r="B81" s="4" t="n"/>
      <c r="C81" s="4" t="n"/>
      <c r="D81" s="27" t="n"/>
      <c r="E81" s="27" t="n"/>
      <c r="F81" s="4" t="n"/>
      <c r="G81" s="4" t="n"/>
      <c r="H81" s="4" t="n"/>
      <c r="I81">
        <f>IF($A81="","",IF($H81="Not Applicable","",IF(AND($H81="Requested",$D81&lt;&gt;"",TODAY()-$D81&gt;14),"⚠ requested &gt;14 days ago",IF(AND($C81="Yes",$H81&lt;&gt;"Received"),"⚠ outstanding item",""))))</f>
        <v/>
      </c>
    </row>
    <row r="82">
      <c r="A82" s="4" t="n"/>
      <c r="B82" s="4" t="n"/>
      <c r="C82" s="4" t="n"/>
      <c r="D82" s="27" t="n"/>
      <c r="E82" s="27" t="n"/>
      <c r="F82" s="4" t="n"/>
      <c r="G82" s="4" t="n"/>
      <c r="H82" s="4" t="n"/>
      <c r="I82">
        <f>IF($A82="","",IF($H82="Not Applicable","",IF(AND($H82="Requested",$D82&lt;&gt;"",TODAY()-$D82&gt;14),"⚠ requested &gt;14 days ago",IF(AND($C82="Yes",$H82&lt;&gt;"Received"),"⚠ outstanding item",""))))</f>
        <v/>
      </c>
    </row>
    <row r="83">
      <c r="A83" s="4" t="n"/>
      <c r="B83" s="4" t="n"/>
      <c r="C83" s="4" t="n"/>
      <c r="D83" s="27" t="n"/>
      <c r="E83" s="27" t="n"/>
      <c r="F83" s="4" t="n"/>
      <c r="G83" s="4" t="n"/>
      <c r="H83" s="4" t="n"/>
      <c r="I83">
        <f>IF($A83="","",IF($H83="Not Applicable","",IF(AND($H83="Requested",$D83&lt;&gt;"",TODAY()-$D83&gt;14),"⚠ requested &gt;14 days ago",IF(AND($C83="Yes",$H83&lt;&gt;"Received"),"⚠ outstanding item",""))))</f>
        <v/>
      </c>
    </row>
    <row r="84">
      <c r="A84" s="4" t="n"/>
      <c r="B84" s="4" t="n"/>
      <c r="C84" s="4" t="n"/>
      <c r="D84" s="27" t="n"/>
      <c r="E84" s="27" t="n"/>
      <c r="F84" s="4" t="n"/>
      <c r="G84" s="4" t="n"/>
      <c r="H84" s="4" t="n"/>
      <c r="I84">
        <f>IF($A84="","",IF($H84="Not Applicable","",IF(AND($H84="Requested",$D84&lt;&gt;"",TODAY()-$D84&gt;14),"⚠ requested &gt;14 days ago",IF(AND($C84="Yes",$H84&lt;&gt;"Received"),"⚠ outstanding item",""))))</f>
        <v/>
      </c>
    </row>
    <row r="85">
      <c r="A85" s="4" t="n"/>
      <c r="B85" s="4" t="n"/>
      <c r="C85" s="4" t="n"/>
      <c r="D85" s="27" t="n"/>
      <c r="E85" s="27" t="n"/>
      <c r="F85" s="4" t="n"/>
      <c r="G85" s="4" t="n"/>
      <c r="H85" s="4" t="n"/>
      <c r="I85">
        <f>IF($A85="","",IF($H85="Not Applicable","",IF(AND($H85="Requested",$D85&lt;&gt;"",TODAY()-$D85&gt;14),"⚠ requested &gt;14 days ago",IF(AND($C85="Yes",$H85&lt;&gt;"Received"),"⚠ outstanding item",""))))</f>
        <v/>
      </c>
    </row>
    <row r="86">
      <c r="A86" s="4" t="n"/>
      <c r="B86" s="4" t="n"/>
      <c r="C86" s="4" t="n"/>
      <c r="D86" s="27" t="n"/>
      <c r="E86" s="27" t="n"/>
      <c r="F86" s="4" t="n"/>
      <c r="G86" s="4" t="n"/>
      <c r="H86" s="4" t="n"/>
      <c r="I86">
        <f>IF($A86="","",IF($H86="Not Applicable","",IF(AND($H86="Requested",$D86&lt;&gt;"",TODAY()-$D86&gt;14),"⚠ requested &gt;14 days ago",IF(AND($C86="Yes",$H86&lt;&gt;"Received"),"⚠ outstanding item",""))))</f>
        <v/>
      </c>
    </row>
    <row r="87">
      <c r="A87" s="4" t="n"/>
      <c r="B87" s="4" t="n"/>
      <c r="C87" s="4" t="n"/>
      <c r="D87" s="27" t="n"/>
      <c r="E87" s="27" t="n"/>
      <c r="F87" s="4" t="n"/>
      <c r="G87" s="4" t="n"/>
      <c r="H87" s="4" t="n"/>
      <c r="I87">
        <f>IF($A87="","",IF($H87="Not Applicable","",IF(AND($H87="Requested",$D87&lt;&gt;"",TODAY()-$D87&gt;14),"⚠ requested &gt;14 days ago",IF(AND($C87="Yes",$H87&lt;&gt;"Received"),"⚠ outstanding item",""))))</f>
        <v/>
      </c>
    </row>
    <row r="88">
      <c r="A88" s="4" t="n"/>
      <c r="B88" s="4" t="n"/>
      <c r="C88" s="4" t="n"/>
      <c r="D88" s="27" t="n"/>
      <c r="E88" s="27" t="n"/>
      <c r="F88" s="4" t="n"/>
      <c r="G88" s="4" t="n"/>
      <c r="H88" s="4" t="n"/>
      <c r="I88">
        <f>IF($A88="","",IF($H88="Not Applicable","",IF(AND($H88="Requested",$D88&lt;&gt;"",TODAY()-$D88&gt;14),"⚠ requested &gt;14 days ago",IF(AND($C88="Yes",$H88&lt;&gt;"Received"),"⚠ outstanding item",""))))</f>
        <v/>
      </c>
    </row>
    <row r="89">
      <c r="A89" s="4" t="n"/>
      <c r="B89" s="4" t="n"/>
      <c r="C89" s="4" t="n"/>
      <c r="D89" s="27" t="n"/>
      <c r="E89" s="27" t="n"/>
      <c r="F89" s="4" t="n"/>
      <c r="G89" s="4" t="n"/>
      <c r="H89" s="4" t="n"/>
      <c r="I89">
        <f>IF($A89="","",IF($H89="Not Applicable","",IF(AND($H89="Requested",$D89&lt;&gt;"",TODAY()-$D89&gt;14),"⚠ requested &gt;14 days ago",IF(AND($C89="Yes",$H89&lt;&gt;"Received"),"⚠ outstanding item",""))))</f>
        <v/>
      </c>
    </row>
    <row r="90">
      <c r="A90" s="4" t="n"/>
      <c r="B90" s="4" t="n"/>
      <c r="C90" s="4" t="n"/>
      <c r="D90" s="27" t="n"/>
      <c r="E90" s="27" t="n"/>
      <c r="F90" s="4" t="n"/>
      <c r="G90" s="4" t="n"/>
      <c r="H90" s="4" t="n"/>
      <c r="I90">
        <f>IF($A90="","",IF($H90="Not Applicable","",IF(AND($H90="Requested",$D90&lt;&gt;"",TODAY()-$D90&gt;14),"⚠ requested &gt;14 days ago",IF(AND($C90="Yes",$H90&lt;&gt;"Received"),"⚠ outstanding item",""))))</f>
        <v/>
      </c>
    </row>
    <row r="91">
      <c r="A91" s="4" t="n"/>
      <c r="B91" s="4" t="n"/>
      <c r="C91" s="4" t="n"/>
      <c r="D91" s="27" t="n"/>
      <c r="E91" s="27" t="n"/>
      <c r="F91" s="4" t="n"/>
      <c r="G91" s="4" t="n"/>
      <c r="H91" s="4" t="n"/>
      <c r="I91">
        <f>IF($A91="","",IF($H91="Not Applicable","",IF(AND($H91="Requested",$D91&lt;&gt;"",TODAY()-$D91&gt;14),"⚠ requested &gt;14 days ago",IF(AND($C91="Yes",$H91&lt;&gt;"Received"),"⚠ outstanding item",""))))</f>
        <v/>
      </c>
    </row>
    <row r="92">
      <c r="A92" s="4" t="n"/>
      <c r="B92" s="4" t="n"/>
      <c r="C92" s="4" t="n"/>
      <c r="D92" s="27" t="n"/>
      <c r="E92" s="27" t="n"/>
      <c r="F92" s="4" t="n"/>
      <c r="G92" s="4" t="n"/>
      <c r="H92" s="4" t="n"/>
      <c r="I92">
        <f>IF($A92="","",IF($H92="Not Applicable","",IF(AND($H92="Requested",$D92&lt;&gt;"",TODAY()-$D92&gt;14),"⚠ requested &gt;14 days ago",IF(AND($C92="Yes",$H92&lt;&gt;"Received"),"⚠ outstanding item",""))))</f>
        <v/>
      </c>
    </row>
    <row r="93">
      <c r="A93" s="4" t="n"/>
      <c r="B93" s="4" t="n"/>
      <c r="C93" s="4" t="n"/>
      <c r="D93" s="27" t="n"/>
      <c r="E93" s="27" t="n"/>
      <c r="F93" s="4" t="n"/>
      <c r="G93" s="4" t="n"/>
      <c r="H93" s="4" t="n"/>
      <c r="I93">
        <f>IF($A93="","",IF($H93="Not Applicable","",IF(AND($H93="Requested",$D93&lt;&gt;"",TODAY()-$D93&gt;14),"⚠ requested &gt;14 days ago",IF(AND($C93="Yes",$H93&lt;&gt;"Received"),"⚠ outstanding item",""))))</f>
        <v/>
      </c>
    </row>
    <row r="94">
      <c r="A94" s="4" t="n"/>
      <c r="B94" s="4" t="n"/>
      <c r="C94" s="4" t="n"/>
      <c r="D94" s="27" t="n"/>
      <c r="E94" s="27" t="n"/>
      <c r="F94" s="4" t="n"/>
      <c r="G94" s="4" t="n"/>
      <c r="H94" s="4" t="n"/>
      <c r="I94">
        <f>IF($A94="","",IF($H94="Not Applicable","",IF(AND($H94="Requested",$D94&lt;&gt;"",TODAY()-$D94&gt;14),"⚠ requested &gt;14 days ago",IF(AND($C94="Yes",$H94&lt;&gt;"Received"),"⚠ outstanding item",""))))</f>
        <v/>
      </c>
    </row>
    <row r="95">
      <c r="A95" s="4" t="n"/>
      <c r="B95" s="4" t="n"/>
      <c r="C95" s="4" t="n"/>
      <c r="D95" s="27" t="n"/>
      <c r="E95" s="27" t="n"/>
      <c r="F95" s="4" t="n"/>
      <c r="G95" s="4" t="n"/>
      <c r="H95" s="4" t="n"/>
      <c r="I95">
        <f>IF($A95="","",IF($H95="Not Applicable","",IF(AND($H95="Requested",$D95&lt;&gt;"",TODAY()-$D95&gt;14),"⚠ requested &gt;14 days ago",IF(AND($C95="Yes",$H95&lt;&gt;"Received"),"⚠ outstanding item",""))))</f>
        <v/>
      </c>
    </row>
    <row r="96">
      <c r="A96" s="4" t="n"/>
      <c r="B96" s="4" t="n"/>
      <c r="C96" s="4" t="n"/>
      <c r="D96" s="27" t="n"/>
      <c r="E96" s="27" t="n"/>
      <c r="F96" s="4" t="n"/>
      <c r="G96" s="4" t="n"/>
      <c r="H96" s="4" t="n"/>
      <c r="I96">
        <f>IF($A96="","",IF($H96="Not Applicable","",IF(AND($H96="Requested",$D96&lt;&gt;"",TODAY()-$D96&gt;14),"⚠ requested &gt;14 days ago",IF(AND($C96="Yes",$H96&lt;&gt;"Received"),"⚠ outstanding item",""))))</f>
        <v/>
      </c>
    </row>
    <row r="97">
      <c r="A97" s="4" t="n"/>
      <c r="B97" s="4" t="n"/>
      <c r="C97" s="4" t="n"/>
      <c r="D97" s="27" t="n"/>
      <c r="E97" s="27" t="n"/>
      <c r="F97" s="4" t="n"/>
      <c r="G97" s="4" t="n"/>
      <c r="H97" s="4" t="n"/>
      <c r="I97">
        <f>IF($A97="","",IF($H97="Not Applicable","",IF(AND($H97="Requested",$D97&lt;&gt;"",TODAY()-$D97&gt;14),"⚠ requested &gt;14 days ago",IF(AND($C97="Yes",$H97&lt;&gt;"Received"),"⚠ outstanding item",""))))</f>
        <v/>
      </c>
    </row>
    <row r="98">
      <c r="A98" s="4" t="n"/>
      <c r="B98" s="4" t="n"/>
      <c r="C98" s="4" t="n"/>
      <c r="D98" s="27" t="n"/>
      <c r="E98" s="27" t="n"/>
      <c r="F98" s="4" t="n"/>
      <c r="G98" s="4" t="n"/>
      <c r="H98" s="4" t="n"/>
      <c r="I98">
        <f>IF($A98="","",IF($H98="Not Applicable","",IF(AND($H98="Requested",$D98&lt;&gt;"",TODAY()-$D98&gt;14),"⚠ requested &gt;14 days ago",IF(AND($C98="Yes",$H98&lt;&gt;"Received"),"⚠ outstanding item",""))))</f>
        <v/>
      </c>
    </row>
    <row r="99">
      <c r="A99" s="4" t="n"/>
      <c r="B99" s="4" t="n"/>
      <c r="C99" s="4" t="n"/>
      <c r="D99" s="27" t="n"/>
      <c r="E99" s="27" t="n"/>
      <c r="F99" s="4" t="n"/>
      <c r="G99" s="4" t="n"/>
      <c r="H99" s="4" t="n"/>
      <c r="I99">
        <f>IF($A99="","",IF($H99="Not Applicable","",IF(AND($H99="Requested",$D99&lt;&gt;"",TODAY()-$D99&gt;14),"⚠ requested &gt;14 days ago",IF(AND($C99="Yes",$H99&lt;&gt;"Received"),"⚠ outstanding item",""))))</f>
        <v/>
      </c>
    </row>
    <row r="100">
      <c r="A100" s="4" t="n"/>
      <c r="B100" s="4" t="n"/>
      <c r="C100" s="4" t="n"/>
      <c r="D100" s="27" t="n"/>
      <c r="E100" s="27" t="n"/>
      <c r="F100" s="4" t="n"/>
      <c r="G100" s="4" t="n"/>
      <c r="H100" s="4" t="n"/>
      <c r="I100">
        <f>IF($A100="","",IF($H100="Not Applicable","",IF(AND($H100="Requested",$D100&lt;&gt;"",TODAY()-$D100&gt;14),"⚠ requested &gt;14 days ago",IF(AND($C100="Yes",$H100&lt;&gt;"Received"),"⚠ outstanding item",""))))</f>
        <v/>
      </c>
    </row>
    <row r="101">
      <c r="A101" s="4" t="n"/>
      <c r="B101" s="4" t="n"/>
      <c r="C101" s="4" t="n"/>
      <c r="D101" s="27" t="n"/>
      <c r="E101" s="27" t="n"/>
      <c r="F101" s="4" t="n"/>
      <c r="G101" s="4" t="n"/>
      <c r="H101" s="4" t="n"/>
      <c r="I101">
        <f>IF($A101="","",IF($H101="Not Applicable","",IF(AND($H101="Requested",$D101&lt;&gt;"",TODAY()-$D101&gt;14),"⚠ requested &gt;14 days ago",IF(AND($C101="Yes",$H101&lt;&gt;"Received"),"⚠ outstanding item",""))))</f>
        <v/>
      </c>
    </row>
    <row r="102">
      <c r="A102" s="4" t="n"/>
      <c r="B102" s="4" t="n"/>
      <c r="C102" s="4" t="n"/>
      <c r="D102" s="27" t="n"/>
      <c r="E102" s="27" t="n"/>
      <c r="F102" s="4" t="n"/>
      <c r="G102" s="4" t="n"/>
      <c r="H102" s="4" t="n"/>
      <c r="I102">
        <f>IF($A102="","",IF($H102="Not Applicable","",IF(AND($H102="Requested",$D102&lt;&gt;"",TODAY()-$D102&gt;14),"⚠ requested &gt;14 days ago",IF(AND($C102="Yes",$H102&lt;&gt;"Received"),"⚠ outstanding item",""))))</f>
        <v/>
      </c>
    </row>
    <row r="103">
      <c r="A103" s="4" t="n"/>
      <c r="B103" s="4" t="n"/>
      <c r="C103" s="4" t="n"/>
      <c r="D103" s="27" t="n"/>
      <c r="E103" s="27" t="n"/>
      <c r="F103" s="4" t="n"/>
      <c r="G103" s="4" t="n"/>
      <c r="H103" s="4" t="n"/>
      <c r="I103">
        <f>IF($A103="","",IF($H103="Not Applicable","",IF(AND($H103="Requested",$D103&lt;&gt;"",TODAY()-$D103&gt;14),"⚠ requested &gt;14 days ago",IF(AND($C103="Yes",$H103&lt;&gt;"Received"),"⚠ outstanding item",""))))</f>
        <v/>
      </c>
    </row>
    <row r="104">
      <c r="A104" s="4" t="n"/>
      <c r="B104" s="4" t="n"/>
      <c r="C104" s="4" t="n"/>
      <c r="D104" s="27" t="n"/>
      <c r="E104" s="27" t="n"/>
      <c r="F104" s="4" t="n"/>
      <c r="G104" s="4" t="n"/>
      <c r="H104" s="4" t="n"/>
      <c r="I104">
        <f>IF($A104="","",IF($H104="Not Applicable","",IF(AND($H104="Requested",$D104&lt;&gt;"",TODAY()-$D104&gt;14),"⚠ requested &gt;14 days ago",IF(AND($C104="Yes",$H104&lt;&gt;"Received"),"⚠ outstanding item",""))))</f>
        <v/>
      </c>
    </row>
    <row r="105">
      <c r="A105" s="4" t="n"/>
      <c r="B105" s="4" t="n"/>
      <c r="C105" s="4" t="n"/>
      <c r="D105" s="27" t="n"/>
      <c r="E105" s="27" t="n"/>
      <c r="F105" s="4" t="n"/>
      <c r="G105" s="4" t="n"/>
      <c r="H105" s="4" t="n"/>
      <c r="I105">
        <f>IF($A105="","",IF($H105="Not Applicable","",IF(AND($H105="Requested",$D105&lt;&gt;"",TODAY()-$D105&gt;14),"⚠ requested &gt;14 days ago",IF(AND($C105="Yes",$H105&lt;&gt;"Received"),"⚠ outstanding item",""))))</f>
        <v/>
      </c>
    </row>
    <row r="106">
      <c r="A106" s="4" t="n"/>
      <c r="B106" s="4" t="n"/>
      <c r="C106" s="4" t="n"/>
      <c r="D106" s="27" t="n"/>
      <c r="E106" s="27" t="n"/>
      <c r="F106" s="4" t="n"/>
      <c r="G106" s="4" t="n"/>
      <c r="H106" s="4" t="n"/>
      <c r="I106">
        <f>IF($A106="","",IF($H106="Not Applicable","",IF(AND($H106="Requested",$D106&lt;&gt;"",TODAY()-$D106&gt;14),"⚠ requested &gt;14 days ago",IF(AND($C106="Yes",$H106&lt;&gt;"Received"),"⚠ outstanding item",""))))</f>
        <v/>
      </c>
    </row>
    <row r="107">
      <c r="A107" s="4" t="n"/>
      <c r="B107" s="4" t="n"/>
      <c r="C107" s="4" t="n"/>
      <c r="D107" s="27" t="n"/>
      <c r="E107" s="27" t="n"/>
      <c r="F107" s="4" t="n"/>
      <c r="G107" s="4" t="n"/>
      <c r="H107" s="4" t="n"/>
      <c r="I107">
        <f>IF($A107="","",IF($H107="Not Applicable","",IF(AND($H107="Requested",$D107&lt;&gt;"",TODAY()-$D107&gt;14),"⚠ requested &gt;14 days ago",IF(AND($C107="Yes",$H107&lt;&gt;"Received"),"⚠ outstanding item",""))))</f>
        <v/>
      </c>
    </row>
    <row r="108">
      <c r="A108" s="4" t="n"/>
      <c r="B108" s="4" t="n"/>
      <c r="C108" s="4" t="n"/>
      <c r="D108" s="27" t="n"/>
      <c r="E108" s="27" t="n"/>
      <c r="F108" s="4" t="n"/>
      <c r="G108" s="4" t="n"/>
      <c r="H108" s="4" t="n"/>
      <c r="I108">
        <f>IF($A108="","",IF($H108="Not Applicable","",IF(AND($H108="Requested",$D108&lt;&gt;"",TODAY()-$D108&gt;14),"⚠ requested &gt;14 days ago",IF(AND($C108="Yes",$H108&lt;&gt;"Received"),"⚠ outstanding item",""))))</f>
        <v/>
      </c>
    </row>
    <row r="109">
      <c r="A109" s="4" t="n"/>
      <c r="B109" s="4" t="n"/>
      <c r="C109" s="4" t="n"/>
      <c r="D109" s="27" t="n"/>
      <c r="E109" s="27" t="n"/>
      <c r="F109" s="4" t="n"/>
      <c r="G109" s="4" t="n"/>
      <c r="H109" s="4" t="n"/>
      <c r="I109">
        <f>IF($A109="","",IF($H109="Not Applicable","",IF(AND($H109="Requested",$D109&lt;&gt;"",TODAY()-$D109&gt;14),"⚠ requested &gt;14 days ago",IF(AND($C109="Yes",$H109&lt;&gt;"Received"),"⚠ outstanding item",""))))</f>
        <v/>
      </c>
    </row>
    <row r="110">
      <c r="A110" s="4" t="n"/>
      <c r="B110" s="4" t="n"/>
      <c r="C110" s="4" t="n"/>
      <c r="D110" s="27" t="n"/>
      <c r="E110" s="27" t="n"/>
      <c r="F110" s="4" t="n"/>
      <c r="G110" s="4" t="n"/>
      <c r="H110" s="4" t="n"/>
      <c r="I110">
        <f>IF($A110="","",IF($H110="Not Applicable","",IF(AND($H110="Requested",$D110&lt;&gt;"",TODAY()-$D110&gt;14),"⚠ requested &gt;14 days ago",IF(AND($C110="Yes",$H110&lt;&gt;"Received"),"⚠ outstanding item",""))))</f>
        <v/>
      </c>
    </row>
    <row r="111">
      <c r="A111" s="4" t="n"/>
      <c r="B111" s="4" t="n"/>
      <c r="C111" s="4" t="n"/>
      <c r="D111" s="27" t="n"/>
      <c r="E111" s="27" t="n"/>
      <c r="F111" s="4" t="n"/>
      <c r="G111" s="4" t="n"/>
      <c r="H111" s="4" t="n"/>
      <c r="I111">
        <f>IF($A111="","",IF($H111="Not Applicable","",IF(AND($H111="Requested",$D111&lt;&gt;"",TODAY()-$D111&gt;14),"⚠ requested &gt;14 days ago",IF(AND($C111="Yes",$H111&lt;&gt;"Received"),"⚠ outstanding item",""))))</f>
        <v/>
      </c>
    </row>
    <row r="112">
      <c r="A112" s="4" t="n"/>
      <c r="B112" s="4" t="n"/>
      <c r="C112" s="4" t="n"/>
      <c r="D112" s="27" t="n"/>
      <c r="E112" s="27" t="n"/>
      <c r="F112" s="4" t="n"/>
      <c r="G112" s="4" t="n"/>
      <c r="H112" s="4" t="n"/>
      <c r="I112">
        <f>IF($A112="","",IF($H112="Not Applicable","",IF(AND($H112="Requested",$D112&lt;&gt;"",TODAY()-$D112&gt;14),"⚠ requested &gt;14 days ago",IF(AND($C112="Yes",$H112&lt;&gt;"Received"),"⚠ outstanding item",""))))</f>
        <v/>
      </c>
    </row>
    <row r="113">
      <c r="A113" s="4" t="n"/>
      <c r="B113" s="4" t="n"/>
      <c r="C113" s="4" t="n"/>
      <c r="D113" s="27" t="n"/>
      <c r="E113" s="27" t="n"/>
      <c r="F113" s="4" t="n"/>
      <c r="G113" s="4" t="n"/>
      <c r="H113" s="4" t="n"/>
      <c r="I113">
        <f>IF($A113="","",IF($H113="Not Applicable","",IF(AND($H113="Requested",$D113&lt;&gt;"",TODAY()-$D113&gt;14),"⚠ requested &gt;14 days ago",IF(AND($C113="Yes",$H113&lt;&gt;"Received"),"⚠ outstanding item",""))))</f>
        <v/>
      </c>
    </row>
    <row r="114">
      <c r="A114" s="4" t="n"/>
      <c r="B114" s="4" t="n"/>
      <c r="C114" s="4" t="n"/>
      <c r="D114" s="27" t="n"/>
      <c r="E114" s="27" t="n"/>
      <c r="F114" s="4" t="n"/>
      <c r="G114" s="4" t="n"/>
      <c r="H114" s="4" t="n"/>
      <c r="I114">
        <f>IF($A114="","",IF($H114="Not Applicable","",IF(AND($H114="Requested",$D114&lt;&gt;"",TODAY()-$D114&gt;14),"⚠ requested &gt;14 days ago",IF(AND($C114="Yes",$H114&lt;&gt;"Received"),"⚠ outstanding item",""))))</f>
        <v/>
      </c>
    </row>
    <row r="115">
      <c r="A115" s="4" t="n"/>
      <c r="B115" s="4" t="n"/>
      <c r="C115" s="4" t="n"/>
      <c r="D115" s="27" t="n"/>
      <c r="E115" s="27" t="n"/>
      <c r="F115" s="4" t="n"/>
      <c r="G115" s="4" t="n"/>
      <c r="H115" s="4" t="n"/>
      <c r="I115">
        <f>IF($A115="","",IF($H115="Not Applicable","",IF(AND($H115="Requested",$D115&lt;&gt;"",TODAY()-$D115&gt;14),"⚠ requested &gt;14 days ago",IF(AND($C115="Yes",$H115&lt;&gt;"Received"),"⚠ outstanding item",""))))</f>
        <v/>
      </c>
    </row>
    <row r="116">
      <c r="A116" s="4" t="n"/>
      <c r="B116" s="4" t="n"/>
      <c r="C116" s="4" t="n"/>
      <c r="D116" s="27" t="n"/>
      <c r="E116" s="27" t="n"/>
      <c r="F116" s="4" t="n"/>
      <c r="G116" s="4" t="n"/>
      <c r="H116" s="4" t="n"/>
      <c r="I116">
        <f>IF($A116="","",IF($H116="Not Applicable","",IF(AND($H116="Requested",$D116&lt;&gt;"",TODAY()-$D116&gt;14),"⚠ requested &gt;14 days ago",IF(AND($C116="Yes",$H116&lt;&gt;"Received"),"⚠ outstanding item",""))))</f>
        <v/>
      </c>
    </row>
    <row r="117">
      <c r="A117" s="4" t="n"/>
      <c r="B117" s="4" t="n"/>
      <c r="C117" s="4" t="n"/>
      <c r="D117" s="27" t="n"/>
      <c r="E117" s="27" t="n"/>
      <c r="F117" s="4" t="n"/>
      <c r="G117" s="4" t="n"/>
      <c r="H117" s="4" t="n"/>
      <c r="I117">
        <f>IF($A117="","",IF($H117="Not Applicable","",IF(AND($H117="Requested",$D117&lt;&gt;"",TODAY()-$D117&gt;14),"⚠ requested &gt;14 days ago",IF(AND($C117="Yes",$H117&lt;&gt;"Received"),"⚠ outstanding item",""))))</f>
        <v/>
      </c>
    </row>
    <row r="118">
      <c r="A118" s="4" t="n"/>
      <c r="B118" s="4" t="n"/>
      <c r="C118" s="4" t="n"/>
      <c r="D118" s="27" t="n"/>
      <c r="E118" s="27" t="n"/>
      <c r="F118" s="4" t="n"/>
      <c r="G118" s="4" t="n"/>
      <c r="H118" s="4" t="n"/>
      <c r="I118">
        <f>IF($A118="","",IF($H118="Not Applicable","",IF(AND($H118="Requested",$D118&lt;&gt;"",TODAY()-$D118&gt;14),"⚠ requested &gt;14 days ago",IF(AND($C118="Yes",$H118&lt;&gt;"Received"),"⚠ outstanding item",""))))</f>
        <v/>
      </c>
    </row>
    <row r="119">
      <c r="A119" s="4" t="n"/>
      <c r="B119" s="4" t="n"/>
      <c r="C119" s="4" t="n"/>
      <c r="D119" s="27" t="n"/>
      <c r="E119" s="27" t="n"/>
      <c r="F119" s="4" t="n"/>
      <c r="G119" s="4" t="n"/>
      <c r="H119" s="4" t="n"/>
      <c r="I119">
        <f>IF($A119="","",IF($H119="Not Applicable","",IF(AND($H119="Requested",$D119&lt;&gt;"",TODAY()-$D119&gt;14),"⚠ requested &gt;14 days ago",IF(AND($C119="Yes",$H119&lt;&gt;"Received"),"⚠ outstanding item",""))))</f>
        <v/>
      </c>
    </row>
    <row r="120">
      <c r="A120" s="4" t="n"/>
      <c r="B120" s="4" t="n"/>
      <c r="C120" s="4" t="n"/>
      <c r="D120" s="27" t="n"/>
      <c r="E120" s="27" t="n"/>
      <c r="F120" s="4" t="n"/>
      <c r="G120" s="4" t="n"/>
      <c r="H120" s="4" t="n"/>
      <c r="I120">
        <f>IF($A120="","",IF($H120="Not Applicable","",IF(AND($H120="Requested",$D120&lt;&gt;"",TODAY()-$D120&gt;14),"⚠ requested &gt;14 days ago",IF(AND($C120="Yes",$H120&lt;&gt;"Received"),"⚠ outstanding item",""))))</f>
        <v/>
      </c>
    </row>
    <row r="121">
      <c r="A121" s="4" t="n"/>
      <c r="B121" s="4" t="n"/>
      <c r="C121" s="4" t="n"/>
      <c r="D121" s="27" t="n"/>
      <c r="E121" s="27" t="n"/>
      <c r="F121" s="4" t="n"/>
      <c r="G121" s="4" t="n"/>
      <c r="H121" s="4" t="n"/>
      <c r="I121">
        <f>IF($A121="","",IF($H121="Not Applicable","",IF(AND($H121="Requested",$D121&lt;&gt;"",TODAY()-$D121&gt;14),"⚠ requested &gt;14 days ago",IF(AND($C121="Yes",$H121&lt;&gt;"Received"),"⚠ outstanding item",""))))</f>
        <v/>
      </c>
    </row>
    <row r="122">
      <c r="A122" s="4" t="n"/>
      <c r="B122" s="4" t="n"/>
      <c r="C122" s="4" t="n"/>
      <c r="D122" s="27" t="n"/>
      <c r="E122" s="27" t="n"/>
      <c r="F122" s="4" t="n"/>
      <c r="G122" s="4" t="n"/>
      <c r="H122" s="4" t="n"/>
      <c r="I122">
        <f>IF($A122="","",IF($H122="Not Applicable","",IF(AND($H122="Requested",$D122&lt;&gt;"",TODAY()-$D122&gt;14),"⚠ requested &gt;14 days ago",IF(AND($C122="Yes",$H122&lt;&gt;"Received"),"⚠ outstanding item",""))))</f>
        <v/>
      </c>
    </row>
    <row r="123">
      <c r="A123" s="4" t="n"/>
      <c r="B123" s="4" t="n"/>
      <c r="C123" s="4" t="n"/>
      <c r="D123" s="27" t="n"/>
      <c r="E123" s="27" t="n"/>
      <c r="F123" s="4" t="n"/>
      <c r="G123" s="4" t="n"/>
      <c r="H123" s="4" t="n"/>
      <c r="I123">
        <f>IF($A123="","",IF($H123="Not Applicable","",IF(AND($H123="Requested",$D123&lt;&gt;"",TODAY()-$D123&gt;14),"⚠ requested &gt;14 days ago",IF(AND($C123="Yes",$H123&lt;&gt;"Received"),"⚠ outstanding item",""))))</f>
        <v/>
      </c>
    </row>
    <row r="124">
      <c r="A124" s="4" t="n"/>
      <c r="B124" s="4" t="n"/>
      <c r="C124" s="4" t="n"/>
      <c r="D124" s="27" t="n"/>
      <c r="E124" s="27" t="n"/>
      <c r="F124" s="4" t="n"/>
      <c r="G124" s="4" t="n"/>
      <c r="H124" s="4" t="n"/>
      <c r="I124">
        <f>IF($A124="","",IF($H124="Not Applicable","",IF(AND($H124="Requested",$D124&lt;&gt;"",TODAY()-$D124&gt;14),"⚠ requested &gt;14 days ago",IF(AND($C124="Yes",$H124&lt;&gt;"Received"),"⚠ outstanding item",""))))</f>
        <v/>
      </c>
    </row>
    <row r="125">
      <c r="A125" s="4" t="n"/>
      <c r="B125" s="4" t="n"/>
      <c r="C125" s="4" t="n"/>
      <c r="D125" s="27" t="n"/>
      <c r="E125" s="27" t="n"/>
      <c r="F125" s="4" t="n"/>
      <c r="G125" s="4" t="n"/>
      <c r="H125" s="4" t="n"/>
      <c r="I125">
        <f>IF($A125="","",IF($H125="Not Applicable","",IF(AND($H125="Requested",$D125&lt;&gt;"",TODAY()-$D125&gt;14),"⚠ requested &gt;14 days ago",IF(AND($C125="Yes",$H125&lt;&gt;"Received"),"⚠ outstanding item",""))))</f>
        <v/>
      </c>
    </row>
    <row r="126">
      <c r="A126" s="4" t="n"/>
      <c r="B126" s="4" t="n"/>
      <c r="C126" s="4" t="n"/>
      <c r="D126" s="27" t="n"/>
      <c r="E126" s="27" t="n"/>
      <c r="F126" s="4" t="n"/>
      <c r="G126" s="4" t="n"/>
      <c r="H126" s="4" t="n"/>
      <c r="I126">
        <f>IF($A126="","",IF($H126="Not Applicable","",IF(AND($H126="Requested",$D126&lt;&gt;"",TODAY()-$D126&gt;14),"⚠ requested &gt;14 days ago",IF(AND($C126="Yes",$H126&lt;&gt;"Received"),"⚠ outstanding item",""))))</f>
        <v/>
      </c>
    </row>
    <row r="127">
      <c r="A127" s="4" t="n"/>
      <c r="B127" s="4" t="n"/>
      <c r="C127" s="4" t="n"/>
      <c r="D127" s="27" t="n"/>
      <c r="E127" s="27" t="n"/>
      <c r="F127" s="4" t="n"/>
      <c r="G127" s="4" t="n"/>
      <c r="H127" s="4" t="n"/>
      <c r="I127">
        <f>IF($A127="","",IF($H127="Not Applicable","",IF(AND($H127="Requested",$D127&lt;&gt;"",TODAY()-$D127&gt;14),"⚠ requested &gt;14 days ago",IF(AND($C127="Yes",$H127&lt;&gt;"Received"),"⚠ outstanding item",""))))</f>
        <v/>
      </c>
    </row>
    <row r="128">
      <c r="A128" s="4" t="n"/>
      <c r="B128" s="4" t="n"/>
      <c r="C128" s="4" t="n"/>
      <c r="D128" s="27" t="n"/>
      <c r="E128" s="27" t="n"/>
      <c r="F128" s="4" t="n"/>
      <c r="G128" s="4" t="n"/>
      <c r="H128" s="4" t="n"/>
      <c r="I128">
        <f>IF($A128="","",IF($H128="Not Applicable","",IF(AND($H128="Requested",$D128&lt;&gt;"",TODAY()-$D128&gt;14),"⚠ requested &gt;14 days ago",IF(AND($C128="Yes",$H128&lt;&gt;"Received"),"⚠ outstanding item",""))))</f>
        <v/>
      </c>
    </row>
    <row r="129">
      <c r="A129" s="4" t="n"/>
      <c r="B129" s="4" t="n"/>
      <c r="C129" s="4" t="n"/>
      <c r="D129" s="27" t="n"/>
      <c r="E129" s="27" t="n"/>
      <c r="F129" s="4" t="n"/>
      <c r="G129" s="4" t="n"/>
      <c r="H129" s="4" t="n"/>
      <c r="I129">
        <f>IF($A129="","",IF($H129="Not Applicable","",IF(AND($H129="Requested",$D129&lt;&gt;"",TODAY()-$D129&gt;14),"⚠ requested &gt;14 days ago",IF(AND($C129="Yes",$H129&lt;&gt;"Received"),"⚠ outstanding item",""))))</f>
        <v/>
      </c>
    </row>
    <row r="130">
      <c r="A130" s="4" t="n"/>
      <c r="B130" s="4" t="n"/>
      <c r="C130" s="4" t="n"/>
      <c r="D130" s="27" t="n"/>
      <c r="E130" s="27" t="n"/>
      <c r="F130" s="4" t="n"/>
      <c r="G130" s="4" t="n"/>
      <c r="H130" s="4" t="n"/>
      <c r="I130">
        <f>IF($A130="","",IF($H130="Not Applicable","",IF(AND($H130="Requested",$D130&lt;&gt;"",TODAY()-$D130&gt;14),"⚠ requested &gt;14 days ago",IF(AND($C130="Yes",$H130&lt;&gt;"Received"),"⚠ outstanding item",""))))</f>
        <v/>
      </c>
    </row>
    <row r="131">
      <c r="A131" s="4" t="n"/>
      <c r="B131" s="4" t="n"/>
      <c r="C131" s="4" t="n"/>
      <c r="D131" s="27" t="n"/>
      <c r="E131" s="27" t="n"/>
      <c r="F131" s="4" t="n"/>
      <c r="G131" s="4" t="n"/>
      <c r="H131" s="4" t="n"/>
      <c r="I131">
        <f>IF($A131="","",IF($H131="Not Applicable","",IF(AND($H131="Requested",$D131&lt;&gt;"",TODAY()-$D131&gt;14),"⚠ requested &gt;14 days ago",IF(AND($C131="Yes",$H131&lt;&gt;"Received"),"⚠ outstanding item",""))))</f>
        <v/>
      </c>
    </row>
    <row r="132">
      <c r="A132" s="4" t="n"/>
      <c r="B132" s="4" t="n"/>
      <c r="C132" s="4" t="n"/>
      <c r="D132" s="27" t="n"/>
      <c r="E132" s="27" t="n"/>
      <c r="F132" s="4" t="n"/>
      <c r="G132" s="4" t="n"/>
      <c r="H132" s="4" t="n"/>
      <c r="I132">
        <f>IF($A132="","",IF($H132="Not Applicable","",IF(AND($H132="Requested",$D132&lt;&gt;"",TODAY()-$D132&gt;14),"⚠ requested &gt;14 days ago",IF(AND($C132="Yes",$H132&lt;&gt;"Received"),"⚠ outstanding item",""))))</f>
        <v/>
      </c>
    </row>
    <row r="133">
      <c r="A133" s="4" t="n"/>
      <c r="B133" s="4" t="n"/>
      <c r="C133" s="4" t="n"/>
      <c r="D133" s="27" t="n"/>
      <c r="E133" s="27" t="n"/>
      <c r="F133" s="4" t="n"/>
      <c r="G133" s="4" t="n"/>
      <c r="H133" s="4" t="n"/>
      <c r="I133">
        <f>IF($A133="","",IF($H133="Not Applicable","",IF(AND($H133="Requested",$D133&lt;&gt;"",TODAY()-$D133&gt;14),"⚠ requested &gt;14 days ago",IF(AND($C133="Yes",$H133&lt;&gt;"Received"),"⚠ outstanding item",""))))</f>
        <v/>
      </c>
    </row>
    <row r="134">
      <c r="A134" s="4" t="n"/>
      <c r="B134" s="4" t="n"/>
      <c r="C134" s="4" t="n"/>
      <c r="D134" s="27" t="n"/>
      <c r="E134" s="27" t="n"/>
      <c r="F134" s="4" t="n"/>
      <c r="G134" s="4" t="n"/>
      <c r="H134" s="4" t="n"/>
      <c r="I134">
        <f>IF($A134="","",IF($H134="Not Applicable","",IF(AND($H134="Requested",$D134&lt;&gt;"",TODAY()-$D134&gt;14),"⚠ requested &gt;14 days ago",IF(AND($C134="Yes",$H134&lt;&gt;"Received"),"⚠ outstanding item",""))))</f>
        <v/>
      </c>
    </row>
    <row r="135">
      <c r="A135" s="4" t="n"/>
      <c r="B135" s="4" t="n"/>
      <c r="C135" s="4" t="n"/>
      <c r="D135" s="27" t="n"/>
      <c r="E135" s="27" t="n"/>
      <c r="F135" s="4" t="n"/>
      <c r="G135" s="4" t="n"/>
      <c r="H135" s="4" t="n"/>
      <c r="I135">
        <f>IF($A135="","",IF($H135="Not Applicable","",IF(AND($H135="Requested",$D135&lt;&gt;"",TODAY()-$D135&gt;14),"⚠ requested &gt;14 days ago",IF(AND($C135="Yes",$H135&lt;&gt;"Received"),"⚠ outstanding item",""))))</f>
        <v/>
      </c>
    </row>
    <row r="136">
      <c r="A136" s="4" t="n"/>
      <c r="B136" s="4" t="n"/>
      <c r="C136" s="4" t="n"/>
      <c r="D136" s="27" t="n"/>
      <c r="E136" s="27" t="n"/>
      <c r="F136" s="4" t="n"/>
      <c r="G136" s="4" t="n"/>
      <c r="H136" s="4" t="n"/>
      <c r="I136">
        <f>IF($A136="","",IF($H136="Not Applicable","",IF(AND($H136="Requested",$D136&lt;&gt;"",TODAY()-$D136&gt;14),"⚠ requested &gt;14 days ago",IF(AND($C136="Yes",$H136&lt;&gt;"Received"),"⚠ outstanding item",""))))</f>
        <v/>
      </c>
    </row>
    <row r="137">
      <c r="A137" s="4" t="n"/>
      <c r="B137" s="4" t="n"/>
      <c r="C137" s="4" t="n"/>
      <c r="D137" s="27" t="n"/>
      <c r="E137" s="27" t="n"/>
      <c r="F137" s="4" t="n"/>
      <c r="G137" s="4" t="n"/>
      <c r="H137" s="4" t="n"/>
      <c r="I137">
        <f>IF($A137="","",IF($H137="Not Applicable","",IF(AND($H137="Requested",$D137&lt;&gt;"",TODAY()-$D137&gt;14),"⚠ requested &gt;14 days ago",IF(AND($C137="Yes",$H137&lt;&gt;"Received"),"⚠ outstanding item",""))))</f>
        <v/>
      </c>
    </row>
    <row r="138">
      <c r="A138" s="4" t="n"/>
      <c r="B138" s="4" t="n"/>
      <c r="C138" s="4" t="n"/>
      <c r="D138" s="27" t="n"/>
      <c r="E138" s="27" t="n"/>
      <c r="F138" s="4" t="n"/>
      <c r="G138" s="4" t="n"/>
      <c r="H138" s="4" t="n"/>
      <c r="I138">
        <f>IF($A138="","",IF($H138="Not Applicable","",IF(AND($H138="Requested",$D138&lt;&gt;"",TODAY()-$D138&gt;14),"⚠ requested &gt;14 days ago",IF(AND($C138="Yes",$H138&lt;&gt;"Received"),"⚠ outstanding item",""))))</f>
        <v/>
      </c>
    </row>
    <row r="139">
      <c r="A139" s="4" t="n"/>
      <c r="B139" s="4" t="n"/>
      <c r="C139" s="4" t="n"/>
      <c r="D139" s="27" t="n"/>
      <c r="E139" s="27" t="n"/>
      <c r="F139" s="4" t="n"/>
      <c r="G139" s="4" t="n"/>
      <c r="H139" s="4" t="n"/>
      <c r="I139">
        <f>IF($A139="","",IF($H139="Not Applicable","",IF(AND($H139="Requested",$D139&lt;&gt;"",TODAY()-$D139&gt;14),"⚠ requested &gt;14 days ago",IF(AND($C139="Yes",$H139&lt;&gt;"Received"),"⚠ outstanding item",""))))</f>
        <v/>
      </c>
    </row>
    <row r="140">
      <c r="A140" s="4" t="n"/>
      <c r="B140" s="4" t="n"/>
      <c r="C140" s="4" t="n"/>
      <c r="D140" s="27" t="n"/>
      <c r="E140" s="27" t="n"/>
      <c r="F140" s="4" t="n"/>
      <c r="G140" s="4" t="n"/>
      <c r="H140" s="4" t="n"/>
      <c r="I140">
        <f>IF($A140="","",IF($H140="Not Applicable","",IF(AND($H140="Requested",$D140&lt;&gt;"",TODAY()-$D140&gt;14),"⚠ requested &gt;14 days ago",IF(AND($C140="Yes",$H140&lt;&gt;"Received"),"⚠ outstanding item",""))))</f>
        <v/>
      </c>
    </row>
    <row r="141">
      <c r="A141" s="4" t="n"/>
      <c r="B141" s="4" t="n"/>
      <c r="C141" s="4" t="n"/>
      <c r="D141" s="27" t="n"/>
      <c r="E141" s="27" t="n"/>
      <c r="F141" s="4" t="n"/>
      <c r="G141" s="4" t="n"/>
      <c r="H141" s="4" t="n"/>
      <c r="I141">
        <f>IF($A141="","",IF($H141="Not Applicable","",IF(AND($H141="Requested",$D141&lt;&gt;"",TODAY()-$D141&gt;14),"⚠ requested &gt;14 days ago",IF(AND($C141="Yes",$H141&lt;&gt;"Received"),"⚠ outstanding item",""))))</f>
        <v/>
      </c>
    </row>
    <row r="142">
      <c r="A142" s="4" t="n"/>
      <c r="B142" s="4" t="n"/>
      <c r="C142" s="4" t="n"/>
      <c r="D142" s="27" t="n"/>
      <c r="E142" s="27" t="n"/>
      <c r="F142" s="4" t="n"/>
      <c r="G142" s="4" t="n"/>
      <c r="H142" s="4" t="n"/>
      <c r="I142">
        <f>IF($A142="","",IF($H142="Not Applicable","",IF(AND($H142="Requested",$D142&lt;&gt;"",TODAY()-$D142&gt;14),"⚠ requested &gt;14 days ago",IF(AND($C142="Yes",$H142&lt;&gt;"Received"),"⚠ outstanding item",""))))</f>
        <v/>
      </c>
    </row>
    <row r="143">
      <c r="A143" s="4" t="n"/>
      <c r="B143" s="4" t="n"/>
      <c r="C143" s="4" t="n"/>
      <c r="D143" s="27" t="n"/>
      <c r="E143" s="27" t="n"/>
      <c r="F143" s="4" t="n"/>
      <c r="G143" s="4" t="n"/>
      <c r="H143" s="4" t="n"/>
      <c r="I143">
        <f>IF($A143="","",IF($H143="Not Applicable","",IF(AND($H143="Requested",$D143&lt;&gt;"",TODAY()-$D143&gt;14),"⚠ requested &gt;14 days ago",IF(AND($C143="Yes",$H143&lt;&gt;"Received"),"⚠ outstanding item",""))))</f>
        <v/>
      </c>
    </row>
    <row r="144">
      <c r="A144" s="4" t="n"/>
      <c r="B144" s="4" t="n"/>
      <c r="C144" s="4" t="n"/>
      <c r="D144" s="27" t="n"/>
      <c r="E144" s="27" t="n"/>
      <c r="F144" s="4" t="n"/>
      <c r="G144" s="4" t="n"/>
      <c r="H144" s="4" t="n"/>
      <c r="I144">
        <f>IF($A144="","",IF($H144="Not Applicable","",IF(AND($H144="Requested",$D144&lt;&gt;"",TODAY()-$D144&gt;14),"⚠ requested &gt;14 days ago",IF(AND($C144="Yes",$H144&lt;&gt;"Received"),"⚠ outstanding item",""))))</f>
        <v/>
      </c>
    </row>
    <row r="145">
      <c r="A145" s="4" t="n"/>
      <c r="B145" s="4" t="n"/>
      <c r="C145" s="4" t="n"/>
      <c r="D145" s="27" t="n"/>
      <c r="E145" s="27" t="n"/>
      <c r="F145" s="4" t="n"/>
      <c r="G145" s="4" t="n"/>
      <c r="H145" s="4" t="n"/>
      <c r="I145">
        <f>IF($A145="","",IF($H145="Not Applicable","",IF(AND($H145="Requested",$D145&lt;&gt;"",TODAY()-$D145&gt;14),"⚠ requested &gt;14 days ago",IF(AND($C145="Yes",$H145&lt;&gt;"Received"),"⚠ outstanding item",""))))</f>
        <v/>
      </c>
    </row>
    <row r="146">
      <c r="A146" s="4" t="n"/>
      <c r="B146" s="4" t="n"/>
      <c r="C146" s="4" t="n"/>
      <c r="D146" s="27" t="n"/>
      <c r="E146" s="27" t="n"/>
      <c r="F146" s="4" t="n"/>
      <c r="G146" s="4" t="n"/>
      <c r="H146" s="4" t="n"/>
      <c r="I146">
        <f>IF($A146="","",IF($H146="Not Applicable","",IF(AND($H146="Requested",$D146&lt;&gt;"",TODAY()-$D146&gt;14),"⚠ requested &gt;14 days ago",IF(AND($C146="Yes",$H146&lt;&gt;"Received"),"⚠ outstanding item",""))))</f>
        <v/>
      </c>
    </row>
    <row r="147">
      <c r="A147" s="4" t="n"/>
      <c r="B147" s="4" t="n"/>
      <c r="C147" s="4" t="n"/>
      <c r="D147" s="27" t="n"/>
      <c r="E147" s="27" t="n"/>
      <c r="F147" s="4" t="n"/>
      <c r="G147" s="4" t="n"/>
      <c r="H147" s="4" t="n"/>
      <c r="I147">
        <f>IF($A147="","",IF($H147="Not Applicable","",IF(AND($H147="Requested",$D147&lt;&gt;"",TODAY()-$D147&gt;14),"⚠ requested &gt;14 days ago",IF(AND($C147="Yes",$H147&lt;&gt;"Received"),"⚠ outstanding item",""))))</f>
        <v/>
      </c>
    </row>
    <row r="148">
      <c r="A148" s="4" t="n"/>
      <c r="B148" s="4" t="n"/>
      <c r="C148" s="4" t="n"/>
      <c r="D148" s="27" t="n"/>
      <c r="E148" s="27" t="n"/>
      <c r="F148" s="4" t="n"/>
      <c r="G148" s="4" t="n"/>
      <c r="H148" s="4" t="n"/>
      <c r="I148">
        <f>IF($A148="","",IF($H148="Not Applicable","",IF(AND($H148="Requested",$D148&lt;&gt;"",TODAY()-$D148&gt;14),"⚠ requested &gt;14 days ago",IF(AND($C148="Yes",$H148&lt;&gt;"Received"),"⚠ outstanding item",""))))</f>
        <v/>
      </c>
    </row>
    <row r="149">
      <c r="A149" s="4" t="n"/>
      <c r="B149" s="4" t="n"/>
      <c r="C149" s="4" t="n"/>
      <c r="D149" s="27" t="n"/>
      <c r="E149" s="27" t="n"/>
      <c r="F149" s="4" t="n"/>
      <c r="G149" s="4" t="n"/>
      <c r="H149" s="4" t="n"/>
      <c r="I149">
        <f>IF($A149="","",IF($H149="Not Applicable","",IF(AND($H149="Requested",$D149&lt;&gt;"",TODAY()-$D149&gt;14),"⚠ requested &gt;14 days ago",IF(AND($C149="Yes",$H149&lt;&gt;"Received"),"⚠ outstanding item",""))))</f>
        <v/>
      </c>
    </row>
    <row r="150">
      <c r="A150" s="4" t="n"/>
      <c r="B150" s="4" t="n"/>
      <c r="C150" s="4" t="n"/>
      <c r="D150" s="27" t="n"/>
      <c r="E150" s="27" t="n"/>
      <c r="F150" s="4" t="n"/>
      <c r="G150" s="4" t="n"/>
      <c r="H150" s="4" t="n"/>
      <c r="I150">
        <f>IF($A150="","",IF($H150="Not Applicable","",IF(AND($H150="Requested",$D150&lt;&gt;"",TODAY()-$D150&gt;14),"⚠ requested &gt;14 days ago",IF(AND($C150="Yes",$H150&lt;&gt;"Received"),"⚠ outstanding item",""))))</f>
        <v/>
      </c>
    </row>
    <row r="151">
      <c r="A151" s="4" t="n"/>
      <c r="B151" s="4" t="n"/>
      <c r="C151" s="4" t="n"/>
      <c r="D151" s="27" t="n"/>
      <c r="E151" s="27" t="n"/>
      <c r="F151" s="4" t="n"/>
      <c r="G151" s="4" t="n"/>
      <c r="H151" s="4" t="n"/>
      <c r="I151">
        <f>IF($A151="","",IF($H151="Not Applicable","",IF(AND($H151="Requested",$D151&lt;&gt;"",TODAY()-$D151&gt;14),"⚠ requested &gt;14 days ago",IF(AND($C151="Yes",$H151&lt;&gt;"Received"),"⚠ outstanding item",""))))</f>
        <v/>
      </c>
    </row>
    <row r="152">
      <c r="A152" s="4" t="n"/>
      <c r="B152" s="4" t="n"/>
      <c r="C152" s="4" t="n"/>
      <c r="D152" s="27" t="n"/>
      <c r="E152" s="27" t="n"/>
      <c r="F152" s="4" t="n"/>
      <c r="G152" s="4" t="n"/>
      <c r="H152" s="4" t="n"/>
      <c r="I152">
        <f>IF($A152="","",IF($H152="Not Applicable","",IF(AND($H152="Requested",$D152&lt;&gt;"",TODAY()-$D152&gt;14),"⚠ requested &gt;14 days ago",IF(AND($C152="Yes",$H152&lt;&gt;"Received"),"⚠ outstanding item",""))))</f>
        <v/>
      </c>
    </row>
    <row r="153">
      <c r="A153" s="4" t="n"/>
      <c r="B153" s="4" t="n"/>
      <c r="C153" s="4" t="n"/>
      <c r="D153" s="27" t="n"/>
      <c r="E153" s="27" t="n"/>
      <c r="F153" s="4" t="n"/>
      <c r="G153" s="4" t="n"/>
      <c r="H153" s="4" t="n"/>
      <c r="I153">
        <f>IF($A153="","",IF($H153="Not Applicable","",IF(AND($H153="Requested",$D153&lt;&gt;"",TODAY()-$D153&gt;14),"⚠ requested &gt;14 days ago",IF(AND($C153="Yes",$H153&lt;&gt;"Received"),"⚠ outstanding item",""))))</f>
        <v/>
      </c>
    </row>
  </sheetData>
  <sheetProtection selectLockedCells="0" selectUnlockedCells="0" sheet="1" objects="0" insertRows="1" insertHyperlinks="1" autoFilter="0" scenarios="0" formatColumns="0" deleteColumns="1" insertColumns="1" pivotTables="1" deleteRows="1" formatCells="1" formatRows="0" sort="0"/>
  <autoFilter ref="A3:I3"/>
  <conditionalFormatting sqref="I4:I153">
    <cfRule type="expression" priority="1" dxfId="1">
      <formula>LEFT($I4,1)="⚠"</formula>
    </cfRule>
  </conditionalFormatting>
  <dataValidations count="3">
    <dataValidation sqref="B4:B153" showDropDown="0" showInputMessage="0" showErrorMessage="0" allowBlank="1" type="list">
      <formula1>"Legal,Financial,Property,Tax,Other"</formula1>
    </dataValidation>
    <dataValidation sqref="C4:C153" showDropDown="0" showInputMessage="0" showErrorMessage="0" allowBlank="1" type="list">
      <formula1>"Yes,No,N/A"</formula1>
    </dataValidation>
    <dataValidation sqref="H4:H153" showDropDown="0" showInputMessage="0" showErrorMessage="0" allowBlank="1" type="list">
      <formula1>"Received,Requested,Not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3.8"/>
  <cols>
    <col width="26" customWidth="1" style="21" min="1" max="1"/>
    <col width="16" customWidth="1" style="21" min="2" max="2"/>
    <col width="24" customWidth="1" style="21" min="3" max="3"/>
    <col width="26" customWidth="1" style="21" min="4" max="4"/>
    <col width="13" customWidth="1" style="21" min="5" max="6"/>
    <col width="10" customWidth="1" style="21" min="7" max="7"/>
    <col width="24" customWidth="1" style="21" min="8" max="8"/>
    <col width="11" customWidth="1" style="21" min="9" max="9"/>
  </cols>
  <sheetData>
    <row r="1" ht="17.4" customHeight="1" s="21">
      <c r="A1" s="16" t="inlineStr">
        <is>
          <t>CONTACTS &amp; COMMUNICATION</t>
        </is>
      </c>
    </row>
    <row r="3" ht="15.6" customHeight="1" s="21">
      <c r="A3" s="1" t="inlineStr">
        <is>
          <t>Person/Entity</t>
        </is>
      </c>
      <c r="B3" s="1" t="inlineStr">
        <is>
          <t>Role</t>
        </is>
      </c>
      <c r="C3" s="1" t="inlineStr">
        <is>
          <t>Organization</t>
        </is>
      </c>
      <c r="D3" s="1" t="inlineStr">
        <is>
          <t>Email/Phone</t>
        </is>
      </c>
      <c r="E3" s="1" t="inlineStr">
        <is>
          <t>Last Contact</t>
        </is>
      </c>
      <c r="F3" s="1" t="inlineStr">
        <is>
          <t>Next Follow-up</t>
        </is>
      </c>
      <c r="G3" s="1" t="inlineStr">
        <is>
          <t>Related ID</t>
        </is>
      </c>
      <c r="H3" s="1" t="inlineStr">
        <is>
          <t>Issue/Topic</t>
        </is>
      </c>
      <c r="I3" s="1" t="inlineStr">
        <is>
          <t>Status</t>
        </is>
      </c>
      <c r="J3" s="1" t="inlineStr">
        <is>
          <t>Warning (auto)</t>
        </is>
      </c>
    </row>
    <row r="4">
      <c r="A4" s="4" t="inlineStr">
        <is>
          <t>Doyle Estate Law Group</t>
        </is>
      </c>
      <c r="B4" s="4" t="inlineStr">
        <is>
          <t>Estate Attorney</t>
        </is>
      </c>
      <c r="C4" s="4" t="inlineStr">
        <is>
          <t>Doyle Estate Law Group</t>
        </is>
      </c>
      <c r="D4" s="4" t="inlineStr">
        <is>
          <t>contact@example-law.com</t>
        </is>
      </c>
      <c r="E4" s="27" t="n">
        <v>46269</v>
      </c>
      <c r="F4" s="27" t="n">
        <v>46297</v>
      </c>
      <c r="G4" s="4" t="n"/>
      <c r="H4" s="4" t="inlineStr">
        <is>
          <t>Probate filing status</t>
        </is>
      </c>
      <c r="I4" s="4" t="inlineStr">
        <is>
          <t>Active</t>
        </is>
      </c>
      <c r="J4">
        <f>IF($A4="","",IF(AND($F4&lt;&gt;"",$F4&lt;TODAY(),$I4&lt;&gt;"Resolved"),"⚠ follow-up due",""))</f>
        <v/>
      </c>
    </row>
    <row r="5">
      <c r="A5" s="4" t="inlineStr">
        <is>
          <t>Riverside Appraisals</t>
        </is>
      </c>
      <c r="B5" s="4" t="inlineStr">
        <is>
          <t>Appraiser</t>
        </is>
      </c>
      <c r="C5" s="4" t="inlineStr">
        <is>
          <t>Riverside Appraisals</t>
        </is>
      </c>
      <c r="D5" s="4" t="inlineStr">
        <is>
          <t>info@example-appraisals.com</t>
        </is>
      </c>
      <c r="E5" s="27" t="n">
        <v>46277</v>
      </c>
      <c r="F5" s="27" t="n">
        <v>46290</v>
      </c>
      <c r="G5" s="4" t="inlineStr">
        <is>
          <t>A2</t>
        </is>
      </c>
      <c r="H5" s="4" t="inlineStr">
        <is>
          <t>Home appraisal scheduling</t>
        </is>
      </c>
      <c r="I5" s="4" t="inlineStr">
        <is>
          <t>Active</t>
        </is>
      </c>
      <c r="J5">
        <f>IF($A5="","",IF(AND($F5&lt;&gt;"",$F5&lt;TODAY(),$I5&lt;&gt;"Resolved"),"⚠ follow-up due",""))</f>
        <v/>
      </c>
    </row>
    <row r="6">
      <c r="A6" s="4" t="inlineStr">
        <is>
          <t>Meridian Card Services</t>
        </is>
      </c>
      <c r="B6" s="4" t="inlineStr">
        <is>
          <t>Creditor</t>
        </is>
      </c>
      <c r="C6" s="4" t="inlineStr">
        <is>
          <t>Meridian Card Services</t>
        </is>
      </c>
      <c r="D6" s="4" t="inlineStr">
        <is>
          <t>claims@example-meridian.com</t>
        </is>
      </c>
      <c r="E6" s="27" t="n">
        <v>46272</v>
      </c>
      <c r="F6" s="27" t="n">
        <v>46292</v>
      </c>
      <c r="G6" s="4" t="inlineStr">
        <is>
          <t>L2</t>
        </is>
      </c>
      <c r="H6" s="4" t="inlineStr">
        <is>
          <t>Disputing claimed balance</t>
        </is>
      </c>
      <c r="I6" s="4" t="inlineStr">
        <is>
          <t>Active</t>
        </is>
      </c>
      <c r="J6">
        <f>IF($A6="","",IF(AND($F6&lt;&gt;"",$F6&lt;TODAY(),$I6&lt;&gt;"Resolved"),"⚠ follow-up due",""))</f>
        <v/>
      </c>
    </row>
    <row r="7">
      <c r="A7" s="4" t="inlineStr">
        <is>
          <t>First National Bank -- Estate Officer</t>
        </is>
      </c>
      <c r="B7" s="4" t="inlineStr">
        <is>
          <t>Bank Contact</t>
        </is>
      </c>
      <c r="C7" s="4" t="inlineStr">
        <is>
          <t>First National Bank</t>
        </is>
      </c>
      <c r="D7" s="4" t="inlineStr">
        <is>
          <t>estate@example-fnb.com</t>
        </is>
      </c>
      <c r="E7" s="27" t="n">
        <v>46217</v>
      </c>
      <c r="F7" s="4" t="n"/>
      <c r="G7" s="4" t="inlineStr">
        <is>
          <t>A1</t>
        </is>
      </c>
      <c r="H7" s="4" t="inlineStr">
        <is>
          <t>Estate account setup</t>
        </is>
      </c>
      <c r="I7" s="4" t="inlineStr">
        <is>
          <t>Resolved</t>
        </is>
      </c>
      <c r="J7">
        <f>IF($A7="","",IF(AND($F7&lt;&gt;"",$F7&lt;TODAY(),$I7&lt;&gt;"Resolved"),"⚠ follow-up due",""))</f>
        <v/>
      </c>
    </row>
    <row r="8">
      <c r="A8" s="4" t="n"/>
      <c r="B8" s="4" t="n"/>
      <c r="C8" s="4" t="n"/>
      <c r="D8" s="4" t="n"/>
      <c r="E8" s="4" t="n"/>
      <c r="F8" s="4" t="n"/>
      <c r="G8" s="4" t="n"/>
      <c r="H8" s="4" t="n"/>
      <c r="I8" s="4" t="n"/>
      <c r="J8">
        <f>IF($A8="","",IF(AND($F8&lt;&gt;"",$F8&lt;TODAY(),$I8&lt;&gt;"Resolved"),"⚠ follow-up due",""))</f>
        <v/>
      </c>
    </row>
    <row r="9">
      <c r="A9" s="4" t="n"/>
      <c r="B9" s="4" t="n"/>
      <c r="C9" s="4" t="n"/>
      <c r="D9" s="4" t="n"/>
      <c r="E9" s="27" t="n"/>
      <c r="F9" s="27" t="n"/>
      <c r="G9" s="4" t="n"/>
      <c r="H9" s="4" t="n"/>
      <c r="I9" s="4" t="n"/>
      <c r="J9">
        <f>IF($A9="","",IF(AND($F9&lt;&gt;"",$F9&lt;TODAY(),$I9&lt;&gt;"Resolved"),"⚠ follow-up due",""))</f>
        <v/>
      </c>
    </row>
    <row r="10">
      <c r="A10" s="4" t="n"/>
      <c r="B10" s="4" t="n"/>
      <c r="C10" s="4" t="n"/>
      <c r="D10" s="4" t="n"/>
      <c r="E10" s="27" t="n"/>
      <c r="F10" s="27" t="n"/>
      <c r="G10" s="4" t="n"/>
      <c r="H10" s="4" t="n"/>
      <c r="I10" s="4" t="n"/>
      <c r="J10">
        <f>IF($A10="","",IF(AND($F10&lt;&gt;"",$F10&lt;TODAY(),$I10&lt;&gt;"Resolved"),"⚠ follow-up due",""))</f>
        <v/>
      </c>
    </row>
    <row r="11">
      <c r="A11" s="4" t="n"/>
      <c r="B11" s="4" t="n"/>
      <c r="C11" s="4" t="n"/>
      <c r="D11" s="4" t="n"/>
      <c r="E11" s="27" t="n"/>
      <c r="F11" s="27" t="n"/>
      <c r="G11" s="4" t="n"/>
      <c r="H11" s="4" t="n"/>
      <c r="I11" s="4" t="n"/>
      <c r="J11">
        <f>IF($A11="","",IF(AND($F11&lt;&gt;"",$F11&lt;TODAY(),$I11&lt;&gt;"Resolved"),"⚠ follow-up due",""))</f>
        <v/>
      </c>
    </row>
    <row r="12">
      <c r="A12" s="4" t="n"/>
      <c r="B12" s="4" t="n"/>
      <c r="C12" s="4" t="n"/>
      <c r="D12" s="4" t="n"/>
      <c r="E12" s="27" t="n"/>
      <c r="F12" s="27" t="n"/>
      <c r="G12" s="4" t="n"/>
      <c r="H12" s="4" t="n"/>
      <c r="I12" s="4" t="n"/>
      <c r="J12">
        <f>IF($A12="","",IF(AND($F12&lt;&gt;"",$F12&lt;TODAY(),$I12&lt;&gt;"Resolved"),"⚠ follow-up due",""))</f>
        <v/>
      </c>
    </row>
    <row r="13">
      <c r="A13" s="4" t="n"/>
      <c r="B13" s="4" t="n"/>
      <c r="C13" s="4" t="n"/>
      <c r="D13" s="4" t="n"/>
      <c r="E13" s="27" t="n"/>
      <c r="F13" s="27" t="n"/>
      <c r="G13" s="4" t="n"/>
      <c r="H13" s="4" t="n"/>
      <c r="I13" s="4" t="n"/>
      <c r="J13">
        <f>IF($A13="","",IF(AND($F13&lt;&gt;"",$F13&lt;TODAY(),$I13&lt;&gt;"Resolved"),"⚠ follow-up due",""))</f>
        <v/>
      </c>
    </row>
    <row r="14">
      <c r="A14" s="4" t="n"/>
      <c r="B14" s="4" t="n"/>
      <c r="C14" s="4" t="n"/>
      <c r="D14" s="4" t="n"/>
      <c r="E14" s="27" t="n"/>
      <c r="F14" s="27" t="n"/>
      <c r="G14" s="4" t="n"/>
      <c r="H14" s="4" t="n"/>
      <c r="I14" s="4" t="n"/>
      <c r="J14">
        <f>IF($A14="","",IF(AND($F14&lt;&gt;"",$F14&lt;TODAY(),$I14&lt;&gt;"Resolved"),"⚠ follow-up due",""))</f>
        <v/>
      </c>
    </row>
    <row r="15">
      <c r="A15" s="4" t="n"/>
      <c r="B15" s="4" t="n"/>
      <c r="C15" s="4" t="n"/>
      <c r="D15" s="4" t="n"/>
      <c r="E15" s="27" t="n"/>
      <c r="F15" s="27" t="n"/>
      <c r="G15" s="4" t="n"/>
      <c r="H15" s="4" t="n"/>
      <c r="I15" s="4" t="n"/>
      <c r="J15">
        <f>IF($A15="","",IF(AND($F15&lt;&gt;"",$F15&lt;TODAY(),$I15&lt;&gt;"Resolved"),"⚠ follow-up due",""))</f>
        <v/>
      </c>
    </row>
    <row r="16">
      <c r="A16" s="4" t="n"/>
      <c r="B16" s="4" t="n"/>
      <c r="C16" s="4" t="n"/>
      <c r="D16" s="4" t="n"/>
      <c r="E16" s="27" t="n"/>
      <c r="F16" s="27" t="n"/>
      <c r="G16" s="4" t="n"/>
      <c r="H16" s="4" t="n"/>
      <c r="I16" s="4" t="n"/>
      <c r="J16">
        <f>IF($A16="","",IF(AND($F16&lt;&gt;"",$F16&lt;TODAY(),$I16&lt;&gt;"Resolved"),"⚠ follow-up due",""))</f>
        <v/>
      </c>
    </row>
    <row r="17">
      <c r="A17" s="4" t="n"/>
      <c r="B17" s="4" t="n"/>
      <c r="C17" s="4" t="n"/>
      <c r="D17" s="4" t="n"/>
      <c r="E17" s="27" t="n"/>
      <c r="F17" s="27" t="n"/>
      <c r="G17" s="4" t="n"/>
      <c r="H17" s="4" t="n"/>
      <c r="I17" s="4" t="n"/>
      <c r="J17">
        <f>IF($A17="","",IF(AND($F17&lt;&gt;"",$F17&lt;TODAY(),$I17&lt;&gt;"Resolved"),"⚠ follow-up due",""))</f>
        <v/>
      </c>
    </row>
    <row r="18">
      <c r="A18" s="4" t="n"/>
      <c r="B18" s="4" t="n"/>
      <c r="C18" s="4" t="n"/>
      <c r="D18" s="4" t="n"/>
      <c r="E18" s="27" t="n"/>
      <c r="F18" s="27" t="n"/>
      <c r="G18" s="4" t="n"/>
      <c r="H18" s="4" t="n"/>
      <c r="I18" s="4" t="n"/>
      <c r="J18">
        <f>IF($A18="","",IF(AND($F18&lt;&gt;"",$F18&lt;TODAY(),$I18&lt;&gt;"Resolved"),"⚠ follow-up due",""))</f>
        <v/>
      </c>
    </row>
    <row r="19">
      <c r="A19" s="4" t="n"/>
      <c r="B19" s="4" t="n"/>
      <c r="C19" s="4" t="n"/>
      <c r="D19" s="4" t="n"/>
      <c r="E19" s="27" t="n"/>
      <c r="F19" s="27" t="n"/>
      <c r="G19" s="4" t="n"/>
      <c r="H19" s="4" t="n"/>
      <c r="I19" s="4" t="n"/>
      <c r="J19">
        <f>IF($A19="","",IF(AND($F19&lt;&gt;"",$F19&lt;TODAY(),$I19&lt;&gt;"Resolved"),"⚠ follow-up due",""))</f>
        <v/>
      </c>
    </row>
    <row r="20">
      <c r="A20" s="4" t="n"/>
      <c r="B20" s="4" t="n"/>
      <c r="C20" s="4" t="n"/>
      <c r="D20" s="4" t="n"/>
      <c r="E20" s="27" t="n"/>
      <c r="F20" s="27" t="n"/>
      <c r="G20" s="4" t="n"/>
      <c r="H20" s="4" t="n"/>
      <c r="I20" s="4" t="n"/>
      <c r="J20">
        <f>IF($A20="","",IF(AND($F20&lt;&gt;"",$F20&lt;TODAY(),$I20&lt;&gt;"Resolved"),"⚠ follow-up due",""))</f>
        <v/>
      </c>
    </row>
    <row r="21">
      <c r="A21" s="4" t="n"/>
      <c r="B21" s="4" t="n"/>
      <c r="C21" s="4" t="n"/>
      <c r="D21" s="4" t="n"/>
      <c r="E21" s="27" t="n"/>
      <c r="F21" s="27" t="n"/>
      <c r="G21" s="4" t="n"/>
      <c r="H21" s="4" t="n"/>
      <c r="I21" s="4" t="n"/>
      <c r="J21">
        <f>IF($A21="","",IF(AND($F21&lt;&gt;"",$F21&lt;TODAY(),$I21&lt;&gt;"Resolved"),"⚠ follow-up due",""))</f>
        <v/>
      </c>
    </row>
    <row r="22">
      <c r="A22" s="4" t="n"/>
      <c r="B22" s="4" t="n"/>
      <c r="C22" s="4" t="n"/>
      <c r="D22" s="4" t="n"/>
      <c r="E22" s="27" t="n"/>
      <c r="F22" s="27" t="n"/>
      <c r="G22" s="4" t="n"/>
      <c r="H22" s="4" t="n"/>
      <c r="I22" s="4" t="n"/>
      <c r="J22">
        <f>IF($A22="","",IF(AND($F22&lt;&gt;"",$F22&lt;TODAY(),$I22&lt;&gt;"Resolved"),"⚠ follow-up due",""))</f>
        <v/>
      </c>
    </row>
    <row r="23">
      <c r="A23" s="4" t="n"/>
      <c r="B23" s="4" t="n"/>
      <c r="C23" s="4" t="n"/>
      <c r="D23" s="4" t="n"/>
      <c r="E23" s="27" t="n"/>
      <c r="F23" s="27" t="n"/>
      <c r="G23" s="4" t="n"/>
      <c r="H23" s="4" t="n"/>
      <c r="I23" s="4" t="n"/>
      <c r="J23">
        <f>IF($A23="","",IF(AND($F23&lt;&gt;"",$F23&lt;TODAY(),$I23&lt;&gt;"Resolved"),"⚠ follow-up due",""))</f>
        <v/>
      </c>
    </row>
    <row r="24">
      <c r="A24" s="4" t="n"/>
      <c r="B24" s="4" t="n"/>
      <c r="C24" s="4" t="n"/>
      <c r="D24" s="4" t="n"/>
      <c r="E24" s="27" t="n"/>
      <c r="F24" s="27" t="n"/>
      <c r="G24" s="4" t="n"/>
      <c r="H24" s="4" t="n"/>
      <c r="I24" s="4" t="n"/>
      <c r="J24">
        <f>IF($A24="","",IF(AND($F24&lt;&gt;"",$F24&lt;TODAY(),$I24&lt;&gt;"Resolved"),"⚠ follow-up due",""))</f>
        <v/>
      </c>
    </row>
    <row r="25">
      <c r="A25" s="4" t="n"/>
      <c r="B25" s="4" t="n"/>
      <c r="C25" s="4" t="n"/>
      <c r="D25" s="4" t="n"/>
      <c r="E25" s="27" t="n"/>
      <c r="F25" s="27" t="n"/>
      <c r="G25" s="4" t="n"/>
      <c r="H25" s="4" t="n"/>
      <c r="I25" s="4" t="n"/>
      <c r="J25">
        <f>IF($A25="","",IF(AND($F25&lt;&gt;"",$F25&lt;TODAY(),$I25&lt;&gt;"Resolved"),"⚠ follow-up due",""))</f>
        <v/>
      </c>
    </row>
    <row r="26">
      <c r="A26" s="4" t="n"/>
      <c r="B26" s="4" t="n"/>
      <c r="C26" s="4" t="n"/>
      <c r="D26" s="4" t="n"/>
      <c r="E26" s="27" t="n"/>
      <c r="F26" s="27" t="n"/>
      <c r="G26" s="4" t="n"/>
      <c r="H26" s="4" t="n"/>
      <c r="I26" s="4" t="n"/>
      <c r="J26">
        <f>IF($A26="","",IF(AND($F26&lt;&gt;"",$F26&lt;TODAY(),$I26&lt;&gt;"Resolved"),"⚠ follow-up due",""))</f>
        <v/>
      </c>
    </row>
    <row r="27">
      <c r="A27" s="4" t="n"/>
      <c r="B27" s="4" t="n"/>
      <c r="C27" s="4" t="n"/>
      <c r="D27" s="4" t="n"/>
      <c r="E27" s="27" t="n"/>
      <c r="F27" s="27" t="n"/>
      <c r="G27" s="4" t="n"/>
      <c r="H27" s="4" t="n"/>
      <c r="I27" s="4" t="n"/>
      <c r="J27">
        <f>IF($A27="","",IF(AND($F27&lt;&gt;"",$F27&lt;TODAY(),$I27&lt;&gt;"Resolved"),"⚠ follow-up due",""))</f>
        <v/>
      </c>
    </row>
    <row r="28">
      <c r="A28" s="4" t="n"/>
      <c r="B28" s="4" t="n"/>
      <c r="C28" s="4" t="n"/>
      <c r="D28" s="4" t="n"/>
      <c r="E28" s="27" t="n"/>
      <c r="F28" s="27" t="n"/>
      <c r="G28" s="4" t="n"/>
      <c r="H28" s="4" t="n"/>
      <c r="I28" s="4" t="n"/>
      <c r="J28">
        <f>IF($A28="","",IF(AND($F28&lt;&gt;"",$F28&lt;TODAY(),$I28&lt;&gt;"Resolved"),"⚠ follow-up due",""))</f>
        <v/>
      </c>
    </row>
    <row r="29">
      <c r="A29" s="4" t="n"/>
      <c r="B29" s="4" t="n"/>
      <c r="C29" s="4" t="n"/>
      <c r="D29" s="4" t="n"/>
      <c r="E29" s="27" t="n"/>
      <c r="F29" s="27" t="n"/>
      <c r="G29" s="4" t="n"/>
      <c r="H29" s="4" t="n"/>
      <c r="I29" s="4" t="n"/>
      <c r="J29">
        <f>IF($A29="","",IF(AND($F29&lt;&gt;"",$F29&lt;TODAY(),$I29&lt;&gt;"Resolved"),"⚠ follow-up due",""))</f>
        <v/>
      </c>
    </row>
    <row r="30">
      <c r="A30" s="4" t="n"/>
      <c r="B30" s="4" t="n"/>
      <c r="C30" s="4" t="n"/>
      <c r="D30" s="4" t="n"/>
      <c r="E30" s="27" t="n"/>
      <c r="F30" s="27" t="n"/>
      <c r="G30" s="4" t="n"/>
      <c r="H30" s="4" t="n"/>
      <c r="I30" s="4" t="n"/>
      <c r="J30">
        <f>IF($A30="","",IF(AND($F30&lt;&gt;"",$F30&lt;TODAY(),$I30&lt;&gt;"Resolved"),"⚠ follow-up due",""))</f>
        <v/>
      </c>
    </row>
    <row r="31">
      <c r="A31" s="4" t="n"/>
      <c r="B31" s="4" t="n"/>
      <c r="C31" s="4" t="n"/>
      <c r="D31" s="4" t="n"/>
      <c r="E31" s="27" t="n"/>
      <c r="F31" s="27" t="n"/>
      <c r="G31" s="4" t="n"/>
      <c r="H31" s="4" t="n"/>
      <c r="I31" s="4" t="n"/>
      <c r="J31">
        <f>IF($A31="","",IF(AND($F31&lt;&gt;"",$F31&lt;TODAY(),$I31&lt;&gt;"Resolved"),"⚠ follow-up due",""))</f>
        <v/>
      </c>
    </row>
    <row r="32">
      <c r="A32" s="4" t="n"/>
      <c r="B32" s="4" t="n"/>
      <c r="C32" s="4" t="n"/>
      <c r="D32" s="4" t="n"/>
      <c r="E32" s="27" t="n"/>
      <c r="F32" s="27" t="n"/>
      <c r="G32" s="4" t="n"/>
      <c r="H32" s="4" t="n"/>
      <c r="I32" s="4" t="n"/>
      <c r="J32">
        <f>IF($A32="","",IF(AND($F32&lt;&gt;"",$F32&lt;TODAY(),$I32&lt;&gt;"Resolved"),"⚠ follow-up due",""))</f>
        <v/>
      </c>
    </row>
    <row r="33">
      <c r="A33" s="4" t="n"/>
      <c r="B33" s="4" t="n"/>
      <c r="C33" s="4" t="n"/>
      <c r="D33" s="4" t="n"/>
      <c r="E33" s="27" t="n"/>
      <c r="F33" s="27" t="n"/>
      <c r="G33" s="4" t="n"/>
      <c r="H33" s="4" t="n"/>
      <c r="I33" s="4" t="n"/>
      <c r="J33">
        <f>IF($A33="","",IF(AND($F33&lt;&gt;"",$F33&lt;TODAY(),$I33&lt;&gt;"Resolved"),"⚠ follow-up due",""))</f>
        <v/>
      </c>
    </row>
    <row r="34">
      <c r="A34" s="4" t="n"/>
      <c r="B34" s="4" t="n"/>
      <c r="C34" s="4" t="n"/>
      <c r="D34" s="4" t="n"/>
      <c r="E34" s="27" t="n"/>
      <c r="F34" s="27" t="n"/>
      <c r="G34" s="4" t="n"/>
      <c r="H34" s="4" t="n"/>
      <c r="I34" s="4" t="n"/>
      <c r="J34">
        <f>IF($A34="","",IF(AND($F34&lt;&gt;"",$F34&lt;TODAY(),$I34&lt;&gt;"Resolved"),"⚠ follow-up due",""))</f>
        <v/>
      </c>
    </row>
    <row r="35">
      <c r="A35" s="4" t="n"/>
      <c r="B35" s="4" t="n"/>
      <c r="C35" s="4" t="n"/>
      <c r="D35" s="4" t="n"/>
      <c r="E35" s="27" t="n"/>
      <c r="F35" s="27" t="n"/>
      <c r="G35" s="4" t="n"/>
      <c r="H35" s="4" t="n"/>
      <c r="I35" s="4" t="n"/>
      <c r="J35">
        <f>IF($A35="","",IF(AND($F35&lt;&gt;"",$F35&lt;TODAY(),$I35&lt;&gt;"Resolved"),"⚠ follow-up due",""))</f>
        <v/>
      </c>
    </row>
    <row r="36">
      <c r="A36" s="4" t="n"/>
      <c r="B36" s="4" t="n"/>
      <c r="C36" s="4" t="n"/>
      <c r="D36" s="4" t="n"/>
      <c r="E36" s="27" t="n"/>
      <c r="F36" s="27" t="n"/>
      <c r="G36" s="4" t="n"/>
      <c r="H36" s="4" t="n"/>
      <c r="I36" s="4" t="n"/>
      <c r="J36">
        <f>IF($A36="","",IF(AND($F36&lt;&gt;"",$F36&lt;TODAY(),$I36&lt;&gt;"Resolved"),"⚠ follow-up due",""))</f>
        <v/>
      </c>
    </row>
    <row r="37">
      <c r="A37" s="4" t="n"/>
      <c r="B37" s="4" t="n"/>
      <c r="C37" s="4" t="n"/>
      <c r="D37" s="4" t="n"/>
      <c r="E37" s="27" t="n"/>
      <c r="F37" s="27" t="n"/>
      <c r="G37" s="4" t="n"/>
      <c r="H37" s="4" t="n"/>
      <c r="I37" s="4" t="n"/>
      <c r="J37">
        <f>IF($A37="","",IF(AND($F37&lt;&gt;"",$F37&lt;TODAY(),$I37&lt;&gt;"Resolved"),"⚠ follow-up due",""))</f>
        <v/>
      </c>
    </row>
    <row r="38">
      <c r="A38" s="4" t="n"/>
      <c r="B38" s="4" t="n"/>
      <c r="C38" s="4" t="n"/>
      <c r="D38" s="4" t="n"/>
      <c r="E38" s="27" t="n"/>
      <c r="F38" s="27" t="n"/>
      <c r="G38" s="4" t="n"/>
      <c r="H38" s="4" t="n"/>
      <c r="I38" s="4" t="n"/>
      <c r="J38">
        <f>IF($A38="","",IF(AND($F38&lt;&gt;"",$F38&lt;TODAY(),$I38&lt;&gt;"Resolved"),"⚠ follow-up due",""))</f>
        <v/>
      </c>
    </row>
    <row r="39">
      <c r="A39" s="4" t="n"/>
      <c r="B39" s="4" t="n"/>
      <c r="C39" s="4" t="n"/>
      <c r="D39" s="4" t="n"/>
      <c r="E39" s="27" t="n"/>
      <c r="F39" s="27" t="n"/>
      <c r="G39" s="4" t="n"/>
      <c r="H39" s="4" t="n"/>
      <c r="I39" s="4" t="n"/>
      <c r="J39">
        <f>IF($A39="","",IF(AND($F39&lt;&gt;"",$F39&lt;TODAY(),$I39&lt;&gt;"Resolved"),"⚠ follow-up due",""))</f>
        <v/>
      </c>
    </row>
    <row r="40">
      <c r="A40" s="4" t="n"/>
      <c r="B40" s="4" t="n"/>
      <c r="C40" s="4" t="n"/>
      <c r="D40" s="4" t="n"/>
      <c r="E40" s="27" t="n"/>
      <c r="F40" s="27" t="n"/>
      <c r="G40" s="4" t="n"/>
      <c r="H40" s="4" t="n"/>
      <c r="I40" s="4" t="n"/>
      <c r="J40">
        <f>IF($A40="","",IF(AND($F40&lt;&gt;"",$F40&lt;TODAY(),$I40&lt;&gt;"Resolved"),"⚠ follow-up due",""))</f>
        <v/>
      </c>
    </row>
    <row r="41">
      <c r="A41" s="4" t="n"/>
      <c r="B41" s="4" t="n"/>
      <c r="C41" s="4" t="n"/>
      <c r="D41" s="4" t="n"/>
      <c r="E41" s="27" t="n"/>
      <c r="F41" s="27" t="n"/>
      <c r="G41" s="4" t="n"/>
      <c r="H41" s="4" t="n"/>
      <c r="I41" s="4" t="n"/>
      <c r="J41">
        <f>IF($A41="","",IF(AND($F41&lt;&gt;"",$F41&lt;TODAY(),$I41&lt;&gt;"Resolved"),"⚠ follow-up due",""))</f>
        <v/>
      </c>
    </row>
    <row r="42">
      <c r="A42" s="4" t="n"/>
      <c r="B42" s="4" t="n"/>
      <c r="C42" s="4" t="n"/>
      <c r="D42" s="4" t="n"/>
      <c r="E42" s="27" t="n"/>
      <c r="F42" s="27" t="n"/>
      <c r="G42" s="4" t="n"/>
      <c r="H42" s="4" t="n"/>
      <c r="I42" s="4" t="n"/>
      <c r="J42">
        <f>IF($A42="","",IF(AND($F42&lt;&gt;"",$F42&lt;TODAY(),$I42&lt;&gt;"Resolved"),"⚠ follow-up due",""))</f>
        <v/>
      </c>
    </row>
    <row r="43">
      <c r="A43" s="4" t="n"/>
      <c r="B43" s="4" t="n"/>
      <c r="C43" s="4" t="n"/>
      <c r="D43" s="4" t="n"/>
      <c r="E43" s="27" t="n"/>
      <c r="F43" s="27" t="n"/>
      <c r="G43" s="4" t="n"/>
      <c r="H43" s="4" t="n"/>
      <c r="I43" s="4" t="n"/>
      <c r="J43">
        <f>IF($A43="","",IF(AND($F43&lt;&gt;"",$F43&lt;TODAY(),$I43&lt;&gt;"Resolved"),"⚠ follow-up due",""))</f>
        <v/>
      </c>
    </row>
    <row r="44">
      <c r="A44" s="4" t="n"/>
      <c r="B44" s="4" t="n"/>
      <c r="C44" s="4" t="n"/>
      <c r="D44" s="4" t="n"/>
      <c r="E44" s="27" t="n"/>
      <c r="F44" s="27" t="n"/>
      <c r="G44" s="4" t="n"/>
      <c r="H44" s="4" t="n"/>
      <c r="I44" s="4" t="n"/>
      <c r="J44">
        <f>IF($A44="","",IF(AND($F44&lt;&gt;"",$F44&lt;TODAY(),$I44&lt;&gt;"Resolved"),"⚠ follow-up due",""))</f>
        <v/>
      </c>
    </row>
    <row r="45">
      <c r="A45" s="4" t="n"/>
      <c r="B45" s="4" t="n"/>
      <c r="C45" s="4" t="n"/>
      <c r="D45" s="4" t="n"/>
      <c r="E45" s="27" t="n"/>
      <c r="F45" s="27" t="n"/>
      <c r="G45" s="4" t="n"/>
      <c r="H45" s="4" t="n"/>
      <c r="I45" s="4" t="n"/>
      <c r="J45">
        <f>IF($A45="","",IF(AND($F45&lt;&gt;"",$F45&lt;TODAY(),$I45&lt;&gt;"Resolved"),"⚠ follow-up due",""))</f>
        <v/>
      </c>
    </row>
    <row r="46">
      <c r="A46" s="4" t="n"/>
      <c r="B46" s="4" t="n"/>
      <c r="C46" s="4" t="n"/>
      <c r="D46" s="4" t="n"/>
      <c r="E46" s="27" t="n"/>
      <c r="F46" s="27" t="n"/>
      <c r="G46" s="4" t="n"/>
      <c r="H46" s="4" t="n"/>
      <c r="I46" s="4" t="n"/>
      <c r="J46">
        <f>IF($A46="","",IF(AND($F46&lt;&gt;"",$F46&lt;TODAY(),$I46&lt;&gt;"Resolved"),"⚠ follow-up due",""))</f>
        <v/>
      </c>
    </row>
    <row r="47">
      <c r="A47" s="4" t="n"/>
      <c r="B47" s="4" t="n"/>
      <c r="C47" s="4" t="n"/>
      <c r="D47" s="4" t="n"/>
      <c r="E47" s="27" t="n"/>
      <c r="F47" s="27" t="n"/>
      <c r="G47" s="4" t="n"/>
      <c r="H47" s="4" t="n"/>
      <c r="I47" s="4" t="n"/>
      <c r="J47">
        <f>IF($A47="","",IF(AND($F47&lt;&gt;"",$F47&lt;TODAY(),$I47&lt;&gt;"Resolved"),"⚠ follow-up due",""))</f>
        <v/>
      </c>
    </row>
    <row r="48">
      <c r="A48" s="4" t="n"/>
      <c r="B48" s="4" t="n"/>
      <c r="C48" s="4" t="n"/>
      <c r="D48" s="4" t="n"/>
      <c r="E48" s="27" t="n"/>
      <c r="F48" s="27" t="n"/>
      <c r="G48" s="4" t="n"/>
      <c r="H48" s="4" t="n"/>
      <c r="I48" s="4" t="n"/>
      <c r="J48">
        <f>IF($A48="","",IF(AND($F48&lt;&gt;"",$F48&lt;TODAY(),$I48&lt;&gt;"Resolved"),"⚠ follow-up due",""))</f>
        <v/>
      </c>
    </row>
    <row r="49">
      <c r="A49" s="4" t="n"/>
      <c r="B49" s="4" t="n"/>
      <c r="C49" s="4" t="n"/>
      <c r="D49" s="4" t="n"/>
      <c r="E49" s="27" t="n"/>
      <c r="F49" s="27" t="n"/>
      <c r="G49" s="4" t="n"/>
      <c r="H49" s="4" t="n"/>
      <c r="I49" s="4" t="n"/>
      <c r="J49">
        <f>IF($A49="","",IF(AND($F49&lt;&gt;"",$F49&lt;TODAY(),$I49&lt;&gt;"Resolved"),"⚠ follow-up due",""))</f>
        <v/>
      </c>
    </row>
    <row r="50">
      <c r="A50" s="4" t="n"/>
      <c r="B50" s="4" t="n"/>
      <c r="C50" s="4" t="n"/>
      <c r="D50" s="4" t="n"/>
      <c r="E50" s="27" t="n"/>
      <c r="F50" s="27" t="n"/>
      <c r="G50" s="4" t="n"/>
      <c r="H50" s="4" t="n"/>
      <c r="I50" s="4" t="n"/>
      <c r="J50">
        <f>IF($A50="","",IF(AND($F50&lt;&gt;"",$F50&lt;TODAY(),$I50&lt;&gt;"Resolved"),"⚠ follow-up due",""))</f>
        <v/>
      </c>
    </row>
    <row r="51">
      <c r="A51" s="4" t="n"/>
      <c r="B51" s="4" t="n"/>
      <c r="C51" s="4" t="n"/>
      <c r="D51" s="4" t="n"/>
      <c r="E51" s="27" t="n"/>
      <c r="F51" s="27" t="n"/>
      <c r="G51" s="4" t="n"/>
      <c r="H51" s="4" t="n"/>
      <c r="I51" s="4" t="n"/>
      <c r="J51">
        <f>IF($A51="","",IF(AND($F51&lt;&gt;"",$F51&lt;TODAY(),$I51&lt;&gt;"Resolved"),"⚠ follow-up due",""))</f>
        <v/>
      </c>
    </row>
    <row r="52">
      <c r="A52" s="4" t="n"/>
      <c r="B52" s="4" t="n"/>
      <c r="C52" s="4" t="n"/>
      <c r="D52" s="4" t="n"/>
      <c r="E52" s="27" t="n"/>
      <c r="F52" s="27" t="n"/>
      <c r="G52" s="4" t="n"/>
      <c r="H52" s="4" t="n"/>
      <c r="I52" s="4" t="n"/>
      <c r="J52">
        <f>IF($A52="","",IF(AND($F52&lt;&gt;"",$F52&lt;TODAY(),$I52&lt;&gt;"Resolved"),"⚠ follow-up due",""))</f>
        <v/>
      </c>
    </row>
    <row r="53">
      <c r="A53" s="4" t="n"/>
      <c r="B53" s="4" t="n"/>
      <c r="C53" s="4" t="n"/>
      <c r="D53" s="4" t="n"/>
      <c r="E53" s="27" t="n"/>
      <c r="F53" s="27" t="n"/>
      <c r="G53" s="4" t="n"/>
      <c r="H53" s="4" t="n"/>
      <c r="I53" s="4" t="n"/>
      <c r="J53">
        <f>IF($A53="","",IF(AND($F53&lt;&gt;"",$F53&lt;TODAY(),$I53&lt;&gt;"Resolved"),"⚠ follow-up due",""))</f>
        <v/>
      </c>
    </row>
    <row r="54">
      <c r="A54" s="4" t="n"/>
      <c r="B54" s="4" t="n"/>
      <c r="C54" s="4" t="n"/>
      <c r="D54" s="4" t="n"/>
      <c r="E54" s="27" t="n"/>
      <c r="F54" s="27" t="n"/>
      <c r="G54" s="4" t="n"/>
      <c r="H54" s="4" t="n"/>
      <c r="I54" s="4" t="n"/>
      <c r="J54">
        <f>IF($A54="","",IF(AND($F54&lt;&gt;"",$F54&lt;TODAY(),$I54&lt;&gt;"Resolved"),"⚠ follow-up due",""))</f>
        <v/>
      </c>
    </row>
    <row r="55">
      <c r="A55" s="4" t="n"/>
      <c r="B55" s="4" t="n"/>
      <c r="C55" s="4" t="n"/>
      <c r="D55" s="4" t="n"/>
      <c r="E55" s="27" t="n"/>
      <c r="F55" s="27" t="n"/>
      <c r="G55" s="4" t="n"/>
      <c r="H55" s="4" t="n"/>
      <c r="I55" s="4" t="n"/>
      <c r="J55">
        <f>IF($A55="","",IF(AND($F55&lt;&gt;"",$F55&lt;TODAY(),$I55&lt;&gt;"Resolved"),"⚠ follow-up due",""))</f>
        <v/>
      </c>
    </row>
    <row r="56">
      <c r="A56" s="4" t="n"/>
      <c r="B56" s="4" t="n"/>
      <c r="C56" s="4" t="n"/>
      <c r="D56" s="4" t="n"/>
      <c r="E56" s="27" t="n"/>
      <c r="F56" s="27" t="n"/>
      <c r="G56" s="4" t="n"/>
      <c r="H56" s="4" t="n"/>
      <c r="I56" s="4" t="n"/>
      <c r="J56">
        <f>IF($A56="","",IF(AND($F56&lt;&gt;"",$F56&lt;TODAY(),$I56&lt;&gt;"Resolved"),"⚠ follow-up due",""))</f>
        <v/>
      </c>
    </row>
    <row r="57">
      <c r="A57" s="4" t="n"/>
      <c r="B57" s="4" t="n"/>
      <c r="C57" s="4" t="n"/>
      <c r="D57" s="4" t="n"/>
      <c r="E57" s="27" t="n"/>
      <c r="F57" s="27" t="n"/>
      <c r="G57" s="4" t="n"/>
      <c r="H57" s="4" t="n"/>
      <c r="I57" s="4" t="n"/>
      <c r="J57">
        <f>IF($A57="","",IF(AND($F57&lt;&gt;"",$F57&lt;TODAY(),$I57&lt;&gt;"Resolved"),"⚠ follow-up due",""))</f>
        <v/>
      </c>
    </row>
    <row r="58">
      <c r="A58" s="4" t="n"/>
      <c r="B58" s="4" t="n"/>
      <c r="C58" s="4" t="n"/>
      <c r="D58" s="4" t="n"/>
      <c r="E58" s="27" t="n"/>
      <c r="F58" s="27" t="n"/>
      <c r="G58" s="4" t="n"/>
      <c r="H58" s="4" t="n"/>
      <c r="I58" s="4" t="n"/>
      <c r="J58">
        <f>IF($A58="","",IF(AND($F58&lt;&gt;"",$F58&lt;TODAY(),$I58&lt;&gt;"Resolved"),"⚠ follow-up due",""))</f>
        <v/>
      </c>
    </row>
    <row r="59">
      <c r="A59" s="4" t="n"/>
      <c r="B59" s="4" t="n"/>
      <c r="C59" s="4" t="n"/>
      <c r="D59" s="4" t="n"/>
      <c r="E59" s="27" t="n"/>
      <c r="F59" s="27" t="n"/>
      <c r="G59" s="4" t="n"/>
      <c r="H59" s="4" t="n"/>
      <c r="I59" s="4" t="n"/>
      <c r="J59">
        <f>IF($A59="","",IF(AND($F59&lt;&gt;"",$F59&lt;TODAY(),$I59&lt;&gt;"Resolved"),"⚠ follow-up due",""))</f>
        <v/>
      </c>
    </row>
    <row r="60">
      <c r="A60" s="4" t="n"/>
      <c r="B60" s="4" t="n"/>
      <c r="C60" s="4" t="n"/>
      <c r="D60" s="4" t="n"/>
      <c r="E60" s="27" t="n"/>
      <c r="F60" s="27" t="n"/>
      <c r="G60" s="4" t="n"/>
      <c r="H60" s="4" t="n"/>
      <c r="I60" s="4" t="n"/>
      <c r="J60">
        <f>IF($A60="","",IF(AND($F60&lt;&gt;"",$F60&lt;TODAY(),$I60&lt;&gt;"Resolved"),"⚠ follow-up due",""))</f>
        <v/>
      </c>
    </row>
    <row r="61">
      <c r="A61" s="4" t="n"/>
      <c r="B61" s="4" t="n"/>
      <c r="C61" s="4" t="n"/>
      <c r="D61" s="4" t="n"/>
      <c r="E61" s="27" t="n"/>
      <c r="F61" s="27" t="n"/>
      <c r="G61" s="4" t="n"/>
      <c r="H61" s="4" t="n"/>
      <c r="I61" s="4" t="n"/>
      <c r="J61">
        <f>IF($A61="","",IF(AND($F61&lt;&gt;"",$F61&lt;TODAY(),$I61&lt;&gt;"Resolved"),"⚠ follow-up due",""))</f>
        <v/>
      </c>
    </row>
    <row r="62">
      <c r="A62" s="4" t="n"/>
      <c r="B62" s="4" t="n"/>
      <c r="C62" s="4" t="n"/>
      <c r="D62" s="4" t="n"/>
      <c r="E62" s="27" t="n"/>
      <c r="F62" s="27" t="n"/>
      <c r="G62" s="4" t="n"/>
      <c r="H62" s="4" t="n"/>
      <c r="I62" s="4" t="n"/>
      <c r="J62">
        <f>IF($A62="","",IF(AND($F62&lt;&gt;"",$F62&lt;TODAY(),$I62&lt;&gt;"Resolved"),"⚠ follow-up due",""))</f>
        <v/>
      </c>
    </row>
    <row r="63">
      <c r="A63" s="4" t="n"/>
      <c r="B63" s="4" t="n"/>
      <c r="C63" s="4" t="n"/>
      <c r="D63" s="4" t="n"/>
      <c r="E63" s="27" t="n"/>
      <c r="F63" s="27" t="n"/>
      <c r="G63" s="4" t="n"/>
      <c r="H63" s="4" t="n"/>
      <c r="I63" s="4" t="n"/>
      <c r="J63">
        <f>IF($A63="","",IF(AND($F63&lt;&gt;"",$F63&lt;TODAY(),$I63&lt;&gt;"Resolved"),"⚠ follow-up due",""))</f>
        <v/>
      </c>
    </row>
    <row r="64">
      <c r="A64" s="4" t="n"/>
      <c r="B64" s="4" t="n"/>
      <c r="C64" s="4" t="n"/>
      <c r="D64" s="4" t="n"/>
      <c r="E64" s="27" t="n"/>
      <c r="F64" s="27" t="n"/>
      <c r="G64" s="4" t="n"/>
      <c r="H64" s="4" t="n"/>
      <c r="I64" s="4" t="n"/>
      <c r="J64">
        <f>IF($A64="","",IF(AND($F64&lt;&gt;"",$F64&lt;TODAY(),$I64&lt;&gt;"Resolved"),"⚠ follow-up due",""))</f>
        <v/>
      </c>
    </row>
    <row r="65">
      <c r="A65" s="4" t="n"/>
      <c r="B65" s="4" t="n"/>
      <c r="C65" s="4" t="n"/>
      <c r="D65" s="4" t="n"/>
      <c r="E65" s="27" t="n"/>
      <c r="F65" s="27" t="n"/>
      <c r="G65" s="4" t="n"/>
      <c r="H65" s="4" t="n"/>
      <c r="I65" s="4" t="n"/>
      <c r="J65">
        <f>IF($A65="","",IF(AND($F65&lt;&gt;"",$F65&lt;TODAY(),$I65&lt;&gt;"Resolved"),"⚠ follow-up due",""))</f>
        <v/>
      </c>
    </row>
    <row r="66">
      <c r="A66" s="4" t="n"/>
      <c r="B66" s="4" t="n"/>
      <c r="C66" s="4" t="n"/>
      <c r="D66" s="4" t="n"/>
      <c r="E66" s="27" t="n"/>
      <c r="F66" s="27" t="n"/>
      <c r="G66" s="4" t="n"/>
      <c r="H66" s="4" t="n"/>
      <c r="I66" s="4" t="n"/>
      <c r="J66">
        <f>IF($A66="","",IF(AND($F66&lt;&gt;"",$F66&lt;TODAY(),$I66&lt;&gt;"Resolved"),"⚠ follow-up due",""))</f>
        <v/>
      </c>
    </row>
    <row r="67">
      <c r="A67" s="4" t="n"/>
      <c r="B67" s="4" t="n"/>
      <c r="C67" s="4" t="n"/>
      <c r="D67" s="4" t="n"/>
      <c r="E67" s="27" t="n"/>
      <c r="F67" s="27" t="n"/>
      <c r="G67" s="4" t="n"/>
      <c r="H67" s="4" t="n"/>
      <c r="I67" s="4" t="n"/>
      <c r="J67">
        <f>IF($A67="","",IF(AND($F67&lt;&gt;"",$F67&lt;TODAY(),$I67&lt;&gt;"Resolved"),"⚠ follow-up due",""))</f>
        <v/>
      </c>
    </row>
    <row r="68">
      <c r="A68" s="4" t="n"/>
      <c r="B68" s="4" t="n"/>
      <c r="C68" s="4" t="n"/>
      <c r="D68" s="4" t="n"/>
      <c r="E68" s="27" t="n"/>
      <c r="F68" s="27" t="n"/>
      <c r="G68" s="4" t="n"/>
      <c r="H68" s="4" t="n"/>
      <c r="I68" s="4" t="n"/>
      <c r="J68">
        <f>IF($A68="","",IF(AND($F68&lt;&gt;"",$F68&lt;TODAY(),$I68&lt;&gt;"Resolved"),"⚠ follow-up due",""))</f>
        <v/>
      </c>
    </row>
    <row r="69">
      <c r="A69" s="4" t="n"/>
      <c r="B69" s="4" t="n"/>
      <c r="C69" s="4" t="n"/>
      <c r="D69" s="4" t="n"/>
      <c r="E69" s="27" t="n"/>
      <c r="F69" s="27" t="n"/>
      <c r="G69" s="4" t="n"/>
      <c r="H69" s="4" t="n"/>
      <c r="I69" s="4" t="n"/>
      <c r="J69">
        <f>IF($A69="","",IF(AND($F69&lt;&gt;"",$F69&lt;TODAY(),$I69&lt;&gt;"Resolved"),"⚠ follow-up due",""))</f>
        <v/>
      </c>
    </row>
    <row r="70">
      <c r="A70" s="4" t="n"/>
      <c r="B70" s="4" t="n"/>
      <c r="C70" s="4" t="n"/>
      <c r="D70" s="4" t="n"/>
      <c r="E70" s="27" t="n"/>
      <c r="F70" s="27" t="n"/>
      <c r="G70" s="4" t="n"/>
      <c r="H70" s="4" t="n"/>
      <c r="I70" s="4" t="n"/>
      <c r="J70">
        <f>IF($A70="","",IF(AND($F70&lt;&gt;"",$F70&lt;TODAY(),$I70&lt;&gt;"Resolved"),"⚠ follow-up due",""))</f>
        <v/>
      </c>
    </row>
    <row r="71">
      <c r="A71" s="4" t="n"/>
      <c r="B71" s="4" t="n"/>
      <c r="C71" s="4" t="n"/>
      <c r="D71" s="4" t="n"/>
      <c r="E71" s="27" t="n"/>
      <c r="F71" s="27" t="n"/>
      <c r="G71" s="4" t="n"/>
      <c r="H71" s="4" t="n"/>
      <c r="I71" s="4" t="n"/>
      <c r="J71">
        <f>IF($A71="","",IF(AND($F71&lt;&gt;"",$F71&lt;TODAY(),$I71&lt;&gt;"Resolved"),"⚠ follow-up due",""))</f>
        <v/>
      </c>
    </row>
    <row r="72">
      <c r="A72" s="4" t="n"/>
      <c r="B72" s="4" t="n"/>
      <c r="C72" s="4" t="n"/>
      <c r="D72" s="4" t="n"/>
      <c r="E72" s="27" t="n"/>
      <c r="F72" s="27" t="n"/>
      <c r="G72" s="4" t="n"/>
      <c r="H72" s="4" t="n"/>
      <c r="I72" s="4" t="n"/>
      <c r="J72">
        <f>IF($A72="","",IF(AND($F72&lt;&gt;"",$F72&lt;TODAY(),$I72&lt;&gt;"Resolved"),"⚠ follow-up due",""))</f>
        <v/>
      </c>
    </row>
    <row r="73">
      <c r="A73" s="4" t="n"/>
      <c r="B73" s="4" t="n"/>
      <c r="C73" s="4" t="n"/>
      <c r="D73" s="4" t="n"/>
      <c r="E73" s="27" t="n"/>
      <c r="F73" s="27" t="n"/>
      <c r="G73" s="4" t="n"/>
      <c r="H73" s="4" t="n"/>
      <c r="I73" s="4" t="n"/>
      <c r="J73">
        <f>IF($A73="","",IF(AND($F73&lt;&gt;"",$F73&lt;TODAY(),$I73&lt;&gt;"Resolved"),"⚠ follow-up due",""))</f>
        <v/>
      </c>
    </row>
    <row r="74">
      <c r="A74" s="4" t="n"/>
      <c r="B74" s="4" t="n"/>
      <c r="C74" s="4" t="n"/>
      <c r="D74" s="4" t="n"/>
      <c r="E74" s="27" t="n"/>
      <c r="F74" s="27" t="n"/>
      <c r="G74" s="4" t="n"/>
      <c r="H74" s="4" t="n"/>
      <c r="I74" s="4" t="n"/>
      <c r="J74">
        <f>IF($A74="","",IF(AND($F74&lt;&gt;"",$F74&lt;TODAY(),$I74&lt;&gt;"Resolved"),"⚠ follow-up due",""))</f>
        <v/>
      </c>
    </row>
    <row r="75">
      <c r="A75" s="4" t="n"/>
      <c r="B75" s="4" t="n"/>
      <c r="C75" s="4" t="n"/>
      <c r="D75" s="4" t="n"/>
      <c r="E75" s="27" t="n"/>
      <c r="F75" s="27" t="n"/>
      <c r="G75" s="4" t="n"/>
      <c r="H75" s="4" t="n"/>
      <c r="I75" s="4" t="n"/>
      <c r="J75">
        <f>IF($A75="","",IF(AND($F75&lt;&gt;"",$F75&lt;TODAY(),$I75&lt;&gt;"Resolved"),"⚠ follow-up due",""))</f>
        <v/>
      </c>
    </row>
    <row r="76">
      <c r="A76" s="4" t="n"/>
      <c r="B76" s="4" t="n"/>
      <c r="C76" s="4" t="n"/>
      <c r="D76" s="4" t="n"/>
      <c r="E76" s="27" t="n"/>
      <c r="F76" s="27" t="n"/>
      <c r="G76" s="4" t="n"/>
      <c r="H76" s="4" t="n"/>
      <c r="I76" s="4" t="n"/>
      <c r="J76">
        <f>IF($A76="","",IF(AND($F76&lt;&gt;"",$F76&lt;TODAY(),$I76&lt;&gt;"Resolved"),"⚠ follow-up due",""))</f>
        <v/>
      </c>
    </row>
    <row r="77">
      <c r="A77" s="4" t="n"/>
      <c r="B77" s="4" t="n"/>
      <c r="C77" s="4" t="n"/>
      <c r="D77" s="4" t="n"/>
      <c r="E77" s="27" t="n"/>
      <c r="F77" s="27" t="n"/>
      <c r="G77" s="4" t="n"/>
      <c r="H77" s="4" t="n"/>
      <c r="I77" s="4" t="n"/>
      <c r="J77">
        <f>IF($A77="","",IF(AND($F77&lt;&gt;"",$F77&lt;TODAY(),$I77&lt;&gt;"Resolved"),"⚠ follow-up due",""))</f>
        <v/>
      </c>
    </row>
    <row r="78">
      <c r="A78" s="4" t="n"/>
      <c r="B78" s="4" t="n"/>
      <c r="C78" s="4" t="n"/>
      <c r="D78" s="4" t="n"/>
      <c r="E78" s="27" t="n"/>
      <c r="F78" s="27" t="n"/>
      <c r="G78" s="4" t="n"/>
      <c r="H78" s="4" t="n"/>
      <c r="I78" s="4" t="n"/>
      <c r="J78">
        <f>IF($A78="","",IF(AND($F78&lt;&gt;"",$F78&lt;TODAY(),$I78&lt;&gt;"Resolved"),"⚠ follow-up due",""))</f>
        <v/>
      </c>
    </row>
    <row r="79">
      <c r="A79" s="4" t="n"/>
      <c r="B79" s="4" t="n"/>
      <c r="C79" s="4" t="n"/>
      <c r="D79" s="4" t="n"/>
      <c r="E79" s="27" t="n"/>
      <c r="F79" s="27" t="n"/>
      <c r="G79" s="4" t="n"/>
      <c r="H79" s="4" t="n"/>
      <c r="I79" s="4" t="n"/>
      <c r="J79">
        <f>IF($A79="","",IF(AND($F79&lt;&gt;"",$F79&lt;TODAY(),$I79&lt;&gt;"Resolved"),"⚠ follow-up due",""))</f>
        <v/>
      </c>
    </row>
    <row r="80">
      <c r="A80" s="4" t="n"/>
      <c r="B80" s="4" t="n"/>
      <c r="C80" s="4" t="n"/>
      <c r="D80" s="4" t="n"/>
      <c r="E80" s="27" t="n"/>
      <c r="F80" s="27" t="n"/>
      <c r="G80" s="4" t="n"/>
      <c r="H80" s="4" t="n"/>
      <c r="I80" s="4" t="n"/>
      <c r="J80">
        <f>IF($A80="","",IF(AND($F80&lt;&gt;"",$F80&lt;TODAY(),$I80&lt;&gt;"Resolved"),"⚠ follow-up due",""))</f>
        <v/>
      </c>
    </row>
    <row r="81">
      <c r="A81" s="4" t="n"/>
      <c r="B81" s="4" t="n"/>
      <c r="C81" s="4" t="n"/>
      <c r="D81" s="4" t="n"/>
      <c r="E81" s="27" t="n"/>
      <c r="F81" s="27" t="n"/>
      <c r="G81" s="4" t="n"/>
      <c r="H81" s="4" t="n"/>
      <c r="I81" s="4" t="n"/>
      <c r="J81">
        <f>IF($A81="","",IF(AND($F81&lt;&gt;"",$F81&lt;TODAY(),$I81&lt;&gt;"Resolved"),"⚠ follow-up due",""))</f>
        <v/>
      </c>
    </row>
    <row r="82">
      <c r="A82" s="4" t="n"/>
      <c r="B82" s="4" t="n"/>
      <c r="C82" s="4" t="n"/>
      <c r="D82" s="4" t="n"/>
      <c r="E82" s="27" t="n"/>
      <c r="F82" s="27" t="n"/>
      <c r="G82" s="4" t="n"/>
      <c r="H82" s="4" t="n"/>
      <c r="I82" s="4" t="n"/>
      <c r="J82">
        <f>IF($A82="","",IF(AND($F82&lt;&gt;"",$F82&lt;TODAY(),$I82&lt;&gt;"Resolved"),"⚠ follow-up due",""))</f>
        <v/>
      </c>
    </row>
    <row r="83">
      <c r="A83" s="4" t="n"/>
      <c r="B83" s="4" t="n"/>
      <c r="C83" s="4" t="n"/>
      <c r="D83" s="4" t="n"/>
      <c r="E83" s="27" t="n"/>
      <c r="F83" s="27" t="n"/>
      <c r="G83" s="4" t="n"/>
      <c r="H83" s="4" t="n"/>
      <c r="I83" s="4" t="n"/>
      <c r="J83">
        <f>IF($A83="","",IF(AND($F83&lt;&gt;"",$F83&lt;TODAY(),$I83&lt;&gt;"Resolved"),"⚠ follow-up due",""))</f>
        <v/>
      </c>
    </row>
    <row r="84">
      <c r="A84" s="4" t="n"/>
      <c r="B84" s="4" t="n"/>
      <c r="C84" s="4" t="n"/>
      <c r="D84" s="4" t="n"/>
      <c r="E84" s="27" t="n"/>
      <c r="F84" s="27" t="n"/>
      <c r="G84" s="4" t="n"/>
      <c r="H84" s="4" t="n"/>
      <c r="I84" s="4" t="n"/>
      <c r="J84">
        <f>IF($A84="","",IF(AND($F84&lt;&gt;"",$F84&lt;TODAY(),$I84&lt;&gt;"Resolved"),"⚠ follow-up due",""))</f>
        <v/>
      </c>
    </row>
    <row r="85">
      <c r="A85" s="4" t="n"/>
      <c r="B85" s="4" t="n"/>
      <c r="C85" s="4" t="n"/>
      <c r="D85" s="4" t="n"/>
      <c r="E85" s="27" t="n"/>
      <c r="F85" s="27" t="n"/>
      <c r="G85" s="4" t="n"/>
      <c r="H85" s="4" t="n"/>
      <c r="I85" s="4" t="n"/>
      <c r="J85">
        <f>IF($A85="","",IF(AND($F85&lt;&gt;"",$F85&lt;TODAY(),$I85&lt;&gt;"Resolved"),"⚠ follow-up due",""))</f>
        <v/>
      </c>
    </row>
    <row r="86">
      <c r="A86" s="4" t="n"/>
      <c r="B86" s="4" t="n"/>
      <c r="C86" s="4" t="n"/>
      <c r="D86" s="4" t="n"/>
      <c r="E86" s="27" t="n"/>
      <c r="F86" s="27" t="n"/>
      <c r="G86" s="4" t="n"/>
      <c r="H86" s="4" t="n"/>
      <c r="I86" s="4" t="n"/>
      <c r="J86">
        <f>IF($A86="","",IF(AND($F86&lt;&gt;"",$F86&lt;TODAY(),$I86&lt;&gt;"Resolved"),"⚠ follow-up due",""))</f>
        <v/>
      </c>
    </row>
    <row r="87">
      <c r="A87" s="4" t="n"/>
      <c r="B87" s="4" t="n"/>
      <c r="C87" s="4" t="n"/>
      <c r="D87" s="4" t="n"/>
      <c r="E87" s="27" t="n"/>
      <c r="F87" s="27" t="n"/>
      <c r="G87" s="4" t="n"/>
      <c r="H87" s="4" t="n"/>
      <c r="I87" s="4" t="n"/>
      <c r="J87">
        <f>IF($A87="","",IF(AND($F87&lt;&gt;"",$F87&lt;TODAY(),$I87&lt;&gt;"Resolved"),"⚠ follow-up due",""))</f>
        <v/>
      </c>
    </row>
    <row r="88">
      <c r="A88" s="4" t="n"/>
      <c r="B88" s="4" t="n"/>
      <c r="C88" s="4" t="n"/>
      <c r="D88" s="4" t="n"/>
      <c r="E88" s="27" t="n"/>
      <c r="F88" s="27" t="n"/>
      <c r="G88" s="4" t="n"/>
      <c r="H88" s="4" t="n"/>
      <c r="I88" s="4" t="n"/>
      <c r="J88">
        <f>IF($A88="","",IF(AND($F88&lt;&gt;"",$F88&lt;TODAY(),$I88&lt;&gt;"Resolved"),"⚠ follow-up due",""))</f>
        <v/>
      </c>
    </row>
    <row r="89">
      <c r="A89" s="4" t="n"/>
      <c r="B89" s="4" t="n"/>
      <c r="C89" s="4" t="n"/>
      <c r="D89" s="4" t="n"/>
      <c r="E89" s="27" t="n"/>
      <c r="F89" s="27" t="n"/>
      <c r="G89" s="4" t="n"/>
      <c r="H89" s="4" t="n"/>
      <c r="I89" s="4" t="n"/>
      <c r="J89">
        <f>IF($A89="","",IF(AND($F89&lt;&gt;"",$F89&lt;TODAY(),$I89&lt;&gt;"Resolved"),"⚠ follow-up due",""))</f>
        <v/>
      </c>
    </row>
    <row r="90">
      <c r="A90" s="4" t="n"/>
      <c r="B90" s="4" t="n"/>
      <c r="C90" s="4" t="n"/>
      <c r="D90" s="4" t="n"/>
      <c r="E90" s="27" t="n"/>
      <c r="F90" s="27" t="n"/>
      <c r="G90" s="4" t="n"/>
      <c r="H90" s="4" t="n"/>
      <c r="I90" s="4" t="n"/>
      <c r="J90">
        <f>IF($A90="","",IF(AND($F90&lt;&gt;"",$F90&lt;TODAY(),$I90&lt;&gt;"Resolved"),"⚠ follow-up due",""))</f>
        <v/>
      </c>
    </row>
    <row r="91">
      <c r="A91" s="4" t="n"/>
      <c r="B91" s="4" t="n"/>
      <c r="C91" s="4" t="n"/>
      <c r="D91" s="4" t="n"/>
      <c r="E91" s="27" t="n"/>
      <c r="F91" s="27" t="n"/>
      <c r="G91" s="4" t="n"/>
      <c r="H91" s="4" t="n"/>
      <c r="I91" s="4" t="n"/>
      <c r="J91">
        <f>IF($A91="","",IF(AND($F91&lt;&gt;"",$F91&lt;TODAY(),$I91&lt;&gt;"Resolved"),"⚠ follow-up due",""))</f>
        <v/>
      </c>
    </row>
    <row r="92">
      <c r="A92" s="4" t="n"/>
      <c r="B92" s="4" t="n"/>
      <c r="C92" s="4" t="n"/>
      <c r="D92" s="4" t="n"/>
      <c r="E92" s="27" t="n"/>
      <c r="F92" s="27" t="n"/>
      <c r="G92" s="4" t="n"/>
      <c r="H92" s="4" t="n"/>
      <c r="I92" s="4" t="n"/>
      <c r="J92">
        <f>IF($A92="","",IF(AND($F92&lt;&gt;"",$F92&lt;TODAY(),$I92&lt;&gt;"Resolved"),"⚠ follow-up due",""))</f>
        <v/>
      </c>
    </row>
    <row r="93">
      <c r="A93" s="4" t="n"/>
      <c r="B93" s="4" t="n"/>
      <c r="C93" s="4" t="n"/>
      <c r="D93" s="4" t="n"/>
      <c r="E93" s="27" t="n"/>
      <c r="F93" s="27" t="n"/>
      <c r="G93" s="4" t="n"/>
      <c r="H93" s="4" t="n"/>
      <c r="I93" s="4" t="n"/>
      <c r="J93">
        <f>IF($A93="","",IF(AND($F93&lt;&gt;"",$F93&lt;TODAY(),$I93&lt;&gt;"Resolved"),"⚠ follow-up due",""))</f>
        <v/>
      </c>
    </row>
    <row r="94">
      <c r="A94" s="4" t="n"/>
      <c r="B94" s="4" t="n"/>
      <c r="C94" s="4" t="n"/>
      <c r="D94" s="4" t="n"/>
      <c r="E94" s="27" t="n"/>
      <c r="F94" s="27" t="n"/>
      <c r="G94" s="4" t="n"/>
      <c r="H94" s="4" t="n"/>
      <c r="I94" s="4" t="n"/>
      <c r="J94">
        <f>IF($A94="","",IF(AND($F94&lt;&gt;"",$F94&lt;TODAY(),$I94&lt;&gt;"Resolved"),"⚠ follow-up due",""))</f>
        <v/>
      </c>
    </row>
    <row r="95">
      <c r="A95" s="4" t="n"/>
      <c r="B95" s="4" t="n"/>
      <c r="C95" s="4" t="n"/>
      <c r="D95" s="4" t="n"/>
      <c r="E95" s="27" t="n"/>
      <c r="F95" s="27" t="n"/>
      <c r="G95" s="4" t="n"/>
      <c r="H95" s="4" t="n"/>
      <c r="I95" s="4" t="n"/>
      <c r="J95">
        <f>IF($A95="","",IF(AND($F95&lt;&gt;"",$F95&lt;TODAY(),$I95&lt;&gt;"Resolved"),"⚠ follow-up due",""))</f>
        <v/>
      </c>
    </row>
    <row r="96">
      <c r="A96" s="4" t="n"/>
      <c r="B96" s="4" t="n"/>
      <c r="C96" s="4" t="n"/>
      <c r="D96" s="4" t="n"/>
      <c r="E96" s="27" t="n"/>
      <c r="F96" s="27" t="n"/>
      <c r="G96" s="4" t="n"/>
      <c r="H96" s="4" t="n"/>
      <c r="I96" s="4" t="n"/>
      <c r="J96">
        <f>IF($A96="","",IF(AND($F96&lt;&gt;"",$F96&lt;TODAY(),$I96&lt;&gt;"Resolved"),"⚠ follow-up due",""))</f>
        <v/>
      </c>
    </row>
    <row r="97">
      <c r="A97" s="4" t="n"/>
      <c r="B97" s="4" t="n"/>
      <c r="C97" s="4" t="n"/>
      <c r="D97" s="4" t="n"/>
      <c r="E97" s="27" t="n"/>
      <c r="F97" s="27" t="n"/>
      <c r="G97" s="4" t="n"/>
      <c r="H97" s="4" t="n"/>
      <c r="I97" s="4" t="n"/>
      <c r="J97">
        <f>IF($A97="","",IF(AND($F97&lt;&gt;"",$F97&lt;TODAY(),$I97&lt;&gt;"Resolved"),"⚠ follow-up due",""))</f>
        <v/>
      </c>
    </row>
    <row r="98">
      <c r="A98" s="4" t="n"/>
      <c r="B98" s="4" t="n"/>
      <c r="C98" s="4" t="n"/>
      <c r="D98" s="4" t="n"/>
      <c r="E98" s="27" t="n"/>
      <c r="F98" s="27" t="n"/>
      <c r="G98" s="4" t="n"/>
      <c r="H98" s="4" t="n"/>
      <c r="I98" s="4" t="n"/>
      <c r="J98">
        <f>IF($A98="","",IF(AND($F98&lt;&gt;"",$F98&lt;TODAY(),$I98&lt;&gt;"Resolved"),"⚠ follow-up due",""))</f>
        <v/>
      </c>
    </row>
    <row r="99">
      <c r="A99" s="4" t="n"/>
      <c r="B99" s="4" t="n"/>
      <c r="C99" s="4" t="n"/>
      <c r="D99" s="4" t="n"/>
      <c r="E99" s="27" t="n"/>
      <c r="F99" s="27" t="n"/>
      <c r="G99" s="4" t="n"/>
      <c r="H99" s="4" t="n"/>
      <c r="I99" s="4" t="n"/>
      <c r="J99">
        <f>IF($A99="","",IF(AND($F99&lt;&gt;"",$F99&lt;TODAY(),$I99&lt;&gt;"Resolved"),"⚠ follow-up due",""))</f>
        <v/>
      </c>
    </row>
    <row r="100">
      <c r="A100" s="4" t="n"/>
      <c r="B100" s="4" t="n"/>
      <c r="C100" s="4" t="n"/>
      <c r="D100" s="4" t="n"/>
      <c r="E100" s="27" t="n"/>
      <c r="F100" s="27" t="n"/>
      <c r="G100" s="4" t="n"/>
      <c r="H100" s="4" t="n"/>
      <c r="I100" s="4" t="n"/>
      <c r="J100">
        <f>IF($A100="","",IF(AND($F100&lt;&gt;"",$F100&lt;TODAY(),$I100&lt;&gt;"Resolved"),"⚠ follow-up due",""))</f>
        <v/>
      </c>
    </row>
    <row r="101">
      <c r="A101" s="4" t="n"/>
      <c r="B101" s="4" t="n"/>
      <c r="C101" s="4" t="n"/>
      <c r="D101" s="4" t="n"/>
      <c r="E101" s="27" t="n"/>
      <c r="F101" s="27" t="n"/>
      <c r="G101" s="4" t="n"/>
      <c r="H101" s="4" t="n"/>
      <c r="I101" s="4" t="n"/>
      <c r="J101">
        <f>IF($A101="","",IF(AND($F101&lt;&gt;"",$F101&lt;TODAY(),$I101&lt;&gt;"Resolved"),"⚠ follow-up due",""))</f>
        <v/>
      </c>
    </row>
    <row r="102">
      <c r="A102" s="4" t="n"/>
      <c r="B102" s="4" t="n"/>
      <c r="C102" s="4" t="n"/>
      <c r="D102" s="4" t="n"/>
      <c r="E102" s="27" t="n"/>
      <c r="F102" s="27" t="n"/>
      <c r="G102" s="4" t="n"/>
      <c r="H102" s="4" t="n"/>
      <c r="I102" s="4" t="n"/>
      <c r="J102">
        <f>IF($A102="","",IF(AND($F102&lt;&gt;"",$F102&lt;TODAY(),$I102&lt;&gt;"Resolved"),"⚠ follow-up due",""))</f>
        <v/>
      </c>
    </row>
    <row r="103">
      <c r="A103" s="4" t="n"/>
      <c r="B103" s="4" t="n"/>
      <c r="C103" s="4" t="n"/>
      <c r="D103" s="4" t="n"/>
      <c r="E103" s="27" t="n"/>
      <c r="F103" s="27" t="n"/>
      <c r="G103" s="4" t="n"/>
      <c r="H103" s="4" t="n"/>
      <c r="I103" s="4" t="n"/>
      <c r="J103">
        <f>IF($A103="","",IF(AND($F103&lt;&gt;"",$F103&lt;TODAY(),$I103&lt;&gt;"Resolved"),"⚠ follow-up due",""))</f>
        <v/>
      </c>
    </row>
  </sheetData>
  <sheetProtection selectLockedCells="0" selectUnlockedCells="0" sheet="1" objects="0" insertRows="1" insertHyperlinks="1" autoFilter="0" scenarios="0" formatColumns="0" deleteColumns="1" insertColumns="1" pivotTables="1" deleteRows="1" formatCells="1" formatRows="0" sort="0"/>
  <autoFilter ref="A3:J3"/>
  <dataValidations count="1">
    <dataValidation sqref="I4:I103" showDropDown="0" showInputMessage="0" showErrorMessage="0" allowBlank="1" type="list">
      <formula1>"Active,Resolved"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3.8"/>
  <cols>
    <col width="28" customWidth="1" style="21" min="1" max="1"/>
    <col width="15" customWidth="1" style="21" min="2" max="2"/>
    <col width="34" customWidth="1" style="21" min="3" max="3"/>
    <col width="15" customWidth="1" style="21" min="4" max="4"/>
    <col width="16" customWidth="1" style="21" min="5" max="5"/>
    <col width="14" customWidth="1" style="21" min="6" max="6"/>
    <col width="18" customWidth="1" style="21" min="7" max="7"/>
    <col width="15" customWidth="1" style="21" min="8" max="8"/>
  </cols>
  <sheetData>
    <row r="1" ht="17.4" customHeight="1" s="21">
      <c r="A1" s="16" t="inlineStr">
        <is>
          <t>BENEFICIARIES &amp; DISTRIBUTIONS</t>
        </is>
      </c>
    </row>
    <row r="2" ht="55.2" customHeight="1" s="21">
      <c r="A2" s="20" t="inlineStr">
        <is>
          <t>Tracks your own entered records only — this workbook does not calculate legal entitlement.</t>
        </is>
      </c>
    </row>
    <row r="3" ht="15.6" customHeight="1" s="21">
      <c r="A3" s="1" t="inlineStr">
        <is>
          <t>Beneficiary / Reference</t>
        </is>
      </c>
      <c r="B3" s="1" t="inlineStr">
        <is>
          <t>Contact Status</t>
        </is>
      </c>
      <c r="C3" s="1" t="inlineStr">
        <is>
          <t>Intended Share / Notes</t>
        </is>
      </c>
      <c r="D3" s="1" t="inlineStr">
        <is>
          <t>Planned Amount</t>
        </is>
      </c>
      <c r="E3" s="1" t="inlineStr">
        <is>
          <t>Amount Distributed</t>
        </is>
      </c>
      <c r="F3" s="1" t="inlineStr">
        <is>
          <t>Date Distributed</t>
        </is>
      </c>
      <c r="G3" s="1" t="inlineStr">
        <is>
          <t>Acknowledgment Received?</t>
        </is>
      </c>
      <c r="H3" s="1" t="inlineStr">
        <is>
          <t>Warning (auto)</t>
        </is>
      </c>
    </row>
    <row r="4">
      <c r="A4" s="4" t="inlineStr">
        <is>
          <t>Nadia Doyle</t>
        </is>
      </c>
      <c r="B4" s="4" t="inlineStr">
        <is>
          <t>Confirmed</t>
        </is>
      </c>
      <c r="C4" s="4" t="inlineStr">
        <is>
          <t>Equal share, per will Article III</t>
        </is>
      </c>
      <c r="D4" s="28" t="n">
        <v>200000</v>
      </c>
      <c r="E4" s="28" t="n">
        <v>0</v>
      </c>
      <c r="F4" s="4" t="n"/>
      <c r="G4" s="4" t="inlineStr">
        <is>
          <t>No</t>
        </is>
      </c>
      <c r="H4">
        <f>IF($A4="","",IF(AND(ISNUMBER($E4),$E4&gt;0,$G4="No"),"⚠ distributed, no acknowledgment",""))</f>
        <v/>
      </c>
    </row>
    <row r="5">
      <c r="A5" s="4" t="inlineStr">
        <is>
          <t>Marcus Doyle</t>
        </is>
      </c>
      <c r="B5" s="4" t="inlineStr">
        <is>
          <t>Confirmed</t>
        </is>
      </c>
      <c r="C5" s="4" t="inlineStr">
        <is>
          <t>Equal share, per will Article III</t>
        </is>
      </c>
      <c r="D5" s="28" t="n">
        <v>200000</v>
      </c>
      <c r="E5" s="28" t="n">
        <v>0</v>
      </c>
      <c r="F5" s="4" t="n"/>
      <c r="G5" s="4" t="inlineStr">
        <is>
          <t>No</t>
        </is>
      </c>
      <c r="H5">
        <f>IF($A5="","",IF(AND(ISNUMBER($E5),$E5&gt;0,$G5="No"),"⚠ distributed, no acknowledgment",""))</f>
        <v/>
      </c>
    </row>
    <row r="6">
      <c r="A6" s="4" t="inlineStr">
        <is>
          <t>Cook County Humane Society</t>
        </is>
      </c>
      <c r="B6" s="4" t="inlineStr">
        <is>
          <t>Confirmed</t>
        </is>
      </c>
      <c r="C6" s="4" t="inlineStr">
        <is>
          <t>Specific bequest, per will Article V</t>
        </is>
      </c>
      <c r="D6" s="28" t="n">
        <v>5000</v>
      </c>
      <c r="E6" s="28" t="n">
        <v>5000</v>
      </c>
      <c r="F6" s="27" t="n">
        <v>46267</v>
      </c>
      <c r="G6" s="4" t="inlineStr">
        <is>
          <t>Yes</t>
        </is>
      </c>
      <c r="H6">
        <f>IF($A6="","",IF(AND(ISNUMBER($E6),$E6&gt;0,$G6="No"),"⚠ distributed, no acknowledgment",""))</f>
        <v/>
      </c>
    </row>
    <row r="7">
      <c r="A7" s="4" t="n"/>
      <c r="B7" s="4" t="n"/>
      <c r="C7" s="4" t="n"/>
      <c r="D7" s="4" t="n"/>
      <c r="E7" s="4" t="n"/>
      <c r="F7" s="4" t="n"/>
      <c r="G7" s="4" t="n"/>
      <c r="H7">
        <f>IF($A7="","",IF(AND(ISNUMBER($E7),$E7&gt;0,$G7="No"),"⚠ distributed, no acknowledgment",""))</f>
        <v/>
      </c>
    </row>
    <row r="8">
      <c r="A8" s="4" t="n"/>
      <c r="B8" s="4" t="n"/>
      <c r="C8" s="4" t="n"/>
      <c r="D8" s="28" t="n"/>
      <c r="E8" s="28" t="n"/>
      <c r="F8" s="27" t="n"/>
      <c r="G8" s="4" t="n"/>
      <c r="H8">
        <f>IF($A8="","",IF(AND(ISNUMBER($E8),$E8&gt;0,$G8="No"),"⚠ distributed, no acknowledgment",""))</f>
        <v/>
      </c>
    </row>
    <row r="9">
      <c r="A9" s="4" t="n"/>
      <c r="B9" s="4" t="n"/>
      <c r="C9" s="4" t="n"/>
      <c r="D9" s="28" t="n"/>
      <c r="E9" s="28" t="n"/>
      <c r="F9" s="27" t="n"/>
      <c r="G9" s="4" t="n"/>
      <c r="H9">
        <f>IF($A9="","",IF(AND(ISNUMBER($E9),$E9&gt;0,$G9="No"),"⚠ distributed, no acknowledgment",""))</f>
        <v/>
      </c>
    </row>
    <row r="10">
      <c r="A10" s="4" t="n"/>
      <c r="B10" s="4" t="n"/>
      <c r="C10" s="4" t="n"/>
      <c r="D10" s="28" t="n"/>
      <c r="E10" s="28" t="n"/>
      <c r="F10" s="27" t="n"/>
      <c r="G10" s="4" t="n"/>
      <c r="H10">
        <f>IF($A10="","",IF(AND(ISNUMBER($E10),$E10&gt;0,$G10="No"),"⚠ distributed, no acknowledgment",""))</f>
        <v/>
      </c>
    </row>
    <row r="11">
      <c r="A11" s="4" t="n"/>
      <c r="B11" s="4" t="n"/>
      <c r="C11" s="4" t="n"/>
      <c r="D11" s="28" t="n"/>
      <c r="E11" s="28" t="n"/>
      <c r="F11" s="27" t="n"/>
      <c r="G11" s="4" t="n"/>
      <c r="H11">
        <f>IF($A11="","",IF(AND(ISNUMBER($E11),$E11&gt;0,$G11="No"),"⚠ distributed, no acknowledgment",""))</f>
        <v/>
      </c>
    </row>
    <row r="12">
      <c r="A12" s="4" t="n"/>
      <c r="B12" s="4" t="n"/>
      <c r="C12" s="4" t="n"/>
      <c r="D12" s="28" t="n"/>
      <c r="E12" s="28" t="n"/>
      <c r="F12" s="27" t="n"/>
      <c r="G12" s="4" t="n"/>
      <c r="H12">
        <f>IF($A12="","",IF(AND(ISNUMBER($E12),$E12&gt;0,$G12="No"),"⚠ distributed, no acknowledgment",""))</f>
        <v/>
      </c>
    </row>
    <row r="13">
      <c r="A13" s="4" t="n"/>
      <c r="B13" s="4" t="n"/>
      <c r="C13" s="4" t="n"/>
      <c r="D13" s="28" t="n"/>
      <c r="E13" s="28" t="n"/>
      <c r="F13" s="27" t="n"/>
      <c r="G13" s="4" t="n"/>
      <c r="H13">
        <f>IF($A13="","",IF(AND(ISNUMBER($E13),$E13&gt;0,$G13="No"),"⚠ distributed, no acknowledgment",""))</f>
        <v/>
      </c>
    </row>
    <row r="14">
      <c r="A14" s="4" t="n"/>
      <c r="B14" s="4" t="n"/>
      <c r="C14" s="4" t="n"/>
      <c r="D14" s="28" t="n"/>
      <c r="E14" s="28" t="n"/>
      <c r="F14" s="27" t="n"/>
      <c r="G14" s="4" t="n"/>
      <c r="H14">
        <f>IF($A14="","",IF(AND(ISNUMBER($E14),$E14&gt;0,$G14="No"),"⚠ distributed, no acknowledgment",""))</f>
        <v/>
      </c>
    </row>
    <row r="15">
      <c r="A15" s="4" t="n"/>
      <c r="B15" s="4" t="n"/>
      <c r="C15" s="4" t="n"/>
      <c r="D15" s="28" t="n"/>
      <c r="E15" s="28" t="n"/>
      <c r="F15" s="27" t="n"/>
      <c r="G15" s="4" t="n"/>
      <c r="H15">
        <f>IF($A15="","",IF(AND(ISNUMBER($E15),$E15&gt;0,$G15="No"),"⚠ distributed, no acknowledgment",""))</f>
        <v/>
      </c>
    </row>
    <row r="16">
      <c r="A16" s="4" t="n"/>
      <c r="B16" s="4" t="n"/>
      <c r="C16" s="4" t="n"/>
      <c r="D16" s="28" t="n"/>
      <c r="E16" s="28" t="n"/>
      <c r="F16" s="27" t="n"/>
      <c r="G16" s="4" t="n"/>
      <c r="H16">
        <f>IF($A16="","",IF(AND(ISNUMBER($E16),$E16&gt;0,$G16="No"),"⚠ distributed, no acknowledgment",""))</f>
        <v/>
      </c>
    </row>
    <row r="17">
      <c r="A17" s="4" t="n"/>
      <c r="B17" s="4" t="n"/>
      <c r="C17" s="4" t="n"/>
      <c r="D17" s="28" t="n"/>
      <c r="E17" s="28" t="n"/>
      <c r="F17" s="27" t="n"/>
      <c r="G17" s="4" t="n"/>
      <c r="H17">
        <f>IF($A17="","",IF(AND(ISNUMBER($E17),$E17&gt;0,$G17="No"),"⚠ distributed, no acknowledgment",""))</f>
        <v/>
      </c>
    </row>
    <row r="18">
      <c r="A18" s="4" t="n"/>
      <c r="B18" s="4" t="n"/>
      <c r="C18" s="4" t="n"/>
      <c r="D18" s="28" t="n"/>
      <c r="E18" s="28" t="n"/>
      <c r="F18" s="27" t="n"/>
      <c r="G18" s="4" t="n"/>
      <c r="H18">
        <f>IF($A18="","",IF(AND(ISNUMBER($E18),$E18&gt;0,$G18="No"),"⚠ distributed, no acknowledgment",""))</f>
        <v/>
      </c>
    </row>
    <row r="19">
      <c r="A19" s="4" t="n"/>
      <c r="B19" s="4" t="n"/>
      <c r="C19" s="4" t="n"/>
      <c r="D19" s="28" t="n"/>
      <c r="E19" s="28" t="n"/>
      <c r="F19" s="27" t="n"/>
      <c r="G19" s="4" t="n"/>
      <c r="H19">
        <f>IF($A19="","",IF(AND(ISNUMBER($E19),$E19&gt;0,$G19="No"),"⚠ distributed, no acknowledgment",""))</f>
        <v/>
      </c>
    </row>
    <row r="20">
      <c r="A20" s="4" t="n"/>
      <c r="B20" s="4" t="n"/>
      <c r="C20" s="4" t="n"/>
      <c r="D20" s="28" t="n"/>
      <c r="E20" s="28" t="n"/>
      <c r="F20" s="27" t="n"/>
      <c r="G20" s="4" t="n"/>
      <c r="H20">
        <f>IF($A20="","",IF(AND(ISNUMBER($E20),$E20&gt;0,$G20="No"),"⚠ distributed, no acknowledgment",""))</f>
        <v/>
      </c>
    </row>
    <row r="21">
      <c r="A21" s="4" t="n"/>
      <c r="B21" s="4" t="n"/>
      <c r="C21" s="4" t="n"/>
      <c r="D21" s="28" t="n"/>
      <c r="E21" s="28" t="n"/>
      <c r="F21" s="27" t="n"/>
      <c r="G21" s="4" t="n"/>
      <c r="H21">
        <f>IF($A21="","",IF(AND(ISNUMBER($E21),$E21&gt;0,$G21="No"),"⚠ distributed, no acknowledgment",""))</f>
        <v/>
      </c>
    </row>
    <row r="22">
      <c r="A22" s="4" t="n"/>
      <c r="B22" s="4" t="n"/>
      <c r="C22" s="4" t="n"/>
      <c r="D22" s="28" t="n"/>
      <c r="E22" s="28" t="n"/>
      <c r="F22" s="27" t="n"/>
      <c r="G22" s="4" t="n"/>
      <c r="H22">
        <f>IF($A22="","",IF(AND(ISNUMBER($E22),$E22&gt;0,$G22="No"),"⚠ distributed, no acknowledgment",""))</f>
        <v/>
      </c>
    </row>
    <row r="23">
      <c r="A23" s="4" t="n"/>
      <c r="B23" s="4" t="n"/>
      <c r="C23" s="4" t="n"/>
      <c r="D23" s="28" t="n"/>
      <c r="E23" s="28" t="n"/>
      <c r="F23" s="27" t="n"/>
      <c r="G23" s="4" t="n"/>
      <c r="H23">
        <f>IF($A23="","",IF(AND(ISNUMBER($E23),$E23&gt;0,$G23="No"),"⚠ distributed, no acknowledgment",""))</f>
        <v/>
      </c>
    </row>
    <row r="24">
      <c r="A24" s="4" t="n"/>
      <c r="B24" s="4" t="n"/>
      <c r="C24" s="4" t="n"/>
      <c r="D24" s="28" t="n"/>
      <c r="E24" s="28" t="n"/>
      <c r="F24" s="27" t="n"/>
      <c r="G24" s="4" t="n"/>
      <c r="H24">
        <f>IF($A24="","",IF(AND(ISNUMBER($E24),$E24&gt;0,$G24="No"),"⚠ distributed, no acknowledgment",""))</f>
        <v/>
      </c>
    </row>
    <row r="25">
      <c r="A25" s="4" t="n"/>
      <c r="B25" s="4" t="n"/>
      <c r="C25" s="4" t="n"/>
      <c r="D25" s="28" t="n"/>
      <c r="E25" s="28" t="n"/>
      <c r="F25" s="27" t="n"/>
      <c r="G25" s="4" t="n"/>
      <c r="H25">
        <f>IF($A25="","",IF(AND(ISNUMBER($E25),$E25&gt;0,$G25="No"),"⚠ distributed, no acknowledgment",""))</f>
        <v/>
      </c>
    </row>
    <row r="26">
      <c r="A26" s="4" t="n"/>
      <c r="B26" s="4" t="n"/>
      <c r="C26" s="4" t="n"/>
      <c r="D26" s="28" t="n"/>
      <c r="E26" s="28" t="n"/>
      <c r="F26" s="27" t="n"/>
      <c r="G26" s="4" t="n"/>
      <c r="H26">
        <f>IF($A26="","",IF(AND(ISNUMBER($E26),$E26&gt;0,$G26="No"),"⚠ distributed, no acknowledgment",""))</f>
        <v/>
      </c>
    </row>
    <row r="27">
      <c r="A27" s="4" t="n"/>
      <c r="B27" s="4" t="n"/>
      <c r="C27" s="4" t="n"/>
      <c r="D27" s="28" t="n"/>
      <c r="E27" s="28" t="n"/>
      <c r="F27" s="27" t="n"/>
      <c r="G27" s="4" t="n"/>
      <c r="H27">
        <f>IF($A27="","",IF(AND(ISNUMBER($E27),$E27&gt;0,$G27="No"),"⚠ distributed, no acknowledgment",""))</f>
        <v/>
      </c>
    </row>
    <row r="28">
      <c r="A28" s="4" t="n"/>
      <c r="B28" s="4" t="n"/>
      <c r="C28" s="4" t="n"/>
      <c r="D28" s="28" t="n"/>
      <c r="E28" s="28" t="n"/>
      <c r="F28" s="27" t="n"/>
      <c r="G28" s="4" t="n"/>
      <c r="H28">
        <f>IF($A28="","",IF(AND(ISNUMBER($E28),$E28&gt;0,$G28="No"),"⚠ distributed, no acknowledgment",""))</f>
        <v/>
      </c>
    </row>
    <row r="29">
      <c r="A29" s="4" t="n"/>
      <c r="B29" s="4" t="n"/>
      <c r="C29" s="4" t="n"/>
      <c r="D29" s="28" t="n"/>
      <c r="E29" s="28" t="n"/>
      <c r="F29" s="27" t="n"/>
      <c r="G29" s="4" t="n"/>
      <c r="H29">
        <f>IF($A29="","",IF(AND(ISNUMBER($E29),$E29&gt;0,$G29="No"),"⚠ distributed, no acknowledgment",""))</f>
        <v/>
      </c>
    </row>
    <row r="30">
      <c r="A30" s="4" t="n"/>
      <c r="B30" s="4" t="n"/>
      <c r="C30" s="4" t="n"/>
      <c r="D30" s="28" t="n"/>
      <c r="E30" s="28" t="n"/>
      <c r="F30" s="27" t="n"/>
      <c r="G30" s="4" t="n"/>
      <c r="H30">
        <f>IF($A30="","",IF(AND(ISNUMBER($E30),$E30&gt;0,$G30="No"),"⚠ distributed, no acknowledgment",""))</f>
        <v/>
      </c>
    </row>
    <row r="31">
      <c r="A31" s="4" t="n"/>
      <c r="B31" s="4" t="n"/>
      <c r="C31" s="4" t="n"/>
      <c r="D31" s="28" t="n"/>
      <c r="E31" s="28" t="n"/>
      <c r="F31" s="27" t="n"/>
      <c r="G31" s="4" t="n"/>
      <c r="H31">
        <f>IF($A31="","",IF(AND(ISNUMBER($E31),$E31&gt;0,$G31="No"),"⚠ distributed, no acknowledgment",""))</f>
        <v/>
      </c>
    </row>
    <row r="32">
      <c r="A32" s="4" t="n"/>
      <c r="B32" s="4" t="n"/>
      <c r="C32" s="4" t="n"/>
      <c r="D32" s="28" t="n"/>
      <c r="E32" s="28" t="n"/>
      <c r="F32" s="27" t="n"/>
      <c r="G32" s="4" t="n"/>
      <c r="H32">
        <f>IF($A32="","",IF(AND(ISNUMBER($E32),$E32&gt;0,$G32="No"),"⚠ distributed, no acknowledgment",""))</f>
        <v/>
      </c>
    </row>
    <row r="33">
      <c r="A33" s="4" t="n"/>
      <c r="B33" s="4" t="n"/>
      <c r="C33" s="4" t="n"/>
      <c r="D33" s="28" t="n"/>
      <c r="E33" s="28" t="n"/>
      <c r="F33" s="27" t="n"/>
      <c r="G33" s="4" t="n"/>
      <c r="H33">
        <f>IF($A33="","",IF(AND(ISNUMBER($E33),$E33&gt;0,$G33="No"),"⚠ distributed, no acknowledgment",""))</f>
        <v/>
      </c>
    </row>
    <row r="34">
      <c r="A34" s="4" t="n"/>
      <c r="B34" s="4" t="n"/>
      <c r="C34" s="4" t="n"/>
      <c r="D34" s="28" t="n"/>
      <c r="E34" s="28" t="n"/>
      <c r="F34" s="27" t="n"/>
      <c r="G34" s="4" t="n"/>
      <c r="H34">
        <f>IF($A34="","",IF(AND(ISNUMBER($E34),$E34&gt;0,$G34="No"),"⚠ distributed, no acknowledgment",""))</f>
        <v/>
      </c>
    </row>
    <row r="35">
      <c r="A35" s="4" t="n"/>
      <c r="B35" s="4" t="n"/>
      <c r="C35" s="4" t="n"/>
      <c r="D35" s="28" t="n"/>
      <c r="E35" s="28" t="n"/>
      <c r="F35" s="27" t="n"/>
      <c r="G35" s="4" t="n"/>
      <c r="H35">
        <f>IF($A35="","",IF(AND(ISNUMBER($E35),$E35&gt;0,$G35="No"),"⚠ distributed, no acknowledgment",""))</f>
        <v/>
      </c>
    </row>
    <row r="36">
      <c r="A36" s="4" t="n"/>
      <c r="B36" s="4" t="n"/>
      <c r="C36" s="4" t="n"/>
      <c r="D36" s="28" t="n"/>
      <c r="E36" s="28" t="n"/>
      <c r="F36" s="27" t="n"/>
      <c r="G36" s="4" t="n"/>
      <c r="H36">
        <f>IF($A36="","",IF(AND(ISNUMBER($E36),$E36&gt;0,$G36="No"),"⚠ distributed, no acknowledgment",""))</f>
        <v/>
      </c>
    </row>
    <row r="37">
      <c r="A37" s="4" t="n"/>
      <c r="B37" s="4" t="n"/>
      <c r="C37" s="4" t="n"/>
      <c r="D37" s="28" t="n"/>
      <c r="E37" s="28" t="n"/>
      <c r="F37" s="27" t="n"/>
      <c r="G37" s="4" t="n"/>
      <c r="H37">
        <f>IF($A37="","",IF(AND(ISNUMBER($E37),$E37&gt;0,$G37="No"),"⚠ distributed, no acknowledgment",""))</f>
        <v/>
      </c>
    </row>
    <row r="38">
      <c r="A38" s="4" t="n"/>
      <c r="B38" s="4" t="n"/>
      <c r="C38" s="4" t="n"/>
      <c r="D38" s="28" t="n"/>
      <c r="E38" s="28" t="n"/>
      <c r="F38" s="27" t="n"/>
      <c r="G38" s="4" t="n"/>
      <c r="H38">
        <f>IF($A38="","",IF(AND(ISNUMBER($E38),$E38&gt;0,$G38="No"),"⚠ distributed, no acknowledgment",""))</f>
        <v/>
      </c>
    </row>
    <row r="39">
      <c r="A39" s="4" t="n"/>
      <c r="B39" s="4" t="n"/>
      <c r="C39" s="4" t="n"/>
      <c r="D39" s="28" t="n"/>
      <c r="E39" s="28" t="n"/>
      <c r="F39" s="27" t="n"/>
      <c r="G39" s="4" t="n"/>
      <c r="H39">
        <f>IF($A39="","",IF(AND(ISNUMBER($E39),$E39&gt;0,$G39="No"),"⚠ distributed, no acknowledgment",""))</f>
        <v/>
      </c>
    </row>
    <row r="40">
      <c r="A40" s="4" t="n"/>
      <c r="B40" s="4" t="n"/>
      <c r="C40" s="4" t="n"/>
      <c r="D40" s="28" t="n"/>
      <c r="E40" s="28" t="n"/>
      <c r="F40" s="27" t="n"/>
      <c r="G40" s="4" t="n"/>
      <c r="H40">
        <f>IF($A40="","",IF(AND(ISNUMBER($E40),$E40&gt;0,$G40="No"),"⚠ distributed, no acknowledgment",""))</f>
        <v/>
      </c>
    </row>
    <row r="41">
      <c r="A41" s="4" t="n"/>
      <c r="B41" s="4" t="n"/>
      <c r="C41" s="4" t="n"/>
      <c r="D41" s="28" t="n"/>
      <c r="E41" s="28" t="n"/>
      <c r="F41" s="27" t="n"/>
      <c r="G41" s="4" t="n"/>
      <c r="H41">
        <f>IF($A41="","",IF(AND(ISNUMBER($E41),$E41&gt;0,$G41="No"),"⚠ distributed, no acknowledgment",""))</f>
        <v/>
      </c>
    </row>
    <row r="42">
      <c r="A42" s="4" t="n"/>
      <c r="B42" s="4" t="n"/>
      <c r="C42" s="4" t="n"/>
      <c r="D42" s="28" t="n"/>
      <c r="E42" s="28" t="n"/>
      <c r="F42" s="27" t="n"/>
      <c r="G42" s="4" t="n"/>
      <c r="H42">
        <f>IF($A42="","",IF(AND(ISNUMBER($E42),$E42&gt;0,$G42="No"),"⚠ distributed, no acknowledgment",""))</f>
        <v/>
      </c>
    </row>
    <row r="43">
      <c r="A43" s="4" t="n"/>
      <c r="B43" s="4" t="n"/>
      <c r="C43" s="4" t="n"/>
      <c r="D43" s="28" t="n"/>
      <c r="E43" s="28" t="n"/>
      <c r="F43" s="27" t="n"/>
      <c r="G43" s="4" t="n"/>
      <c r="H43">
        <f>IF($A43="","",IF(AND(ISNUMBER($E43),$E43&gt;0,$G43="No"),"⚠ distributed, no acknowledgment",""))</f>
        <v/>
      </c>
    </row>
    <row r="44">
      <c r="A44" s="4" t="n"/>
      <c r="B44" s="4" t="n"/>
      <c r="C44" s="4" t="n"/>
      <c r="D44" s="28" t="n"/>
      <c r="E44" s="28" t="n"/>
      <c r="F44" s="27" t="n"/>
      <c r="G44" s="4" t="n"/>
      <c r="H44">
        <f>IF($A44="","",IF(AND(ISNUMBER($E44),$E44&gt;0,$G44="No"),"⚠ distributed, no acknowledgment",""))</f>
        <v/>
      </c>
    </row>
    <row r="45">
      <c r="A45" s="4" t="n"/>
      <c r="B45" s="4" t="n"/>
      <c r="C45" s="4" t="n"/>
      <c r="D45" s="28" t="n"/>
      <c r="E45" s="28" t="n"/>
      <c r="F45" s="27" t="n"/>
      <c r="G45" s="4" t="n"/>
      <c r="H45">
        <f>IF($A45="","",IF(AND(ISNUMBER($E45),$E45&gt;0,$G45="No"),"⚠ distributed, no acknowledgment",""))</f>
        <v/>
      </c>
    </row>
    <row r="46">
      <c r="A46" s="4" t="n"/>
      <c r="B46" s="4" t="n"/>
      <c r="C46" s="4" t="n"/>
      <c r="D46" s="28" t="n"/>
      <c r="E46" s="28" t="n"/>
      <c r="F46" s="27" t="n"/>
      <c r="G46" s="4" t="n"/>
      <c r="H46">
        <f>IF($A46="","",IF(AND(ISNUMBER($E46),$E46&gt;0,$G46="No"),"⚠ distributed, no acknowledgment",""))</f>
        <v/>
      </c>
    </row>
    <row r="47">
      <c r="A47" s="4" t="n"/>
      <c r="B47" s="4" t="n"/>
      <c r="C47" s="4" t="n"/>
      <c r="D47" s="28" t="n"/>
      <c r="E47" s="28" t="n"/>
      <c r="F47" s="27" t="n"/>
      <c r="G47" s="4" t="n"/>
      <c r="H47">
        <f>IF($A47="","",IF(AND(ISNUMBER($E47),$E47&gt;0,$G47="No"),"⚠ distributed, no acknowledgment",""))</f>
        <v/>
      </c>
    </row>
    <row r="48">
      <c r="A48" s="4" t="n"/>
      <c r="B48" s="4" t="n"/>
      <c r="C48" s="4" t="n"/>
      <c r="D48" s="28" t="n"/>
      <c r="E48" s="28" t="n"/>
      <c r="F48" s="27" t="n"/>
      <c r="G48" s="4" t="n"/>
      <c r="H48">
        <f>IF($A48="","",IF(AND(ISNUMBER($E48),$E48&gt;0,$G48="No"),"⚠ distributed, no acknowledgment",""))</f>
        <v/>
      </c>
    </row>
    <row r="49">
      <c r="A49" s="4" t="n"/>
      <c r="B49" s="4" t="n"/>
      <c r="C49" s="4" t="n"/>
      <c r="D49" s="28" t="n"/>
      <c r="E49" s="28" t="n"/>
      <c r="F49" s="27" t="n"/>
      <c r="G49" s="4" t="n"/>
      <c r="H49">
        <f>IF($A49="","",IF(AND(ISNUMBER($E49),$E49&gt;0,$G49="No"),"⚠ distributed, no acknowledgment",""))</f>
        <v/>
      </c>
    </row>
    <row r="50">
      <c r="A50" s="4" t="n"/>
      <c r="B50" s="4" t="n"/>
      <c r="C50" s="4" t="n"/>
      <c r="D50" s="28" t="n"/>
      <c r="E50" s="28" t="n"/>
      <c r="F50" s="27" t="n"/>
      <c r="G50" s="4" t="n"/>
      <c r="H50">
        <f>IF($A50="","",IF(AND(ISNUMBER($E50),$E50&gt;0,$G50="No"),"⚠ distributed, no acknowledgment",""))</f>
        <v/>
      </c>
    </row>
    <row r="51">
      <c r="A51" s="4" t="n"/>
      <c r="B51" s="4" t="n"/>
      <c r="C51" s="4" t="n"/>
      <c r="D51" s="28" t="n"/>
      <c r="E51" s="28" t="n"/>
      <c r="F51" s="27" t="n"/>
      <c r="G51" s="4" t="n"/>
      <c r="H51">
        <f>IF($A51="","",IF(AND(ISNUMBER($E51),$E51&gt;0,$G51="No"),"⚠ distributed, no acknowledgment",""))</f>
        <v/>
      </c>
    </row>
    <row r="52">
      <c r="A52" s="4" t="n"/>
      <c r="B52" s="4" t="n"/>
      <c r="C52" s="4" t="n"/>
      <c r="D52" s="28" t="n"/>
      <c r="E52" s="28" t="n"/>
      <c r="F52" s="27" t="n"/>
      <c r="G52" s="4" t="n"/>
      <c r="H52">
        <f>IF($A52="","",IF(AND(ISNUMBER($E52),$E52&gt;0,$G52="No"),"⚠ distributed, no acknowledgment",""))</f>
        <v/>
      </c>
    </row>
    <row r="53">
      <c r="A53" s="4" t="n"/>
      <c r="B53" s="4" t="n"/>
      <c r="C53" s="4" t="n"/>
      <c r="D53" s="28" t="n"/>
      <c r="E53" s="28" t="n"/>
      <c r="F53" s="27" t="n"/>
      <c r="G53" s="4" t="n"/>
      <c r="H53">
        <f>IF($A53="","",IF(AND(ISNUMBER($E53),$E53&gt;0,$G53="No"),"⚠ distributed, no acknowledgment",""))</f>
        <v/>
      </c>
    </row>
  </sheetData>
  <sheetProtection selectLockedCells="0" selectUnlockedCells="0" sheet="1" objects="0" insertRows="1" insertHyperlinks="1" autoFilter="0" scenarios="0" formatColumns="0" deleteColumns="1" insertColumns="1" pivotTables="1" deleteRows="1" formatCells="1" formatRows="0" sort="0"/>
  <autoFilter ref="A3:H3"/>
  <dataValidations count="3">
    <dataValidation sqref="B4:B53" showDropDown="0" showInputMessage="0" showErrorMessage="0" allowBlank="1" type="list">
      <formula1>"Confirmed,Pending,Unreachable"</formula1>
    </dataValidation>
    <dataValidation sqref="G4:G53" showDropDown="0" showInputMessage="0" showErrorMessage="0" allowBlank="1" type="list">
      <formula1>"Yes,No"</formula1>
    </dataValidation>
    <dataValidation sqref="D4:E53" showDropDown="0" showInputMessage="0" showErrorMessage="1" allowBlank="1" errorTitle="Negative amount" error="This field cannot be negative." type="decimal"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3.8"/>
  <cols>
    <col width="42" customWidth="1" style="21" min="1" max="1"/>
    <col width="20" customWidth="1" style="21" min="2" max="2"/>
  </cols>
  <sheetData>
    <row r="1" ht="15.6" customHeight="1" s="21">
      <c r="A1" s="1" t="inlineStr">
        <is>
          <t>RECONCILIATION</t>
        </is>
      </c>
    </row>
    <row r="2" ht="14.4" customHeight="1" s="21">
      <c r="A2" s="26" t="inlineStr">
        <is>
          <t>An ORGANIZATIONAL RECORD CHECK, not accounting or legal clearance.</t>
        </is>
      </c>
    </row>
    <row r="4">
      <c r="A4" t="inlineStr">
        <is>
          <t>Starting Estate Cash</t>
        </is>
      </c>
      <c r="B4" s="29">
        <f>'00_START_HERE'!B8</f>
        <v/>
      </c>
    </row>
    <row r="5">
      <c r="A5" t="inlineStr">
        <is>
          <t>Recorded Transaction Inflows</t>
        </is>
      </c>
      <c r="B5" s="29">
        <f>SUM('05_ESTATE_TRANSACTIONS'!$G$4:$G$503)</f>
        <v/>
      </c>
    </row>
    <row r="6">
      <c r="A6" t="inlineStr">
        <is>
          <t>Recorded Transaction Outflows</t>
        </is>
      </c>
      <c r="B6" s="29">
        <f>SUM('05_ESTATE_TRANSACTIONS'!$H$4:$H$503)</f>
        <v/>
      </c>
    </row>
    <row r="7">
      <c r="A7" t="inlineStr">
        <is>
          <t>Expected Ending Estate Cash</t>
        </is>
      </c>
      <c r="B7" s="29">
        <f>B4+B5-B6</f>
        <v/>
      </c>
    </row>
    <row r="8">
      <c r="A8" t="inlineStr">
        <is>
          <t>Actual Estate Cash Balance</t>
        </is>
      </c>
      <c r="B8" s="29">
        <f>'00_START_HERE'!B9</f>
        <v/>
      </c>
    </row>
    <row r="9">
      <c r="A9" t="inlineStr">
        <is>
          <t>Reconciliation Difference (Actual - Expected)</t>
        </is>
      </c>
      <c r="B9" s="29">
        <f>B8-B7</f>
        <v/>
      </c>
    </row>
    <row r="10">
      <c r="A10" t="inlineStr">
        <is>
          <t>Transactions Missing Evidence (count)</t>
        </is>
      </c>
      <c r="B10" s="11">
        <f>COUNTIF('05_ESTATE_TRANSACTIONS'!$K$4:$K$503,"Missing")</f>
        <v/>
      </c>
    </row>
    <row r="11">
      <c r="A11" t="inlineStr">
        <is>
          <t>Transactions Flagged (both inflow &amp; outflow)</t>
        </is>
      </c>
      <c r="B11" s="11">
        <f>COUNTIF('05_ESTATE_TRANSACTIONS'!$L$4:$L$503,"⚠ both inflow and outflow entered")</f>
        <v/>
      </c>
    </row>
    <row r="13">
      <c r="A13" s="3" t="inlineStr">
        <is>
          <t>Status</t>
        </is>
      </c>
      <c r="B13">
        <f>IF(AND(B4=0,B5=0,B6=0),"Not yet started",IF(AND(ABS(B9)&lt;0.005,B10=0,B11=0),"Balanced","Review Needed"))</f>
        <v/>
      </c>
    </row>
    <row r="15" ht="14.4" customHeight="1" s="21">
      <c r="A15" s="23" t="inlineStr">
        <is>
          <t>A "Review Needed" or non-zero difference means the recorded transactions don't match your actual bank balance, or a record needs evidence — it is a prompt to review your entries, not a legal or accounting conclusion.</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5:B15"/>
  </mergeCells>
  <pageMargins left="0.75" right="0.75" top="1" bottom="1" header="0.5" footer="0.5"/>
  <pageSetup orientation="portrait"/>
</worksheet>
</file>

<file path=xl/worksheets/sheet12.xml><?xml version="1.0" encoding="utf-8"?>
<worksheet xmlns="http://schemas.openxmlformats.org/spreadsheetml/2006/main">
  <sheetPr>
    <outlinePr summaryBelow="1" summaryRight="1"/>
    <pageSetUpPr fitToPage="1"/>
  </sheetPr>
  <dimension ref="A1:B16"/>
  <sheetViews>
    <sheetView workbookViewId="0">
      <selection activeCell="A1" sqref="A1"/>
    </sheetView>
  </sheetViews>
  <sheetFormatPr baseColWidth="8" defaultRowHeight="13.8"/>
  <cols>
    <col width="44" customWidth="1" style="21" min="1" max="1"/>
    <col width="16" customWidth="1" style="21" min="2" max="2"/>
  </cols>
  <sheetData>
    <row r="1" ht="15.6" customHeight="1" s="21">
      <c r="A1" s="1" t="inlineStr">
        <is>
          <t>CLOSEOUT REVIEW</t>
        </is>
      </c>
    </row>
    <row r="2" ht="14.4" customHeight="1" s="21">
      <c r="A2" s="26" t="inlineStr">
        <is>
          <t>An organizational completeness check only — see the disclaimer below.</t>
        </is>
      </c>
    </row>
    <row r="4">
      <c r="A4" t="inlineStr">
        <is>
          <t>Open Tasks (count)</t>
        </is>
      </c>
      <c r="B4" s="11">
        <f>COUNTIF('02_ACTION_ROADMAP'!$G$4:$G$203,"Open")+COUNTIF('02_ACTION_ROADMAP'!$G$4:$G$203,"Waiting")+COUNTIF('02_ACTION_ROADMAP'!$G$4:$G$203,"Blocked")</f>
        <v/>
      </c>
    </row>
    <row r="5">
      <c r="A5" t="inlineStr">
        <is>
          <t>Overdue Tasks (count)</t>
        </is>
      </c>
      <c r="B5" s="11">
        <f>COUNTIF('02_ACTION_ROADMAP'!$L$4:$L$203,"⚠ overdue")</f>
        <v/>
      </c>
    </row>
    <row r="6">
      <c r="A6" t="inlineStr">
        <is>
          <t>Unresolved Assets (count)</t>
        </is>
      </c>
      <c r="B6" s="11">
        <f>COUNTIF('03_ASSET_REGISTER'!$M$4:$M$103,"⚠ not located")+COUNTIF('03_ASSET_REGISTER'!$M$4:$M$103,"⚠ unresolved disposition")</f>
        <v/>
      </c>
    </row>
    <row r="7">
      <c r="A7" t="inlineStr">
        <is>
          <t>Unpaid Verified / Disputed Liabilities (count)</t>
        </is>
      </c>
      <c r="B7" s="11">
        <f>COUNTIF('04_LIABILITY_REGISTER'!$K$4:$K$103,"⚠ unpaid verified balance")+COUNTIF('04_LIABILITY_REGISTER'!$K$4:$K$103,"⚠ disputed item")</f>
        <v/>
      </c>
    </row>
    <row r="8">
      <c r="A8" t="inlineStr">
        <is>
          <t>Outstanding Documents (count)</t>
        </is>
      </c>
      <c r="B8" s="11">
        <f>COUNTIF('07_DOCUMENT_CONTROL'!$I$4:$I$153,"⚠ outstanding item")+COUNTIF('07_DOCUMENT_CONTROL'!$I$4:$I$153,"⚠ requested &gt;14 days ago")</f>
        <v/>
      </c>
    </row>
    <row r="9">
      <c r="A9" t="inlineStr">
        <is>
          <t>Pending/Outstanding Reimbursements ($)</t>
        </is>
      </c>
      <c r="B9" s="29">
        <f>SUMIF('06_EXPENSES_REIMBURSEMENTS'!$L$4:$L$303,"&gt;0")</f>
        <v/>
      </c>
    </row>
    <row r="10">
      <c r="A10" t="inlineStr">
        <is>
          <t>Beneficiary-Record Flags (count)</t>
        </is>
      </c>
      <c r="B10" s="11">
        <f>COUNTIF('09_BENEFICIARIES_DISTRIBUTIONS'!$H$4:$H$53,"⚠ distributed, no acknowledgment")</f>
        <v/>
      </c>
    </row>
    <row r="11">
      <c r="A11" t="inlineStr">
        <is>
          <t>Reconciliation Difference ($)</t>
        </is>
      </c>
      <c r="B11" s="29">
        <f>'10_RECONCILIATION'!B9</f>
        <v/>
      </c>
    </row>
    <row r="12">
      <c r="A12" t="inlineStr">
        <is>
          <t>Transactions Missing Evidence (count)</t>
        </is>
      </c>
      <c r="B12" s="11">
        <f>'10_RECONCILIATION'!B10</f>
        <v/>
      </c>
    </row>
    <row r="14" ht="16.8" customHeight="1" s="21">
      <c r="A14" s="8" t="inlineStr">
        <is>
          <t>ORGANIZATIONAL CLOSEOUT STATUS</t>
        </is>
      </c>
      <c r="B14" s="14">
        <f>IF(NOT(OR('02_ACTION_ROADMAP'!$A$4&lt;&gt;"",'03_ASSET_REGISTER'!$A$4&lt;&gt;"",'04_LIABILITY_REGISTER'!$A$4&lt;&gt;"",'05_ESTATE_TRANSACTIONS'!$A$4&lt;&gt;"")),"SET UP ESTATE",IF(AND('10_RECONCILIATION'!B4=0,'10_RECONCILIATION'!B8=0),"NOT READY",IF(OR($B5&gt;0,$B6&gt;0,$B7&gt;0,$B9&gt;0,$B10&gt;0,ABS($B11)&gt;=0.005,$B12&gt;0),"REVIEW","ORGANIZATION COMPLETE")))</f>
        <v/>
      </c>
    </row>
    <row r="16" ht="109.95" customHeight="1" s="21">
      <c r="A16" s="25" t="inlineStr">
        <is>
          <t>"Organization Complete" means this workbook's OWN organizational flags are clear. It never means probate is complete, taxes are complete, the estate is legally ready, or it is safe to distribute or close the estate. Always confirm final closeout with a qualified attorney or accountant.</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6:B16"/>
  </mergeCells>
  <conditionalFormatting sqref="B14">
    <cfRule type="cellIs" priority="1" operator="equal" dxfId="2">
      <formula>"ORGANIZATION COMPLETE"</formula>
    </cfRule>
    <cfRule type="cellIs" priority="2" operator="equal" dxfId="1">
      <formula>"REVIEW"</formula>
    </cfRule>
    <cfRule type="cellIs" priority="3" operator="equal" dxfId="0">
      <formula>"NOT READY"</formula>
    </cfRule>
  </conditionalFormatting>
  <pageMargins left="0.75" right="0.75" top="1" bottom="1" header="0.5" footer="0.5"/>
  <pageSetup orientation="portrait"/>
</worksheet>
</file>

<file path=xl/worksheets/sheet13.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3.8"/>
  <cols>
    <col width="40" customWidth="1" style="21" min="1" max="1"/>
    <col width="20" customWidth="1" style="21" min="2" max="2"/>
  </cols>
  <sheetData>
    <row r="1" ht="15.6" customHeight="1" s="21">
      <c r="A1" s="1" t="inlineStr">
        <is>
          <t>ESTATE SNAPSHOT (printable)</t>
        </is>
      </c>
    </row>
    <row r="3">
      <c r="A3" t="inlineStr">
        <is>
          <t>Estate</t>
        </is>
      </c>
      <c r="B3">
        <f>'00_START_HERE'!B4</f>
        <v/>
      </c>
    </row>
    <row r="4">
      <c r="A4" t="inlineStr">
        <is>
          <t>Executor</t>
        </is>
      </c>
      <c r="B4">
        <f>'00_START_HERE'!B7</f>
        <v/>
      </c>
    </row>
    <row r="5">
      <c r="A5" t="inlineStr">
        <is>
          <t>Assets Identified</t>
        </is>
      </c>
      <c r="B5">
        <f>COUNTIF('03_ASSET_REGISTER'!$A$4:$A$103,"&lt;&gt;")</f>
        <v/>
      </c>
    </row>
    <row r="6">
      <c r="A6" t="inlineStr">
        <is>
          <t>Known Liabilities</t>
        </is>
      </c>
      <c r="B6">
        <f>COUNTIF('04_LIABILITY_REGISTER'!$A$4:$A$103,"&lt;&gt;")</f>
        <v/>
      </c>
    </row>
    <row r="7">
      <c r="A7" t="inlineStr">
        <is>
          <t>Expected Estate Cash</t>
        </is>
      </c>
      <c r="B7" s="29">
        <f>'10_RECONCILIATION'!B7</f>
        <v/>
      </c>
    </row>
    <row r="8">
      <c r="A8" t="inlineStr">
        <is>
          <t>Actual Estate Cash Balance</t>
        </is>
      </c>
      <c r="B8" s="29">
        <f>'10_RECONCILIATION'!B8</f>
        <v/>
      </c>
    </row>
    <row r="9">
      <c r="A9" t="inlineStr">
        <is>
          <t>Reconciliation Difference</t>
        </is>
      </c>
      <c r="B9" s="29">
        <f>'10_RECONCILIATION'!B9</f>
        <v/>
      </c>
    </row>
    <row r="10">
      <c r="A10" t="inlineStr">
        <is>
          <t>Organizational Closeout Status</t>
        </is>
      </c>
      <c r="B10">
        <f>'11_CLOSEOUT_REVIEW'!B14</f>
        <v/>
      </c>
    </row>
    <row r="13" ht="15.6" customHeight="1" s="21">
      <c r="A13" s="19" t="inlineStr">
        <is>
          <t>OPEN ISSUES SNAPSHOT</t>
        </is>
      </c>
    </row>
    <row r="14">
      <c r="A14" t="inlineStr">
        <is>
          <t>Overdue Tasks</t>
        </is>
      </c>
      <c r="B14">
        <f>'11_CLOSEOUT_REVIEW'!B5</f>
        <v/>
      </c>
    </row>
    <row r="15">
      <c r="A15" t="inlineStr">
        <is>
          <t>Unresolved Assets</t>
        </is>
      </c>
      <c r="B15">
        <f>'11_CLOSEOUT_REVIEW'!B6</f>
        <v/>
      </c>
    </row>
    <row r="16">
      <c r="A16" t="inlineStr">
        <is>
          <t>Unpaid/Disputed Liabilities</t>
        </is>
      </c>
      <c r="B16">
        <f>'11_CLOSEOUT_REVIEW'!B7</f>
        <v/>
      </c>
    </row>
    <row r="17">
      <c r="A17" t="inlineStr">
        <is>
          <t>Outstanding Documents</t>
        </is>
      </c>
      <c r="B17">
        <f>'11_CLOSEOUT_REVIEW'!B8</f>
        <v/>
      </c>
    </row>
    <row r="20" ht="14.4" customHeight="1" s="21">
      <c r="A20" s="26" t="inlineStr">
        <is>
          <t>This is an organizational snapshot for your own records, not a legal, tax, or accounting document.</t>
        </is>
      </c>
    </row>
  </sheetData>
  <sheetProtection selectLockedCells="0" selectUnlockedCells="0" sheet="1" objects="0" insertRows="1" insertHyperlinks="1" autoFilter="0" scenarios="0" formatColumns="0" deleteColumns="1" insertColumns="1" pivotTables="1" deleteRows="1" formatCells="1" formatRows="0" sort="0"/>
  <mergeCells count="1">
    <mergeCell ref="A20:B20"/>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2026-09-22T12:23:01Z</dcterms:created>
  <dcterms:modified xsi:type="dcterms:W3CDTF">2026-09-28T05:50:38Z</dcterms:modified>
  <cp:lastModifiedBy>אסף קינן</cp:lastModifiedBy>
</cp:coreProperties>
</file>