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name="Start Here" sheetId="1" state="hidden" r:id="rId1"/>
    <sheet name="Parent &amp; Family Setup" sheetId="2" state="hidden" r:id="rId2"/>
    <sheet name="Bills &amp; Recurring Payments" sheetId="3" state="hidden" r:id="rId3"/>
    <sheet name="Expenses &amp; Receipts" sheetId="4" state="visible" r:id="rId4"/>
    <sheet name="Family Contributions" sheetId="5" state="visible" r:id="rId5"/>
    <sheet name="Accounts &amp; Important Documents" sheetId="6" state="hidden" r:id="rId6"/>
    <sheet name="Subscriptions Review" sheetId="7" state="hidden" r:id="rId7"/>
    <sheet name="Decisions &amp; Handoff Log" sheetId="8" state="hidden" r:id="rId8"/>
    <sheet name="Monthly Family Handoff" sheetId="9" state="hidden" r:id="rId9"/>
    <sheet name="Dashboard" sheetId="10" state="visible" r:id="rId10"/>
  </sheets>
  <definedNames>
    <definedName name="_xlnm.Print_Area" localSheetId="3">'Expenses &amp; Receipts'!$A$3:$N$10</definedName>
    <definedName name="_xlnm.Print_Area" localSheetId="4">'Family Contributions'!$A$3:$J$11</definedName>
    <definedName name="_xlnm.Print_Area" localSheetId="9">'Dashboard'!$A$1:$B$10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[$-409]mmm d, yyyy;@"/>
    <numFmt numFmtId="166" formatCode="[$-409]mmm yyyy;@"/>
  </numFmts>
  <fonts count="13">
    <font>
      <name val="Calibri"/>
      <family val="2"/>
      <color theme="1"/>
      <sz val="11"/>
      <scheme val="minor"/>
    </font>
    <font>
      <b val="1"/>
      <color rgb="001B3A57"/>
      <sz val="14"/>
    </font>
    <font>
      <b val="1"/>
      <color rgb="001B3A57"/>
    </font>
    <font>
      <color rgb="001155CC"/>
      <u val="single"/>
    </font>
    <font>
      <b val="1"/>
    </font>
    <font>
      <b val="1"/>
      <color rgb="00C0392B"/>
    </font>
    <font>
      <i val="1"/>
      <color rgb="005D6D7E"/>
    </font>
    <font>
      <b val="1"/>
      <color rgb="00FFFFFF"/>
      <sz val="12"/>
    </font>
    <font>
      <i val="1"/>
      <color rgb="00C0392B"/>
    </font>
    <font>
      <b val="1"/>
      <color rgb="001B3A57"/>
      <sz val="12"/>
    </font>
    <font>
      <b val="1"/>
      <i val="1"/>
      <color rgb="005D6D7E"/>
    </font>
    <font>
      <name val="Calibri"/>
      <b val="1"/>
      <color rgb="00FFFFFF"/>
      <sz val="12"/>
    </font>
    <font>
      <name val="Calibri"/>
      <b val="1"/>
      <color rgb="001B3A57"/>
      <sz val="14"/>
    </font>
  </fonts>
  <fills count="4">
    <fill>
      <patternFill/>
    </fill>
    <fill>
      <patternFill patternType="gray125"/>
    </fill>
    <fill>
      <patternFill patternType="solid">
        <fgColor rgb="001B3A57"/>
        <bgColor rgb="001B3A57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7" fillId="2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1" fillId="0" borderId="0" pivotButton="0" quotePrefix="0" xfId="0"/>
    <xf numFmtId="0" fontId="0" fillId="3" borderId="0" applyProtection="1" pivotButton="0" quotePrefix="0" xfId="0">
      <protection locked="0" hidden="0"/>
    </xf>
    <xf numFmtId="164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164" fontId="0" fillId="0" borderId="0" pivotButton="0" quotePrefix="0" xfId="0"/>
    <xf numFmtId="0" fontId="8" fillId="0" borderId="0" applyAlignment="1" pivotButton="0" quotePrefix="0" xfId="0">
      <alignment wrapText="1"/>
    </xf>
    <xf numFmtId="0" fontId="6" fillId="0" borderId="0" pivotButton="0" quotePrefix="0" xfId="0"/>
    <xf numFmtId="1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166" fontId="0" fillId="0" borderId="0" pivotButton="0" quotePrefix="0" xfId="0"/>
    <xf numFmtId="165" fontId="0" fillId="3" borderId="0" applyProtection="1" pivotButton="0" quotePrefix="0" xfId="0">
      <protection locked="0" hidden="0"/>
    </xf>
    <xf numFmtId="0" fontId="11" fillId="2" borderId="0" pivotButton="0" quotePrefix="0" xfId="0"/>
    <xf numFmtId="0" fontId="12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D7DA"/>
          <bgColor rgb="00F8D7DA"/>
        </patternFill>
      </fill>
    </dxf>
    <dxf>
      <fill>
        <patternFill patternType="solid">
          <fgColor rgb="00FDE9CE"/>
          <bgColor rgb="00FDE9CE"/>
        </patternFill>
      </fill>
    </dxf>
    <dxf>
      <fill>
        <patternFill patternType="solid">
          <fgColor rgb="00D4EDDA"/>
          <bgColor rgb="00D4ED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Expenses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'Dashboard'!B92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'Dashboard'!$A$93</f>
            </numRef>
          </cat>
          <val>
            <numRef>
              <f>'Dashboard'!$B$93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'Dashboard'!B96</f>
            </strRef>
          </tx>
          <spPr>
            <a:ln>
              <a:prstDash val="solid"/>
            </a:ln>
          </spPr>
          <cat>
            <numRef>
              <f>'Dashboard'!$A$97:$A$105</f>
            </numRef>
          </cat>
          <val>
            <numRef>
              <f>'Dashboard'!$B$97:$B$105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Paid By Family Member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'Dashboard'!B108</f>
            </strRef>
          </tx>
          <spPr>
            <a:ln>
              <a:prstDash val="solid"/>
            </a:ln>
          </spPr>
          <cat>
            <numRef>
              <f>'Dashboard'!$A$109:$A$114</f>
            </numRef>
          </cat>
          <val>
            <numRef>
              <f>'Dashboard'!$B$109:$B$114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Reimbursement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'Dashboard'!B117</f>
            </strRef>
          </tx>
          <spPr>
            <a:ln>
              <a:prstDash val="solid"/>
            </a:ln>
          </spPr>
          <cat>
            <numRef>
              <f>'Dashboard'!$A$118:$A$122</f>
            </numRef>
          </cat>
          <val>
            <numRef>
              <f>'Dashboard'!$B$118:$B$122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Recurring Costs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'Dashboard'!B125</f>
            </strRef>
          </tx>
          <spPr>
            <a:ln>
              <a:prstDash val="solid"/>
            </a:ln>
          </spPr>
          <cat>
            <numRef>
              <f>'Dashboard'!$A$126:$A$137</f>
            </numRef>
          </cat>
          <val>
            <numRef>
              <f>'Dashboard'!$B$126:$B$137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Family Contribution vs Expense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'Dashboard'!B140</f>
            </strRef>
          </tx>
          <spPr>
            <a:ln>
              <a:prstDash val="solid"/>
            </a:ln>
          </spPr>
          <cat>
            <numRef>
              <f>'Dashboard'!$A$141:$A$146</f>
            </numRef>
          </cat>
          <val>
            <numRef>
              <f>'Dashboard'!$B$141:$B$146</f>
            </numRef>
          </val>
        </ser>
        <ser>
          <idx val="1"/>
          <order val="1"/>
          <tx>
            <strRef>
              <f>'Dashboard'!C140</f>
            </strRef>
          </tx>
          <spPr>
            <a:ln>
              <a:prstDash val="solid"/>
            </a:ln>
          </spPr>
          <cat>
            <numRef>
              <f>'Dashboard'!$A$141:$A$146</f>
            </numRef>
          </cat>
          <val>
            <numRef>
              <f>'Dashboard'!$C$141:$C$146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1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18</row>
      <rowOff>0</rowOff>
    </from>
    <ext cx="540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12</col>
      <colOff>0</colOff>
      <row>18</row>
      <rowOff>0</rowOff>
    </from>
    <ext cx="540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3</col>
      <colOff>0</colOff>
      <row>35</row>
      <rowOff>0</rowOff>
    </from>
    <ext cx="540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12</col>
      <colOff>0</colOff>
      <row>35</row>
      <rowOff>0</rowOff>
    </from>
    <ext cx="540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arent &amp; Family Setup'!A1" TargetMode="External" Id="rId1" /><Relationship Type="http://schemas.openxmlformats.org/officeDocument/2006/relationships/hyperlink" Target="#'Bills &amp; Recurring Payments'!A1" TargetMode="External" Id="rId2" /><Relationship Type="http://schemas.openxmlformats.org/officeDocument/2006/relationships/hyperlink" Target="#'Expenses &amp; Receipts'!A1" TargetMode="External" Id="rId3" /><Relationship Type="http://schemas.openxmlformats.org/officeDocument/2006/relationships/hyperlink" Target="#'Family Contributions'!A1" TargetMode="External" Id="rId4" /><Relationship Type="http://schemas.openxmlformats.org/officeDocument/2006/relationships/hyperlink" Target="#'Accounts &amp; Important Documents'!A1" TargetMode="External" Id="rId5" /><Relationship Type="http://schemas.openxmlformats.org/officeDocument/2006/relationships/hyperlink" Target="#'Subscriptions Review'!A1" TargetMode="External" Id="rId6" /><Relationship Type="http://schemas.openxmlformats.org/officeDocument/2006/relationships/hyperlink" Target="#'Decisions &amp; Handoff Log'!A1" TargetMode="External" Id="rId7" /><Relationship Type="http://schemas.openxmlformats.org/officeDocument/2006/relationships/hyperlink" Target="#'Dashboard'!A1" TargetMode="External" Id="rId8" /><Relationship Type="http://schemas.openxmlformats.org/officeDocument/2006/relationships/hyperlink" Target="#'Monthly Family Handoff'!A1" TargetMode="External" Id="rId9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1" t="inlineStr">
        <is>
          <t>WELCOME — YOUR AGING PARENT FINANCIAL ORGANIZER</t>
        </is>
      </c>
    </row>
    <row r="2">
      <c r="A2" s="2" t="inlineStr">
        <is>
          <t>A calm, organized system for family caregiving finances: who paid what, who should reimburse whom, recurring bills, important accounts and documents, subscriptions worth reviewing, family decisions, and a simple monthly handoff any sibling can pick up. Pre-loaded with a realistic sample family so you can see it working before you enter your own.</t>
        </is>
      </c>
    </row>
    <row r="4">
      <c r="A4" t="inlineStr">
        <is>
          <t>Step 0 — Go to File &gt; Make a Copy to save this to your own Google Drive. Always work from your own copy, never the original.</t>
        </is>
      </c>
    </row>
    <row r="6">
      <c r="A6" s="3" t="inlineStr">
        <is>
          <t>QUICK NAVIGATION — click a tab name to jump there</t>
        </is>
      </c>
    </row>
    <row r="7">
      <c r="A7" s="4" t="inlineStr">
        <is>
          <t>→ Parent &amp; Family Setup</t>
        </is>
      </c>
    </row>
    <row r="8">
      <c r="A8" s="4" t="inlineStr">
        <is>
          <t>→ Bills &amp; Recurring Payments</t>
        </is>
      </c>
    </row>
    <row r="9">
      <c r="A9" s="4" t="inlineStr">
        <is>
          <t>→ Expenses &amp; Receipts</t>
        </is>
      </c>
    </row>
    <row r="10">
      <c r="A10" s="4" t="inlineStr">
        <is>
          <t>→ Family Contributions</t>
        </is>
      </c>
    </row>
    <row r="11">
      <c r="A11" s="4" t="inlineStr">
        <is>
          <t>→ Accounts &amp; Important Documents</t>
        </is>
      </c>
    </row>
    <row r="12">
      <c r="A12" s="4" t="inlineStr">
        <is>
          <t>→ Subscriptions Review</t>
        </is>
      </c>
    </row>
    <row r="13">
      <c r="A13" s="4" t="inlineStr">
        <is>
          <t>→ Decisions &amp; Handoff Log</t>
        </is>
      </c>
    </row>
    <row r="14">
      <c r="A14" s="4" t="inlineStr">
        <is>
          <t>→ Dashboard</t>
        </is>
      </c>
    </row>
    <row r="15">
      <c r="A15" s="4" t="inlineStr">
        <is>
          <t>→ Monthly Family Handoff</t>
        </is>
      </c>
    </row>
    <row r="17">
      <c r="A17" s="3" t="inlineStr">
        <is>
          <t>GET SET UP IN UNDER 5 MINUTES</t>
        </is>
      </c>
    </row>
    <row r="18">
      <c r="A18" s="2" t="inlineStr">
        <is>
          <t>STEP 1: Go to Parent &amp; Family Setup — fill in the parent profile and list each family member helping out.</t>
        </is>
      </c>
    </row>
    <row r="19">
      <c r="A19" s="2" t="inlineStr">
        <is>
          <t>STEP 2: Go to Bills &amp; Recurring Payments — list the recurring bills and who's responsible for each.</t>
        </is>
      </c>
    </row>
    <row r="20">
      <c r="A20" s="2" t="inlineStr">
        <is>
          <t>STEP 3: Go to Expenses &amp; Receipts — log each expense as it happens: who paid, and whether it's reimbursable.</t>
        </is>
      </c>
    </row>
    <row r="21">
      <c r="A21" s="2" t="inlineStr">
        <is>
          <t>STEP 4: Go to Family Contributions — record reimbursement payments as they come in.</t>
        </is>
      </c>
    </row>
    <row r="22">
      <c r="A22" s="2" t="inlineStr">
        <is>
          <t>STEP 5: Check the Dashboard — pending reimbursements, upcoming bills, and open items all update automatically.</t>
        </is>
      </c>
    </row>
    <row r="25">
      <c r="A25" s="3" t="inlineStr">
        <is>
          <t>WHAT THIS PRODUCT DOES</t>
        </is>
      </c>
    </row>
    <row r="26">
      <c r="A26" s="2" t="inlineStr">
        <is>
          <t>Organizes family caregiving money: expenses, reimbursements, recurring bills, an account/document map, a subscription review, a family decision log, and a simple monthly handoff summary.</t>
        </is>
      </c>
    </row>
    <row r="28">
      <c r="A28" s="3" t="inlineStr">
        <is>
          <t>WHAT THIS PRODUCT DOES NOT DO</t>
        </is>
      </c>
    </row>
    <row r="29">
      <c r="A29" s="2" t="inlineStr">
        <is>
          <t>It is not legal, tax, accounting, medical, benefits, or fiduciary advice. It does not calculate Medicaid/Medicare eligibility, estate plans, or POA compliance, and it does not store passwords or account credentials.</t>
        </is>
      </c>
    </row>
    <row r="31">
      <c r="A31" s="3" t="inlineStr">
        <is>
          <t>WHAT THE COLORS MEAN</t>
        </is>
      </c>
    </row>
    <row r="32">
      <c r="A32" s="5" t="inlineStr">
        <is>
          <t>YELLOW</t>
        </is>
      </c>
      <c r="B32" t="inlineStr">
        <is>
          <t>YOU TYPE HERE.</t>
        </is>
      </c>
    </row>
    <row r="33">
      <c r="A33" s="5" t="inlineStr">
        <is>
          <t>WHITE</t>
        </is>
      </c>
      <c r="B33" t="inlineStr">
        <is>
          <t>AUTOMATIC — calculated for you. Don't type over these.</t>
        </is>
      </c>
    </row>
    <row r="35">
      <c r="A35" s="6" t="inlineStr">
        <is>
          <t>⚠ PRIVACY — DO NOT STORE IN THIS SPREADSHEET:</t>
        </is>
      </c>
    </row>
    <row r="36">
      <c r="A36" s="2" t="inlineStr">
        <is>
          <t>Passwords, PINs, Social Security numbers, full bank account numbers, login credentials, or highly sensitive identity information. Use last-4-digits, a document location, or a responsible person's name instead. Medical diagnosis details should only be added if you personally choose to and understand the risk.</t>
        </is>
      </c>
    </row>
    <row r="38">
      <c r="A38" s="2" t="inlineStr">
        <is>
          <t>Google Sheets &amp; Excel compatible — both included. No software to install for the Google Sheets version.</t>
        </is>
      </c>
    </row>
    <row r="40">
      <c r="A40" s="7" t="inlineStr">
        <is>
          <t>DISCLAIMER: This is an organizational and recordkeeping tool only. It is not legal, tax, accounting, medical, benefits, or fiduciary advice, and does not constitute audit-proof or court-ready evidence. Always consult a qualified professional for legal, tax, or medical questions.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hyperlinks>
    <hyperlink xmlns:r="http://schemas.openxmlformats.org/officeDocument/2006/relationships" ref="A7" r:id="rId1"/>
    <hyperlink xmlns:r="http://schemas.openxmlformats.org/officeDocument/2006/relationships" ref="A8" r:id="rId2"/>
    <hyperlink xmlns:r="http://schemas.openxmlformats.org/officeDocument/2006/relationships" ref="A9" r:id="rId3"/>
    <hyperlink xmlns:r="http://schemas.openxmlformats.org/officeDocument/2006/relationships" ref="A10" r:id="rId4"/>
    <hyperlink xmlns:r="http://schemas.openxmlformats.org/officeDocument/2006/relationships" ref="A11" r:id="rId5"/>
    <hyperlink xmlns:r="http://schemas.openxmlformats.org/officeDocument/2006/relationships" ref="A12" r:id="rId6"/>
    <hyperlink xmlns:r="http://schemas.openxmlformats.org/officeDocument/2006/relationships" ref="A13" r:id="rId7"/>
    <hyperlink xmlns:r="http://schemas.openxmlformats.org/officeDocument/2006/relationships" ref="A14" r:id="rId8"/>
    <hyperlink xmlns:r="http://schemas.openxmlformats.org/officeDocument/2006/relationships" ref="A15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26" customWidth="1" min="4" max="4"/>
    <col width="26" customWidth="1" min="5" max="5"/>
    <col width="12" customWidth="1" min="6" max="6"/>
    <col width="16" customWidth="1" min="7" max="7"/>
    <col width="34" customWidth="1" min="8" max="8"/>
  </cols>
  <sheetData>
    <row r="1">
      <c r="A1" s="8" t="inlineStr">
        <is>
          <t>PARENT PROFILE</t>
        </is>
      </c>
    </row>
    <row r="3">
      <c r="A3" s="5" t="inlineStr">
        <is>
          <t>Parent ID</t>
        </is>
      </c>
      <c r="B3" s="9" t="inlineStr">
        <is>
          <t>PARENT1</t>
        </is>
      </c>
    </row>
    <row r="4">
      <c r="A4" s="5" t="inlineStr">
        <is>
          <t>Parent Name</t>
        </is>
      </c>
      <c r="B4" s="9" t="inlineStr">
        <is>
          <t>Eleanor Brooks</t>
        </is>
      </c>
    </row>
    <row r="5">
      <c r="A5" s="5" t="inlineStr">
        <is>
          <t>Household</t>
        </is>
      </c>
      <c r="B5" s="9" t="inlineStr">
        <is>
          <t>Eleanor's apartment, Riverside Commons</t>
        </is>
      </c>
    </row>
    <row r="6">
      <c r="A6" s="5" t="inlineStr">
        <is>
          <t>Primary Financial Contact</t>
        </is>
      </c>
      <c r="B6" s="9" t="inlineStr">
        <is>
          <t>Sarah Chen</t>
        </is>
      </c>
    </row>
    <row r="7">
      <c r="A7" s="5" t="inlineStr">
        <is>
          <t>Notes</t>
        </is>
      </c>
      <c r="B7" s="9" t="inlineStr">
        <is>
          <t>Primary residence; moved from house in 2024.</t>
        </is>
      </c>
    </row>
    <row r="10">
      <c r="A10" s="8" t="inlineStr">
        <is>
          <t>FAMILY / CAREGIVER TABLE</t>
        </is>
      </c>
    </row>
    <row r="12">
      <c r="A12" s="1" t="inlineStr">
        <is>
          <t>Person ID</t>
        </is>
      </c>
      <c r="B12" s="1" t="inlineStr">
        <is>
          <t>Name</t>
        </is>
      </c>
      <c r="C12" s="1" t="inlineStr">
        <is>
          <t>Relationship</t>
        </is>
      </c>
      <c r="D12" s="1" t="inlineStr">
        <is>
          <t>Role</t>
        </is>
      </c>
      <c r="E12" s="1" t="inlineStr">
        <is>
          <t>Email / Contact Note</t>
        </is>
      </c>
      <c r="F12" s="1" t="inlineStr">
        <is>
          <t>Active?</t>
        </is>
      </c>
      <c r="G12" s="1" t="inlineStr">
        <is>
          <t>Reimbursement Eligible?</t>
        </is>
      </c>
      <c r="H12" s="1" t="inlineStr">
        <is>
          <t>Notes</t>
        </is>
      </c>
    </row>
    <row r="13">
      <c r="A13" s="9" t="inlineStr">
        <is>
          <t>F1</t>
        </is>
      </c>
      <c r="B13" s="9" t="inlineStr">
        <is>
          <t>Sarah Chen</t>
        </is>
      </c>
      <c r="C13" s="9" t="inlineStr">
        <is>
          <t>Daughter</t>
        </is>
      </c>
      <c r="D13" s="9" t="inlineStr">
        <is>
          <t>Primary Caregiver</t>
        </is>
      </c>
      <c r="E13" s="9" t="inlineStr">
        <is>
          <t>sarah.chen@example.com</t>
        </is>
      </c>
      <c r="F13" s="9" t="inlineStr">
        <is>
          <t>Active</t>
        </is>
      </c>
      <c r="G13" s="9" t="inlineStr">
        <is>
          <t>Yes</t>
        </is>
      </c>
      <c r="H13" s="9" t="inlineStr">
        <is>
          <t>Handles most day-to-day bills and appointments.</t>
        </is>
      </c>
    </row>
    <row r="14">
      <c r="A14" s="9" t="inlineStr">
        <is>
          <t>F2</t>
        </is>
      </c>
      <c r="B14" s="9" t="inlineStr">
        <is>
          <t>Michael Brooks</t>
        </is>
      </c>
      <c r="C14" s="9" t="inlineStr">
        <is>
          <t>Son</t>
        </is>
      </c>
      <c r="D14" s="9" t="inlineStr">
        <is>
          <t>Contributing Family Member</t>
        </is>
      </c>
      <c r="E14" s="9" t="inlineStr">
        <is>
          <t>michael.b@example.com</t>
        </is>
      </c>
      <c r="F14" s="9" t="inlineStr">
        <is>
          <t>Active</t>
        </is>
      </c>
      <c r="G14" s="9" t="inlineStr">
        <is>
          <t>Yes</t>
        </is>
      </c>
      <c r="H14" s="9" t="inlineStr"/>
    </row>
    <row r="15">
      <c r="A15" s="9" t="inlineStr">
        <is>
          <t>F3</t>
        </is>
      </c>
      <c r="B15" s="9" t="inlineStr">
        <is>
          <t>Rachel Brooks</t>
        </is>
      </c>
      <c r="C15" s="9" t="inlineStr">
        <is>
          <t>Daughter</t>
        </is>
      </c>
      <c r="D15" s="9" t="inlineStr">
        <is>
          <t>Contributing Family Member</t>
        </is>
      </c>
      <c r="E15" s="9" t="inlineStr">
        <is>
          <t>rachel.b@example.com</t>
        </is>
      </c>
      <c r="F15" s="9" t="inlineStr">
        <is>
          <t>Active</t>
        </is>
      </c>
      <c r="G15" s="9" t="inlineStr">
        <is>
          <t>Yes</t>
        </is>
      </c>
      <c r="H15" s="9" t="inlineStr">
        <is>
          <t>Long-distance; handles transportation-related costs remotely.</t>
        </is>
      </c>
    </row>
    <row r="16">
      <c r="A16" s="9" t="inlineStr">
        <is>
          <t>F4</t>
        </is>
      </c>
      <c r="B16" s="9" t="inlineStr">
        <is>
          <t>Parent Account</t>
        </is>
      </c>
      <c r="C16" s="9" t="inlineStr">
        <is>
          <t>N/A</t>
        </is>
      </c>
      <c r="D16" s="9" t="inlineStr">
        <is>
          <t>Parent's Own Account</t>
        </is>
      </c>
      <c r="E16" s="9" t="inlineStr"/>
      <c r="F16" s="9" t="inlineStr">
        <is>
          <t>Active</t>
        </is>
      </c>
      <c r="G16" s="9" t="inlineStr">
        <is>
          <t>No</t>
        </is>
      </c>
      <c r="H16" s="9" t="inlineStr">
        <is>
          <t>Represents Eleanor's own checking account -- not a person to be reimbursed.</t>
        </is>
      </c>
    </row>
    <row r="17">
      <c r="A17" s="9" t="inlineStr">
        <is>
          <t>F5</t>
        </is>
      </c>
      <c r="B17" s="9" t="inlineStr">
        <is>
          <t>Daniel Kim</t>
        </is>
      </c>
      <c r="C17" s="9" t="inlineStr">
        <is>
          <t>Family Friend</t>
        </is>
      </c>
      <c r="D17" s="9" t="inlineStr">
        <is>
          <t>Family Contact (example role only)</t>
        </is>
      </c>
      <c r="E17" s="9" t="inlineStr">
        <is>
          <t>daniel.k@example.com</t>
        </is>
      </c>
      <c r="F17" s="9" t="inlineStr">
        <is>
          <t>Active</t>
        </is>
      </c>
      <c r="G17" s="9" t="inlineStr">
        <is>
          <t>No</t>
        </is>
      </c>
      <c r="H17" s="9" t="inlineStr">
        <is>
          <t>Point of contact only; not a professional endorsement.</t>
        </is>
      </c>
    </row>
    <row r="18">
      <c r="A18" s="9" t="inlineStr">
        <is>
          <t>F6</t>
        </is>
      </c>
      <c r="B18" s="9" t="inlineStr">
        <is>
          <t>Robert Brooks</t>
        </is>
      </c>
      <c r="C18" s="9" t="inlineStr">
        <is>
          <t>Brother-in-law</t>
        </is>
      </c>
      <c r="D18" s="9" t="inlineStr">
        <is>
          <t>Occasional Contributor</t>
        </is>
      </c>
      <c r="E18" s="9" t="inlineStr"/>
      <c r="F18" s="9" t="inlineStr">
        <is>
          <t>Inactive</t>
        </is>
      </c>
      <c r="G18" s="9" t="inlineStr">
        <is>
          <t>No</t>
        </is>
      </c>
      <c r="H18" s="9" t="inlineStr">
        <is>
          <t>Contributed once in the past; no longer active in caregiving coordination.</t>
        </is>
      </c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F13:F62" showDropDown="0" showInputMessage="0" showErrorMessage="0" allowBlank="1" type="list">
      <formula1>"Active,Inactive"</formula1>
    </dataValidation>
    <dataValidation sqref="G13:G6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30" customWidth="1" min="4" max="4"/>
    <col width="11" customWidth="1" min="5" max="5"/>
    <col width="12" customWidth="1" min="6" max="6"/>
    <col width="12" customWidth="1" min="7" max="7"/>
    <col width="10" customWidth="1" min="8" max="8"/>
    <col width="20" customWidth="1" min="9" max="9"/>
    <col width="16" customWidth="1" min="10" max="10"/>
    <col width="9" customWidth="1" min="11" max="11"/>
    <col width="14" customWidth="1" min="12" max="12"/>
    <col width="20" customWidth="1" min="13" max="13"/>
    <col width="26" customWidth="1" min="14" max="14"/>
    <col width="22" customWidth="1" min="15" max="15"/>
  </cols>
  <sheetData>
    <row r="1">
      <c r="A1" s="8" t="inlineStr">
        <is>
          <t>BILLS &amp; RECURRING PAYMENTS</t>
        </is>
      </c>
    </row>
    <row r="2">
      <c r="A2" t="inlineStr">
        <is>
          <t>One row per recurring bill. The Warning column on the right flags anything needing attention.</t>
        </is>
      </c>
    </row>
    <row r="3">
      <c r="A3" s="1" t="inlineStr">
        <is>
          <t>Bill ID</t>
        </is>
      </c>
      <c r="B3" s="1" t="inlineStr">
        <is>
          <t>Category</t>
        </is>
      </c>
      <c r="C3" s="1" t="inlineStr">
        <is>
          <t>Provider</t>
        </is>
      </c>
      <c r="D3" s="1" t="inlineStr">
        <is>
          <t>Description</t>
        </is>
      </c>
      <c r="E3" s="1" t="inlineStr">
        <is>
          <t>Amount</t>
        </is>
      </c>
      <c r="F3" s="1" t="inlineStr">
        <is>
          <t>Frequency</t>
        </is>
      </c>
      <c r="G3" s="1" t="inlineStr">
        <is>
          <t>Due Date</t>
        </is>
      </c>
      <c r="H3" s="1" t="inlineStr">
        <is>
          <t>AutoPay?</t>
        </is>
      </c>
      <c r="I3" s="1" t="inlineStr">
        <is>
          <t>Payment Account</t>
        </is>
      </c>
      <c r="J3" s="1" t="inlineStr">
        <is>
          <t>Responsible Person</t>
        </is>
      </c>
      <c r="K3" s="1" t="inlineStr">
        <is>
          <t>Active?</t>
        </is>
      </c>
      <c r="L3" s="1" t="inlineStr">
        <is>
          <t>Last Reviewed</t>
        </is>
      </c>
      <c r="M3" s="1" t="inlineStr">
        <is>
          <t>Document Link</t>
        </is>
      </c>
      <c r="N3" s="1" t="inlineStr">
        <is>
          <t>Notes</t>
        </is>
      </c>
      <c r="O3" s="1" t="inlineStr">
        <is>
          <t>Warning (auto)</t>
        </is>
      </c>
    </row>
    <row r="4">
      <c r="A4" s="9" t="inlineStr">
        <is>
          <t>B1</t>
        </is>
      </c>
      <c r="B4" s="9" t="inlineStr">
        <is>
          <t>Housing</t>
        </is>
      </c>
      <c r="C4" s="9" t="inlineStr">
        <is>
          <t>Riverside Commons</t>
        </is>
      </c>
      <c r="D4" s="9" t="inlineStr">
        <is>
          <t>Monthly apartment rent</t>
        </is>
      </c>
      <c r="E4" s="10" t="n">
        <v>1450</v>
      </c>
      <c r="F4" s="9" t="inlineStr">
        <is>
          <t>Monthly</t>
        </is>
      </c>
      <c r="G4" s="19" t="n">
        <v>46295</v>
      </c>
      <c r="H4" s="9" t="inlineStr">
        <is>
          <t>Yes</t>
        </is>
      </c>
      <c r="I4" s="9" t="inlineStr">
        <is>
          <t>Eleanor Checking ...4821</t>
        </is>
      </c>
      <c r="J4" s="9" t="inlineStr">
        <is>
          <t>Sarah Chen</t>
        </is>
      </c>
      <c r="K4" s="9" t="inlineStr">
        <is>
          <t>Yes</t>
        </is>
      </c>
      <c r="L4" s="19" t="n">
        <v>46266</v>
      </c>
      <c r="M4" s="9" t="inlineStr"/>
      <c r="N4" s="9" t="inlineStr"/>
      <c r="O4">
        <f>IF($A4="","",IF($K4="No","",IF(AND($G4&lt;&gt;"",$G4&lt;TODAY()),"⚠ overdue",IF(AND($G4&lt;&gt;"",$G4&gt;=TODAY(),$G4-TODAY()&lt;=14),"⚠ due soon",IF($J4="","⚠ no responsible person",IF($I4="","⚠ missing payment account",IF(AND($L4&lt;&gt;"",TODAY()-$L4&gt;180),"⚠ not reviewed recently","")))))))</f>
        <v/>
      </c>
    </row>
    <row r="5">
      <c r="A5" s="9" t="inlineStr">
        <is>
          <t>B2</t>
        </is>
      </c>
      <c r="B5" s="9" t="inlineStr">
        <is>
          <t>Utilities</t>
        </is>
      </c>
      <c r="C5" s="9" t="inlineStr">
        <is>
          <t>City Power &amp; Light</t>
        </is>
      </c>
      <c r="D5" s="9" t="inlineStr">
        <is>
          <t>Electric bill</t>
        </is>
      </c>
      <c r="E5" s="10" t="n">
        <v>96</v>
      </c>
      <c r="F5" s="9" t="inlineStr">
        <is>
          <t>Monthly</t>
        </is>
      </c>
      <c r="G5" s="19" t="n">
        <v>46280</v>
      </c>
      <c r="H5" s="9" t="inlineStr">
        <is>
          <t>No</t>
        </is>
      </c>
      <c r="I5" s="9" t="inlineStr">
        <is>
          <t>Eleanor Checking ...4821</t>
        </is>
      </c>
      <c r="J5" s="9" t="inlineStr">
        <is>
          <t>Sarah Chen</t>
        </is>
      </c>
      <c r="K5" s="9" t="inlineStr">
        <is>
          <t>Yes</t>
        </is>
      </c>
      <c r="L5" s="19" t="n">
        <v>46271</v>
      </c>
      <c r="M5" s="9" t="inlineStr"/>
      <c r="N5" s="9" t="inlineStr"/>
      <c r="O5">
        <f>IF($A5="","",IF($K5="No","",IF(AND($G5&lt;&gt;"",$G5&lt;TODAY()),"⚠ overdue",IF(AND($G5&lt;&gt;"",$G5&gt;=TODAY(),$G5-TODAY()&lt;=14),"⚠ due soon",IF($J5="","⚠ no responsible person",IF($I5="","⚠ missing payment account",IF(AND($L5&lt;&gt;"",TODAY()-$L5&gt;180),"⚠ not reviewed recently","")))))))</f>
        <v/>
      </c>
    </row>
    <row r="6">
      <c r="A6" s="9" t="inlineStr">
        <is>
          <t>B3</t>
        </is>
      </c>
      <c r="B6" s="9" t="inlineStr">
        <is>
          <t>Insurance</t>
        </is>
      </c>
      <c r="C6" s="9" t="inlineStr">
        <is>
          <t>MediGuard Supplement</t>
        </is>
      </c>
      <c r="D6" s="9" t="inlineStr">
        <is>
          <t>Medicare supplement premium</t>
        </is>
      </c>
      <c r="E6" s="10" t="n">
        <v>210</v>
      </c>
      <c r="F6" s="9" t="inlineStr">
        <is>
          <t>Monthly</t>
        </is>
      </c>
      <c r="G6" s="19" t="n">
        <v>46297</v>
      </c>
      <c r="H6" s="9" t="inlineStr">
        <is>
          <t>Yes</t>
        </is>
      </c>
      <c r="I6" s="9" t="inlineStr">
        <is>
          <t>Eleanor Checking ...4821</t>
        </is>
      </c>
      <c r="J6" s="9" t="inlineStr">
        <is>
          <t>Parent Account</t>
        </is>
      </c>
      <c r="K6" s="9" t="inlineStr">
        <is>
          <t>Yes</t>
        </is>
      </c>
      <c r="L6" s="19" t="n">
        <v>46256</v>
      </c>
      <c r="M6" s="9" t="inlineStr"/>
      <c r="N6" s="9" t="inlineStr"/>
      <c r="O6">
        <f>IF($A6="","",IF($K6="No","",IF(AND($G6&lt;&gt;"",$G6&lt;TODAY()),"⚠ overdue",IF(AND($G6&lt;&gt;"",$G6&gt;=TODAY(),$G6-TODAY()&lt;=14),"⚠ due soon",IF($J6="","⚠ no responsible person",IF($I6="","⚠ missing payment account",IF(AND($L6&lt;&gt;"",TODAY()-$L6&gt;180),"⚠ not reviewed recently","")))))))</f>
        <v/>
      </c>
    </row>
    <row r="7">
      <c r="A7" s="9" t="inlineStr">
        <is>
          <t>B4</t>
        </is>
      </c>
      <c r="B7" s="9" t="inlineStr">
        <is>
          <t>Medical</t>
        </is>
      </c>
      <c r="C7" s="9" t="inlineStr">
        <is>
          <t>Lakeside Cardiology</t>
        </is>
      </c>
      <c r="D7" s="9" t="inlineStr">
        <is>
          <t>Specialist copay plan</t>
        </is>
      </c>
      <c r="E7" s="10" t="n">
        <v>45</v>
      </c>
      <c r="F7" s="9" t="inlineStr">
        <is>
          <t>Monthly</t>
        </is>
      </c>
      <c r="G7" s="19" t="n">
        <v>46304</v>
      </c>
      <c r="H7" s="9" t="inlineStr">
        <is>
          <t>No</t>
        </is>
      </c>
      <c r="I7" s="9" t="inlineStr">
        <is>
          <t>Eleanor Checking ...4821</t>
        </is>
      </c>
      <c r="J7" s="9" t="inlineStr"/>
      <c r="K7" s="9" t="inlineStr">
        <is>
          <t>Yes</t>
        </is>
      </c>
      <c r="L7" s="19" t="n">
        <v>46226</v>
      </c>
      <c r="M7" s="9" t="inlineStr"/>
      <c r="N7" s="9" t="inlineStr"/>
      <c r="O7">
        <f>IF($A7="","",IF($K7="No","",IF(AND($G7&lt;&gt;"",$G7&lt;TODAY()),"⚠ overdue",IF(AND($G7&lt;&gt;"",$G7&gt;=TODAY(),$G7-TODAY()&lt;=14),"⚠ due soon",IF($J7="","⚠ no responsible person",IF($I7="","⚠ missing payment account",IF(AND($L7&lt;&gt;"",TODAY()-$L7&gt;180),"⚠ not reviewed recently","")))))))</f>
        <v/>
      </c>
    </row>
    <row r="8">
      <c r="A8" s="9" t="inlineStr">
        <is>
          <t>B5</t>
        </is>
      </c>
      <c r="B8" s="9" t="inlineStr">
        <is>
          <t>Pharmacy</t>
        </is>
      </c>
      <c r="C8" s="9" t="inlineStr">
        <is>
          <t>CarePlus Pharmacy</t>
        </is>
      </c>
      <c r="D8" s="9" t="inlineStr">
        <is>
          <t>Prescription auto-refill service fee</t>
        </is>
      </c>
      <c r="E8" s="10" t="n">
        <v>12</v>
      </c>
      <c r="F8" s="9" t="inlineStr">
        <is>
          <t>Monthly</t>
        </is>
      </c>
      <c r="G8" s="19" t="n">
        <v>46300</v>
      </c>
      <c r="H8" s="9" t="inlineStr">
        <is>
          <t>Yes</t>
        </is>
      </c>
      <c r="I8" s="9" t="inlineStr"/>
      <c r="J8" s="9" t="inlineStr">
        <is>
          <t>Michael Brooks</t>
        </is>
      </c>
      <c r="K8" s="9" t="inlineStr">
        <is>
          <t>Yes</t>
        </is>
      </c>
      <c r="L8" s="19" t="n">
        <v>46241</v>
      </c>
      <c r="M8" s="9" t="inlineStr"/>
      <c r="N8" s="9" t="inlineStr"/>
      <c r="O8">
        <f>IF($A8="","",IF($K8="No","",IF(AND($G8&lt;&gt;"",$G8&lt;TODAY()),"⚠ overdue",IF(AND($G8&lt;&gt;"",$G8&gt;=TODAY(),$G8-TODAY()&lt;=14),"⚠ due soon",IF($J8="","⚠ no responsible person",IF($I8="","⚠ missing payment account",IF(AND($L8&lt;&gt;"",TODAY()-$L8&gt;180),"⚠ not reviewed recently","")))))))</f>
        <v/>
      </c>
    </row>
    <row r="9">
      <c r="A9" s="9" t="inlineStr">
        <is>
          <t>B6</t>
        </is>
      </c>
      <c r="B9" s="9" t="inlineStr">
        <is>
          <t>Care Services</t>
        </is>
      </c>
      <c r="C9" s="9" t="inlineStr">
        <is>
          <t>Home Comfort Aides</t>
        </is>
      </c>
      <c r="D9" s="9" t="inlineStr">
        <is>
          <t>Home health aide, 2x/week</t>
        </is>
      </c>
      <c r="E9" s="10" t="n">
        <v>640</v>
      </c>
      <c r="F9" s="9" t="inlineStr">
        <is>
          <t>Monthly</t>
        </is>
      </c>
      <c r="G9" s="19" t="n">
        <v>46291</v>
      </c>
      <c r="H9" s="9" t="inlineStr">
        <is>
          <t>No</t>
        </is>
      </c>
      <c r="I9" s="9" t="inlineStr">
        <is>
          <t>Sarah Checking ...1190</t>
        </is>
      </c>
      <c r="J9" s="9" t="inlineStr">
        <is>
          <t>Sarah Chen</t>
        </is>
      </c>
      <c r="K9" s="9" t="inlineStr">
        <is>
          <t>Yes</t>
        </is>
      </c>
      <c r="L9" s="19" t="n">
        <v>46276</v>
      </c>
      <c r="M9" s="9" t="inlineStr"/>
      <c r="N9" s="9" t="inlineStr"/>
      <c r="O9">
        <f>IF($A9="","",IF($K9="No","",IF(AND($G9&lt;&gt;"",$G9&lt;TODAY()),"⚠ overdue",IF(AND($G9&lt;&gt;"",$G9&gt;=TODAY(),$G9-TODAY()&lt;=14),"⚠ due soon",IF($J9="","⚠ no responsible person",IF($I9="","⚠ missing payment account",IF(AND($L9&lt;&gt;"",TODAY()-$L9&gt;180),"⚠ not reviewed recently","")))))))</f>
        <v/>
      </c>
    </row>
    <row r="10">
      <c r="A10" s="9" t="inlineStr">
        <is>
          <t>B7</t>
        </is>
      </c>
      <c r="B10" s="9" t="inlineStr">
        <is>
          <t>Transportation</t>
        </is>
      </c>
      <c r="C10" s="9" t="inlineStr">
        <is>
          <t>SeniorRide Co</t>
        </is>
      </c>
      <c r="D10" s="9" t="inlineStr">
        <is>
          <t>Scheduled ride service subscription</t>
        </is>
      </c>
      <c r="E10" s="10" t="n">
        <v>39</v>
      </c>
      <c r="F10" s="9" t="inlineStr">
        <is>
          <t>Monthly</t>
        </is>
      </c>
      <c r="G10" s="19" t="n">
        <v>46306</v>
      </c>
      <c r="H10" s="9" t="inlineStr">
        <is>
          <t>Yes</t>
        </is>
      </c>
      <c r="I10" s="9" t="inlineStr">
        <is>
          <t>Rachel Card ...7742</t>
        </is>
      </c>
      <c r="J10" s="9" t="inlineStr">
        <is>
          <t>Rachel Brooks</t>
        </is>
      </c>
      <c r="K10" s="9" t="inlineStr">
        <is>
          <t>Yes</t>
        </is>
      </c>
      <c r="L10" s="19" t="n">
        <v>46261</v>
      </c>
      <c r="M10" s="9" t="inlineStr"/>
      <c r="N10" s="9" t="inlineStr"/>
      <c r="O10">
        <f>IF($A10="","",IF($K10="No","",IF(AND($G10&lt;&gt;"",$G10&lt;TODAY()),"⚠ overdue",IF(AND($G10&lt;&gt;"",$G10&gt;=TODAY(),$G10-TODAY()&lt;=14),"⚠ due soon",IF($J10="","⚠ no responsible person",IF($I10="","⚠ missing payment account",IF(AND($L10&lt;&gt;"",TODAY()-$L10&gt;180),"⚠ not reviewed recently","")))))))</f>
        <v/>
      </c>
    </row>
    <row r="11">
      <c r="A11" s="9" t="inlineStr">
        <is>
          <t>B8</t>
        </is>
      </c>
      <c r="B11" s="9" t="inlineStr">
        <is>
          <t>Subscriptions</t>
        </is>
      </c>
      <c r="C11" s="9" t="inlineStr">
        <is>
          <t>StreamFlix</t>
        </is>
      </c>
      <c r="D11" s="9" t="inlineStr">
        <is>
          <t>Streaming service</t>
        </is>
      </c>
      <c r="E11" s="10" t="n">
        <v>15.99</v>
      </c>
      <c r="F11" s="9" t="inlineStr">
        <is>
          <t>Monthly</t>
        </is>
      </c>
      <c r="G11" s="19" t="n">
        <v>46294</v>
      </c>
      <c r="H11" s="9" t="inlineStr">
        <is>
          <t>Yes</t>
        </is>
      </c>
      <c r="I11" s="9" t="inlineStr">
        <is>
          <t>Eleanor Checking ...4821</t>
        </is>
      </c>
      <c r="J11" s="9" t="inlineStr">
        <is>
          <t>Sarah Chen</t>
        </is>
      </c>
      <c r="K11" s="9" t="inlineStr">
        <is>
          <t>Yes</t>
        </is>
      </c>
      <c r="L11" s="19" t="n">
        <v>46076</v>
      </c>
      <c r="M11" s="9" t="inlineStr"/>
      <c r="N11" s="9" t="inlineStr"/>
      <c r="O11">
        <f>IF($A11="","",IF($K11="No","",IF(AND($G11&lt;&gt;"",$G11&lt;TODAY()),"⚠ overdue",IF(AND($G11&lt;&gt;"",$G11&gt;=TODAY(),$G11-TODAY()&lt;=14),"⚠ due soon",IF($J11="","⚠ no responsible person",IF($I11="","⚠ missing payment account",IF(AND($L11&lt;&gt;"",TODAY()-$L11&gt;180),"⚠ not reviewed recently","")))))))</f>
        <v/>
      </c>
    </row>
    <row r="12">
      <c r="A12" s="9" t="inlineStr">
        <is>
          <t>B9</t>
        </is>
      </c>
      <c r="B12" s="9" t="inlineStr">
        <is>
          <t>Phone/Internet</t>
        </is>
      </c>
      <c r="C12" s="9" t="inlineStr">
        <is>
          <t>ClearLine Telecom</t>
        </is>
      </c>
      <c r="D12" s="9" t="inlineStr">
        <is>
          <t>Phone + internet bundle</t>
        </is>
      </c>
      <c r="E12" s="10" t="n">
        <v>78</v>
      </c>
      <c r="F12" s="9" t="inlineStr">
        <is>
          <t>Monthly</t>
        </is>
      </c>
      <c r="G12" s="19" t="n">
        <v>46299</v>
      </c>
      <c r="H12" s="9" t="inlineStr">
        <is>
          <t>Yes</t>
        </is>
      </c>
      <c r="I12" s="9" t="inlineStr">
        <is>
          <t>Eleanor Checking ...4821</t>
        </is>
      </c>
      <c r="J12" s="9" t="inlineStr">
        <is>
          <t>Sarah Chen</t>
        </is>
      </c>
      <c r="K12" s="9" t="inlineStr">
        <is>
          <t>Yes</t>
        </is>
      </c>
      <c r="L12" s="19" t="n">
        <v>46246</v>
      </c>
      <c r="M12" s="9" t="inlineStr"/>
      <c r="N12" s="9" t="inlineStr"/>
      <c r="O12">
        <f>IF($A12="","",IF($K12="No","",IF(AND($G12&lt;&gt;"",$G12&lt;TODAY()),"⚠ overdue",IF(AND($G12&lt;&gt;"",$G12&gt;=TODAY(),$G12-TODAY()&lt;=14),"⚠ due soon",IF($J12="","⚠ no responsible person",IF($I12="","⚠ missing payment account",IF(AND($L12&lt;&gt;"",TODAY()-$L12&gt;180),"⚠ not reviewed recently","")))))))</f>
        <v/>
      </c>
    </row>
    <row r="13">
      <c r="A13" s="9" t="inlineStr">
        <is>
          <t>B10</t>
        </is>
      </c>
      <c r="B13" s="9" t="inlineStr">
        <is>
          <t>Other</t>
        </is>
      </c>
      <c r="C13" s="9" t="inlineStr">
        <is>
          <t>Old Landline Co</t>
        </is>
      </c>
      <c r="D13" s="9" t="inlineStr">
        <is>
          <t>Discontinued landline (kept for records)</t>
        </is>
      </c>
      <c r="E13" s="10" t="n">
        <v>0</v>
      </c>
      <c r="F13" s="9" t="inlineStr">
        <is>
          <t>Monthly</t>
        </is>
      </c>
      <c r="G13" s="9" t="n"/>
      <c r="H13" s="9" t="inlineStr">
        <is>
          <t>No</t>
        </is>
      </c>
      <c r="I13" s="9" t="inlineStr"/>
      <c r="J13" s="9" t="inlineStr"/>
      <c r="K13" s="9" t="inlineStr">
        <is>
          <t>No</t>
        </is>
      </c>
      <c r="L13" s="19" t="n">
        <v>45886</v>
      </c>
      <c r="M13" s="9" t="inlineStr"/>
      <c r="N13" s="9" t="inlineStr"/>
      <c r="O13">
        <f>IF($A13="","",IF($K13="No","",IF(AND($G13&lt;&gt;"",$G13&lt;TODAY()),"⚠ overdue",IF(AND($G13&lt;&gt;"",$G13&gt;=TODAY(),$G13-TODAY()&lt;=14),"⚠ due soon",IF($J13="","⚠ no responsible person",IF($I13="","⚠ missing payment account",IF(AND($L13&lt;&gt;"",TODAY()-$L13&gt;180),"⚠ not reviewed recently","")))))))</f>
        <v/>
      </c>
    </row>
    <row r="14">
      <c r="A14" s="9" t="n"/>
      <c r="B14" s="9" t="n"/>
      <c r="C14" s="9" t="n"/>
      <c r="D14" s="9" t="n"/>
      <c r="E14" s="10" t="n"/>
      <c r="F14" s="9" t="n"/>
      <c r="G14" s="19" t="n"/>
      <c r="H14" s="9" t="n"/>
      <c r="I14" s="9" t="n"/>
      <c r="J14" s="9" t="n"/>
      <c r="K14" s="9" t="n"/>
      <c r="L14" s="19" t="n"/>
      <c r="M14" s="9" t="n"/>
      <c r="N14" s="9" t="n"/>
      <c r="O14">
        <f>IF($A14="","",IF($K14="No","",IF(AND($G14&lt;&gt;"",$G14&lt;TODAY()),"⚠ overdue",IF(AND($G14&lt;&gt;"",$G14&gt;=TODAY(),$G14-TODAY()&lt;=14),"⚠ due soon",IF($J14="","⚠ no responsible person",IF($I14="","⚠ missing payment account",IF(AND($L14&lt;&gt;"",TODAY()-$L14&gt;180),"⚠ not reviewed recently","")))))))</f>
        <v/>
      </c>
    </row>
    <row r="15">
      <c r="A15" s="9" t="n"/>
      <c r="B15" s="9" t="n"/>
      <c r="C15" s="9" t="n"/>
      <c r="D15" s="9" t="n"/>
      <c r="E15" s="10" t="n"/>
      <c r="F15" s="9" t="n"/>
      <c r="G15" s="19" t="n"/>
      <c r="H15" s="9" t="n"/>
      <c r="I15" s="9" t="n"/>
      <c r="J15" s="9" t="n"/>
      <c r="K15" s="9" t="n"/>
      <c r="L15" s="19" t="n"/>
      <c r="M15" s="9" t="n"/>
      <c r="N15" s="9" t="n"/>
      <c r="O15">
        <f>IF($A15="","",IF($K15="No","",IF(AND($G15&lt;&gt;"",$G15&lt;TODAY()),"⚠ overdue",IF(AND($G15&lt;&gt;"",$G15&gt;=TODAY(),$G15-TODAY()&lt;=14),"⚠ due soon",IF($J15="","⚠ no responsible person",IF($I15="","⚠ missing payment account",IF(AND($L15&lt;&gt;"",TODAY()-$L15&gt;180),"⚠ not reviewed recently","")))))))</f>
        <v/>
      </c>
    </row>
    <row r="16">
      <c r="A16" s="9" t="n"/>
      <c r="B16" s="9" t="n"/>
      <c r="C16" s="9" t="n"/>
      <c r="D16" s="9" t="n"/>
      <c r="E16" s="10" t="n"/>
      <c r="F16" s="9" t="n"/>
      <c r="G16" s="19" t="n"/>
      <c r="H16" s="9" t="n"/>
      <c r="I16" s="9" t="n"/>
      <c r="J16" s="9" t="n"/>
      <c r="K16" s="9" t="n"/>
      <c r="L16" s="19" t="n"/>
      <c r="M16" s="9" t="n"/>
      <c r="N16" s="9" t="n"/>
      <c r="O16">
        <f>IF($A16="","",IF($K16="No","",IF(AND($G16&lt;&gt;"",$G16&lt;TODAY()),"⚠ overdue",IF(AND($G16&lt;&gt;"",$G16&gt;=TODAY(),$G16-TODAY()&lt;=14),"⚠ due soon",IF($J16="","⚠ no responsible person",IF($I16="","⚠ missing payment account",IF(AND($L16&lt;&gt;"",TODAY()-$L16&gt;180),"⚠ not reviewed recently","")))))))</f>
        <v/>
      </c>
    </row>
    <row r="17">
      <c r="A17" s="9" t="n"/>
      <c r="B17" s="9" t="n"/>
      <c r="C17" s="9" t="n"/>
      <c r="D17" s="9" t="n"/>
      <c r="E17" s="10" t="n"/>
      <c r="F17" s="9" t="n"/>
      <c r="G17" s="19" t="n"/>
      <c r="H17" s="9" t="n"/>
      <c r="I17" s="9" t="n"/>
      <c r="J17" s="9" t="n"/>
      <c r="K17" s="9" t="n"/>
      <c r="L17" s="19" t="n"/>
      <c r="M17" s="9" t="n"/>
      <c r="N17" s="9" t="n"/>
      <c r="O17">
        <f>IF($A17="","",IF($K17="No","",IF(AND($G17&lt;&gt;"",$G17&lt;TODAY()),"⚠ overdue",IF(AND($G17&lt;&gt;"",$G17&gt;=TODAY(),$G17-TODAY()&lt;=14),"⚠ due soon",IF($J17="","⚠ no responsible person",IF($I17="","⚠ missing payment account",IF(AND($L17&lt;&gt;"",TODAY()-$L17&gt;180),"⚠ not reviewed recently","")))))))</f>
        <v/>
      </c>
    </row>
    <row r="18">
      <c r="A18" s="9" t="n"/>
      <c r="B18" s="9" t="n"/>
      <c r="C18" s="9" t="n"/>
      <c r="D18" s="9" t="n"/>
      <c r="E18" s="10" t="n"/>
      <c r="F18" s="9" t="n"/>
      <c r="G18" s="19" t="n"/>
      <c r="H18" s="9" t="n"/>
      <c r="I18" s="9" t="n"/>
      <c r="J18" s="9" t="n"/>
      <c r="K18" s="9" t="n"/>
      <c r="L18" s="19" t="n"/>
      <c r="M18" s="9" t="n"/>
      <c r="N18" s="9" t="n"/>
      <c r="O18">
        <f>IF($A18="","",IF($K18="No","",IF(AND($G18&lt;&gt;"",$G18&lt;TODAY()),"⚠ overdue",IF(AND($G18&lt;&gt;"",$G18&gt;=TODAY(),$G18-TODAY()&lt;=14),"⚠ due soon",IF($J18="","⚠ no responsible person",IF($I18="","⚠ missing payment account",IF(AND($L18&lt;&gt;"",TODAY()-$L18&gt;180),"⚠ not reviewed recently","")))))))</f>
        <v/>
      </c>
    </row>
    <row r="19">
      <c r="A19" s="9" t="n"/>
      <c r="B19" s="9" t="n"/>
      <c r="C19" s="9" t="n"/>
      <c r="D19" s="9" t="n"/>
      <c r="E19" s="10" t="n"/>
      <c r="F19" s="9" t="n"/>
      <c r="G19" s="19" t="n"/>
      <c r="H19" s="9" t="n"/>
      <c r="I19" s="9" t="n"/>
      <c r="J19" s="9" t="n"/>
      <c r="K19" s="9" t="n"/>
      <c r="L19" s="19" t="n"/>
      <c r="M19" s="9" t="n"/>
      <c r="N19" s="9" t="n"/>
      <c r="O19">
        <f>IF($A19="","",IF($K19="No","",IF(AND($G19&lt;&gt;"",$G19&lt;TODAY()),"⚠ overdue",IF(AND($G19&lt;&gt;"",$G19&gt;=TODAY(),$G19-TODAY()&lt;=14),"⚠ due soon",IF($J19="","⚠ no responsible person",IF($I19="","⚠ missing payment account",IF(AND($L19&lt;&gt;"",TODAY()-$L19&gt;180),"⚠ not reviewed recently","")))))))</f>
        <v/>
      </c>
    </row>
    <row r="20">
      <c r="A20" s="9" t="n"/>
      <c r="B20" s="9" t="n"/>
      <c r="C20" s="9" t="n"/>
      <c r="D20" s="9" t="n"/>
      <c r="E20" s="10" t="n"/>
      <c r="F20" s="9" t="n"/>
      <c r="G20" s="19" t="n"/>
      <c r="H20" s="9" t="n"/>
      <c r="I20" s="9" t="n"/>
      <c r="J20" s="9" t="n"/>
      <c r="K20" s="9" t="n"/>
      <c r="L20" s="19" t="n"/>
      <c r="M20" s="9" t="n"/>
      <c r="N20" s="9" t="n"/>
      <c r="O20">
        <f>IF($A20="","",IF($K20="No","",IF(AND($G20&lt;&gt;"",$G20&lt;TODAY()),"⚠ overdue",IF(AND($G20&lt;&gt;"",$G20&gt;=TODAY(),$G20-TODAY()&lt;=14),"⚠ due soon",IF($J20="","⚠ no responsible person",IF($I20="","⚠ missing payment account",IF(AND($L20&lt;&gt;"",TODAY()-$L20&gt;180),"⚠ not reviewed recently","")))))))</f>
        <v/>
      </c>
    </row>
    <row r="21">
      <c r="A21" s="9" t="n"/>
      <c r="B21" s="9" t="n"/>
      <c r="C21" s="9" t="n"/>
      <c r="D21" s="9" t="n"/>
      <c r="E21" s="10" t="n"/>
      <c r="F21" s="9" t="n"/>
      <c r="G21" s="19" t="n"/>
      <c r="H21" s="9" t="n"/>
      <c r="I21" s="9" t="n"/>
      <c r="J21" s="9" t="n"/>
      <c r="K21" s="9" t="n"/>
      <c r="L21" s="19" t="n"/>
      <c r="M21" s="9" t="n"/>
      <c r="N21" s="9" t="n"/>
      <c r="O21">
        <f>IF($A21="","",IF($K21="No","",IF(AND($G21&lt;&gt;"",$G21&lt;TODAY()),"⚠ overdue",IF(AND($G21&lt;&gt;"",$G21&gt;=TODAY(),$G21-TODAY()&lt;=14),"⚠ due soon",IF($J21="","⚠ no responsible person",IF($I21="","⚠ missing payment account",IF(AND($L21&lt;&gt;"",TODAY()-$L21&gt;180),"⚠ not reviewed recently","")))))))</f>
        <v/>
      </c>
    </row>
    <row r="22">
      <c r="A22" s="9" t="n"/>
      <c r="B22" s="9" t="n"/>
      <c r="C22" s="9" t="n"/>
      <c r="D22" s="9" t="n"/>
      <c r="E22" s="10" t="n"/>
      <c r="F22" s="9" t="n"/>
      <c r="G22" s="19" t="n"/>
      <c r="H22" s="9" t="n"/>
      <c r="I22" s="9" t="n"/>
      <c r="J22" s="9" t="n"/>
      <c r="K22" s="9" t="n"/>
      <c r="L22" s="19" t="n"/>
      <c r="M22" s="9" t="n"/>
      <c r="N22" s="9" t="n"/>
      <c r="O22">
        <f>IF($A22="","",IF($K22="No","",IF(AND($G22&lt;&gt;"",$G22&lt;TODAY()),"⚠ overdue",IF(AND($G22&lt;&gt;"",$G22&gt;=TODAY(),$G22-TODAY()&lt;=14),"⚠ due soon",IF($J22="","⚠ no responsible person",IF($I22="","⚠ missing payment account",IF(AND($L22&lt;&gt;"",TODAY()-$L22&gt;180),"⚠ not reviewed recently","")))))))</f>
        <v/>
      </c>
    </row>
    <row r="23">
      <c r="A23" s="9" t="n"/>
      <c r="B23" s="9" t="n"/>
      <c r="C23" s="9" t="n"/>
      <c r="D23" s="9" t="n"/>
      <c r="E23" s="10" t="n"/>
      <c r="F23" s="9" t="n"/>
      <c r="G23" s="19" t="n"/>
      <c r="H23" s="9" t="n"/>
      <c r="I23" s="9" t="n"/>
      <c r="J23" s="9" t="n"/>
      <c r="K23" s="9" t="n"/>
      <c r="L23" s="19" t="n"/>
      <c r="M23" s="9" t="n"/>
      <c r="N23" s="9" t="n"/>
      <c r="O23">
        <f>IF($A23="","",IF($K23="No","",IF(AND($G23&lt;&gt;"",$G23&lt;TODAY()),"⚠ overdue",IF(AND($G23&lt;&gt;"",$G23&gt;=TODAY(),$G23-TODAY()&lt;=14),"⚠ due soon",IF($J23="","⚠ no responsible person",IF($I23="","⚠ missing payment account",IF(AND($L23&lt;&gt;"",TODAY()-$L23&gt;180),"⚠ not reviewed recently","")))))))</f>
        <v/>
      </c>
    </row>
    <row r="24">
      <c r="A24" s="9" t="n"/>
      <c r="B24" s="9" t="n"/>
      <c r="C24" s="9" t="n"/>
      <c r="D24" s="9" t="n"/>
      <c r="E24" s="10" t="n"/>
      <c r="F24" s="9" t="n"/>
      <c r="G24" s="19" t="n"/>
      <c r="H24" s="9" t="n"/>
      <c r="I24" s="9" t="n"/>
      <c r="J24" s="9" t="n"/>
      <c r="K24" s="9" t="n"/>
      <c r="L24" s="19" t="n"/>
      <c r="M24" s="9" t="n"/>
      <c r="N24" s="9" t="n"/>
      <c r="O24">
        <f>IF($A24="","",IF($K24="No","",IF(AND($G24&lt;&gt;"",$G24&lt;TODAY()),"⚠ overdue",IF(AND($G24&lt;&gt;"",$G24&gt;=TODAY(),$G24-TODAY()&lt;=14),"⚠ due soon",IF($J24="","⚠ no responsible person",IF($I24="","⚠ missing payment account",IF(AND($L24&lt;&gt;"",TODAY()-$L24&gt;180),"⚠ not reviewed recently","")))))))</f>
        <v/>
      </c>
    </row>
    <row r="25">
      <c r="A25" s="9" t="n"/>
      <c r="B25" s="9" t="n"/>
      <c r="C25" s="9" t="n"/>
      <c r="D25" s="9" t="n"/>
      <c r="E25" s="10" t="n"/>
      <c r="F25" s="9" t="n"/>
      <c r="G25" s="19" t="n"/>
      <c r="H25" s="9" t="n"/>
      <c r="I25" s="9" t="n"/>
      <c r="J25" s="9" t="n"/>
      <c r="K25" s="9" t="n"/>
      <c r="L25" s="19" t="n"/>
      <c r="M25" s="9" t="n"/>
      <c r="N25" s="9" t="n"/>
      <c r="O25">
        <f>IF($A25="","",IF($K25="No","",IF(AND($G25&lt;&gt;"",$G25&lt;TODAY()),"⚠ overdue",IF(AND($G25&lt;&gt;"",$G25&gt;=TODAY(),$G25-TODAY()&lt;=14),"⚠ due soon",IF($J25="","⚠ no responsible person",IF($I25="","⚠ missing payment account",IF(AND($L25&lt;&gt;"",TODAY()-$L25&gt;180),"⚠ not reviewed recently","")))))))</f>
        <v/>
      </c>
    </row>
    <row r="26">
      <c r="A26" s="9" t="n"/>
      <c r="B26" s="9" t="n"/>
      <c r="C26" s="9" t="n"/>
      <c r="D26" s="9" t="n"/>
      <c r="E26" s="10" t="n"/>
      <c r="F26" s="9" t="n"/>
      <c r="G26" s="19" t="n"/>
      <c r="H26" s="9" t="n"/>
      <c r="I26" s="9" t="n"/>
      <c r="J26" s="9" t="n"/>
      <c r="K26" s="9" t="n"/>
      <c r="L26" s="19" t="n"/>
      <c r="M26" s="9" t="n"/>
      <c r="N26" s="9" t="n"/>
      <c r="O26">
        <f>IF($A26="","",IF($K26="No","",IF(AND($G26&lt;&gt;"",$G26&lt;TODAY()),"⚠ overdue",IF(AND($G26&lt;&gt;"",$G26&gt;=TODAY(),$G26-TODAY()&lt;=14),"⚠ due soon",IF($J26="","⚠ no responsible person",IF($I26="","⚠ missing payment account",IF(AND($L26&lt;&gt;"",TODAY()-$L26&gt;180),"⚠ not reviewed recently","")))))))</f>
        <v/>
      </c>
    </row>
    <row r="27">
      <c r="A27" s="9" t="n"/>
      <c r="B27" s="9" t="n"/>
      <c r="C27" s="9" t="n"/>
      <c r="D27" s="9" t="n"/>
      <c r="E27" s="10" t="n"/>
      <c r="F27" s="9" t="n"/>
      <c r="G27" s="19" t="n"/>
      <c r="H27" s="9" t="n"/>
      <c r="I27" s="9" t="n"/>
      <c r="J27" s="9" t="n"/>
      <c r="K27" s="9" t="n"/>
      <c r="L27" s="19" t="n"/>
      <c r="M27" s="9" t="n"/>
      <c r="N27" s="9" t="n"/>
      <c r="O27">
        <f>IF($A27="","",IF($K27="No","",IF(AND($G27&lt;&gt;"",$G27&lt;TODAY()),"⚠ overdue",IF(AND($G27&lt;&gt;"",$G27&gt;=TODAY(),$G27-TODAY()&lt;=14),"⚠ due soon",IF($J27="","⚠ no responsible person",IF($I27="","⚠ missing payment account",IF(AND($L27&lt;&gt;"",TODAY()-$L27&gt;180),"⚠ not reviewed recently","")))))))</f>
        <v/>
      </c>
    </row>
    <row r="28">
      <c r="A28" s="9" t="n"/>
      <c r="B28" s="9" t="n"/>
      <c r="C28" s="9" t="n"/>
      <c r="D28" s="9" t="n"/>
      <c r="E28" s="10" t="n"/>
      <c r="F28" s="9" t="n"/>
      <c r="G28" s="19" t="n"/>
      <c r="H28" s="9" t="n"/>
      <c r="I28" s="9" t="n"/>
      <c r="J28" s="9" t="n"/>
      <c r="K28" s="9" t="n"/>
      <c r="L28" s="19" t="n"/>
      <c r="M28" s="9" t="n"/>
      <c r="N28" s="9" t="n"/>
      <c r="O28">
        <f>IF($A28="","",IF($K28="No","",IF(AND($G28&lt;&gt;"",$G28&lt;TODAY()),"⚠ overdue",IF(AND($G28&lt;&gt;"",$G28&gt;=TODAY(),$G28-TODAY()&lt;=14),"⚠ due soon",IF($J28="","⚠ no responsible person",IF($I28="","⚠ missing payment account",IF(AND($L28&lt;&gt;"",TODAY()-$L28&gt;180),"⚠ not reviewed recently","")))))))</f>
        <v/>
      </c>
    </row>
    <row r="29">
      <c r="A29" s="9" t="n"/>
      <c r="B29" s="9" t="n"/>
      <c r="C29" s="9" t="n"/>
      <c r="D29" s="9" t="n"/>
      <c r="E29" s="10" t="n"/>
      <c r="F29" s="9" t="n"/>
      <c r="G29" s="19" t="n"/>
      <c r="H29" s="9" t="n"/>
      <c r="I29" s="9" t="n"/>
      <c r="J29" s="9" t="n"/>
      <c r="K29" s="9" t="n"/>
      <c r="L29" s="19" t="n"/>
      <c r="M29" s="9" t="n"/>
      <c r="N29" s="9" t="n"/>
      <c r="O29">
        <f>IF($A29="","",IF($K29="No","",IF(AND($G29&lt;&gt;"",$G29&lt;TODAY()),"⚠ overdue",IF(AND($G29&lt;&gt;"",$G29&gt;=TODAY(),$G29-TODAY()&lt;=14),"⚠ due soon",IF($J29="","⚠ no responsible person",IF($I29="","⚠ missing payment account",IF(AND($L29&lt;&gt;"",TODAY()-$L29&gt;180),"⚠ not reviewed recently","")))))))</f>
        <v/>
      </c>
    </row>
    <row r="30">
      <c r="A30" s="9" t="n"/>
      <c r="B30" s="9" t="n"/>
      <c r="C30" s="9" t="n"/>
      <c r="D30" s="9" t="n"/>
      <c r="E30" s="10" t="n"/>
      <c r="F30" s="9" t="n"/>
      <c r="G30" s="19" t="n"/>
      <c r="H30" s="9" t="n"/>
      <c r="I30" s="9" t="n"/>
      <c r="J30" s="9" t="n"/>
      <c r="K30" s="9" t="n"/>
      <c r="L30" s="19" t="n"/>
      <c r="M30" s="9" t="n"/>
      <c r="N30" s="9" t="n"/>
      <c r="O30">
        <f>IF($A30="","",IF($K30="No","",IF(AND($G30&lt;&gt;"",$G30&lt;TODAY()),"⚠ overdue",IF(AND($G30&lt;&gt;"",$G30&gt;=TODAY(),$G30-TODAY()&lt;=14),"⚠ due soon",IF($J30="","⚠ no responsible person",IF($I30="","⚠ missing payment account",IF(AND($L30&lt;&gt;"",TODAY()-$L30&gt;180),"⚠ not reviewed recently","")))))))</f>
        <v/>
      </c>
    </row>
    <row r="31">
      <c r="A31" s="9" t="n"/>
      <c r="B31" s="9" t="n"/>
      <c r="C31" s="9" t="n"/>
      <c r="D31" s="9" t="n"/>
      <c r="E31" s="10" t="n"/>
      <c r="F31" s="9" t="n"/>
      <c r="G31" s="19" t="n"/>
      <c r="H31" s="9" t="n"/>
      <c r="I31" s="9" t="n"/>
      <c r="J31" s="9" t="n"/>
      <c r="K31" s="9" t="n"/>
      <c r="L31" s="19" t="n"/>
      <c r="M31" s="9" t="n"/>
      <c r="N31" s="9" t="n"/>
      <c r="O31">
        <f>IF($A31="","",IF($K31="No","",IF(AND($G31&lt;&gt;"",$G31&lt;TODAY()),"⚠ overdue",IF(AND($G31&lt;&gt;"",$G31&gt;=TODAY(),$G31-TODAY()&lt;=14),"⚠ due soon",IF($J31="","⚠ no responsible person",IF($I31="","⚠ missing payment account",IF(AND($L31&lt;&gt;"",TODAY()-$L31&gt;180),"⚠ not reviewed recently","")))))))</f>
        <v/>
      </c>
    </row>
    <row r="32">
      <c r="A32" s="9" t="n"/>
      <c r="B32" s="9" t="n"/>
      <c r="C32" s="9" t="n"/>
      <c r="D32" s="9" t="n"/>
      <c r="E32" s="10" t="n"/>
      <c r="F32" s="9" t="n"/>
      <c r="G32" s="19" t="n"/>
      <c r="H32" s="9" t="n"/>
      <c r="I32" s="9" t="n"/>
      <c r="J32" s="9" t="n"/>
      <c r="K32" s="9" t="n"/>
      <c r="L32" s="19" t="n"/>
      <c r="M32" s="9" t="n"/>
      <c r="N32" s="9" t="n"/>
      <c r="O32">
        <f>IF($A32="","",IF($K32="No","",IF(AND($G32&lt;&gt;"",$G32&lt;TODAY()),"⚠ overdue",IF(AND($G32&lt;&gt;"",$G32&gt;=TODAY(),$G32-TODAY()&lt;=14),"⚠ due soon",IF($J32="","⚠ no responsible person",IF($I32="","⚠ missing payment account",IF(AND($L32&lt;&gt;"",TODAY()-$L32&gt;180),"⚠ not reviewed recently","")))))))</f>
        <v/>
      </c>
    </row>
    <row r="33">
      <c r="A33" s="9" t="n"/>
      <c r="B33" s="9" t="n"/>
      <c r="C33" s="9" t="n"/>
      <c r="D33" s="9" t="n"/>
      <c r="E33" s="10" t="n"/>
      <c r="F33" s="9" t="n"/>
      <c r="G33" s="19" t="n"/>
      <c r="H33" s="9" t="n"/>
      <c r="I33" s="9" t="n"/>
      <c r="J33" s="9" t="n"/>
      <c r="K33" s="9" t="n"/>
      <c r="L33" s="19" t="n"/>
      <c r="M33" s="9" t="n"/>
      <c r="N33" s="9" t="n"/>
      <c r="O33">
        <f>IF($A33="","",IF($K33="No","",IF(AND($G33&lt;&gt;"",$G33&lt;TODAY()),"⚠ overdue",IF(AND($G33&lt;&gt;"",$G33&gt;=TODAY(),$G33-TODAY()&lt;=14),"⚠ due soon",IF($J33="","⚠ no responsible person",IF($I33="","⚠ missing payment account",IF(AND($L33&lt;&gt;"",TODAY()-$L33&gt;180),"⚠ not reviewed recently","")))))))</f>
        <v/>
      </c>
    </row>
    <row r="34">
      <c r="A34" s="9" t="n"/>
      <c r="B34" s="9" t="n"/>
      <c r="C34" s="9" t="n"/>
      <c r="D34" s="9" t="n"/>
      <c r="E34" s="10" t="n"/>
      <c r="F34" s="9" t="n"/>
      <c r="G34" s="19" t="n"/>
      <c r="H34" s="9" t="n"/>
      <c r="I34" s="9" t="n"/>
      <c r="J34" s="9" t="n"/>
      <c r="K34" s="9" t="n"/>
      <c r="L34" s="19" t="n"/>
      <c r="M34" s="9" t="n"/>
      <c r="N34" s="9" t="n"/>
      <c r="O34">
        <f>IF($A34="","",IF($K34="No","",IF(AND($G34&lt;&gt;"",$G34&lt;TODAY()),"⚠ overdue",IF(AND($G34&lt;&gt;"",$G34&gt;=TODAY(),$G34-TODAY()&lt;=14),"⚠ due soon",IF($J34="","⚠ no responsible person",IF($I34="","⚠ missing payment account",IF(AND($L34&lt;&gt;"",TODAY()-$L34&gt;180),"⚠ not reviewed recently","")))))))</f>
        <v/>
      </c>
    </row>
    <row r="35">
      <c r="A35" s="9" t="n"/>
      <c r="B35" s="9" t="n"/>
      <c r="C35" s="9" t="n"/>
      <c r="D35" s="9" t="n"/>
      <c r="E35" s="10" t="n"/>
      <c r="F35" s="9" t="n"/>
      <c r="G35" s="19" t="n"/>
      <c r="H35" s="9" t="n"/>
      <c r="I35" s="9" t="n"/>
      <c r="J35" s="9" t="n"/>
      <c r="K35" s="9" t="n"/>
      <c r="L35" s="19" t="n"/>
      <c r="M35" s="9" t="n"/>
      <c r="N35" s="9" t="n"/>
      <c r="O35">
        <f>IF($A35="","",IF($K35="No","",IF(AND($G35&lt;&gt;"",$G35&lt;TODAY()),"⚠ overdue",IF(AND($G35&lt;&gt;"",$G35&gt;=TODAY(),$G35-TODAY()&lt;=14),"⚠ due soon",IF($J35="","⚠ no responsible person",IF($I35="","⚠ missing payment account",IF(AND($L35&lt;&gt;"",TODAY()-$L35&gt;180),"⚠ not reviewed recently","")))))))</f>
        <v/>
      </c>
    </row>
    <row r="36">
      <c r="A36" s="9" t="n"/>
      <c r="B36" s="9" t="n"/>
      <c r="C36" s="9" t="n"/>
      <c r="D36" s="9" t="n"/>
      <c r="E36" s="10" t="n"/>
      <c r="F36" s="9" t="n"/>
      <c r="G36" s="19" t="n"/>
      <c r="H36" s="9" t="n"/>
      <c r="I36" s="9" t="n"/>
      <c r="J36" s="9" t="n"/>
      <c r="K36" s="9" t="n"/>
      <c r="L36" s="19" t="n"/>
      <c r="M36" s="9" t="n"/>
      <c r="N36" s="9" t="n"/>
      <c r="O36">
        <f>IF($A36="","",IF($K36="No","",IF(AND($G36&lt;&gt;"",$G36&lt;TODAY()),"⚠ overdue",IF(AND($G36&lt;&gt;"",$G36&gt;=TODAY(),$G36-TODAY()&lt;=14),"⚠ due soon",IF($J36="","⚠ no responsible person",IF($I36="","⚠ missing payment account",IF(AND($L36&lt;&gt;"",TODAY()-$L36&gt;180),"⚠ not reviewed recently","")))))))</f>
        <v/>
      </c>
    </row>
    <row r="37">
      <c r="A37" s="9" t="n"/>
      <c r="B37" s="9" t="n"/>
      <c r="C37" s="9" t="n"/>
      <c r="D37" s="9" t="n"/>
      <c r="E37" s="10" t="n"/>
      <c r="F37" s="9" t="n"/>
      <c r="G37" s="19" t="n"/>
      <c r="H37" s="9" t="n"/>
      <c r="I37" s="9" t="n"/>
      <c r="J37" s="9" t="n"/>
      <c r="K37" s="9" t="n"/>
      <c r="L37" s="19" t="n"/>
      <c r="M37" s="9" t="n"/>
      <c r="N37" s="9" t="n"/>
      <c r="O37">
        <f>IF($A37="","",IF($K37="No","",IF(AND($G37&lt;&gt;"",$G37&lt;TODAY()),"⚠ overdue",IF(AND($G37&lt;&gt;"",$G37&gt;=TODAY(),$G37-TODAY()&lt;=14),"⚠ due soon",IF($J37="","⚠ no responsible person",IF($I37="","⚠ missing payment account",IF(AND($L37&lt;&gt;"",TODAY()-$L37&gt;180),"⚠ not reviewed recently","")))))))</f>
        <v/>
      </c>
    </row>
    <row r="38">
      <c r="A38" s="9" t="n"/>
      <c r="B38" s="9" t="n"/>
      <c r="C38" s="9" t="n"/>
      <c r="D38" s="9" t="n"/>
      <c r="E38" s="10" t="n"/>
      <c r="F38" s="9" t="n"/>
      <c r="G38" s="19" t="n"/>
      <c r="H38" s="9" t="n"/>
      <c r="I38" s="9" t="n"/>
      <c r="J38" s="9" t="n"/>
      <c r="K38" s="9" t="n"/>
      <c r="L38" s="19" t="n"/>
      <c r="M38" s="9" t="n"/>
      <c r="N38" s="9" t="n"/>
      <c r="O38">
        <f>IF($A38="","",IF($K38="No","",IF(AND($G38&lt;&gt;"",$G38&lt;TODAY()),"⚠ overdue",IF(AND($G38&lt;&gt;"",$G38&gt;=TODAY(),$G38-TODAY()&lt;=14),"⚠ due soon",IF($J38="","⚠ no responsible person",IF($I38="","⚠ missing payment account",IF(AND($L38&lt;&gt;"",TODAY()-$L38&gt;180),"⚠ not reviewed recently","")))))))</f>
        <v/>
      </c>
    </row>
    <row r="39">
      <c r="A39" s="9" t="n"/>
      <c r="B39" s="9" t="n"/>
      <c r="C39" s="9" t="n"/>
      <c r="D39" s="9" t="n"/>
      <c r="E39" s="10" t="n"/>
      <c r="F39" s="9" t="n"/>
      <c r="G39" s="19" t="n"/>
      <c r="H39" s="9" t="n"/>
      <c r="I39" s="9" t="n"/>
      <c r="J39" s="9" t="n"/>
      <c r="K39" s="9" t="n"/>
      <c r="L39" s="19" t="n"/>
      <c r="M39" s="9" t="n"/>
      <c r="N39" s="9" t="n"/>
      <c r="O39">
        <f>IF($A39="","",IF($K39="No","",IF(AND($G39&lt;&gt;"",$G39&lt;TODAY()),"⚠ overdue",IF(AND($G39&lt;&gt;"",$G39&gt;=TODAY(),$G39-TODAY()&lt;=14),"⚠ due soon",IF($J39="","⚠ no responsible person",IF($I39="","⚠ missing payment account",IF(AND($L39&lt;&gt;"",TODAY()-$L39&gt;180),"⚠ not reviewed recently","")))))))</f>
        <v/>
      </c>
    </row>
    <row r="40">
      <c r="A40" s="9" t="n"/>
      <c r="B40" s="9" t="n"/>
      <c r="C40" s="9" t="n"/>
      <c r="D40" s="9" t="n"/>
      <c r="E40" s="10" t="n"/>
      <c r="F40" s="9" t="n"/>
      <c r="G40" s="19" t="n"/>
      <c r="H40" s="9" t="n"/>
      <c r="I40" s="9" t="n"/>
      <c r="J40" s="9" t="n"/>
      <c r="K40" s="9" t="n"/>
      <c r="L40" s="19" t="n"/>
      <c r="M40" s="9" t="n"/>
      <c r="N40" s="9" t="n"/>
      <c r="O40">
        <f>IF($A40="","",IF($K40="No","",IF(AND($G40&lt;&gt;"",$G40&lt;TODAY()),"⚠ overdue",IF(AND($G40&lt;&gt;"",$G40&gt;=TODAY(),$G40-TODAY()&lt;=14),"⚠ due soon",IF($J40="","⚠ no responsible person",IF($I40="","⚠ missing payment account",IF(AND($L40&lt;&gt;"",TODAY()-$L40&gt;180),"⚠ not reviewed recently","")))))))</f>
        <v/>
      </c>
    </row>
    <row r="41">
      <c r="A41" s="9" t="n"/>
      <c r="B41" s="9" t="n"/>
      <c r="C41" s="9" t="n"/>
      <c r="D41" s="9" t="n"/>
      <c r="E41" s="10" t="n"/>
      <c r="F41" s="9" t="n"/>
      <c r="G41" s="19" t="n"/>
      <c r="H41" s="9" t="n"/>
      <c r="I41" s="9" t="n"/>
      <c r="J41" s="9" t="n"/>
      <c r="K41" s="9" t="n"/>
      <c r="L41" s="19" t="n"/>
      <c r="M41" s="9" t="n"/>
      <c r="N41" s="9" t="n"/>
      <c r="O41">
        <f>IF($A41="","",IF($K41="No","",IF(AND($G41&lt;&gt;"",$G41&lt;TODAY()),"⚠ overdue",IF(AND($G41&lt;&gt;"",$G41&gt;=TODAY(),$G41-TODAY()&lt;=14),"⚠ due soon",IF($J41="","⚠ no responsible person",IF($I41="","⚠ missing payment account",IF(AND($L41&lt;&gt;"",TODAY()-$L41&gt;180),"⚠ not reviewed recently","")))))))</f>
        <v/>
      </c>
    </row>
    <row r="42">
      <c r="A42" s="9" t="n"/>
      <c r="B42" s="9" t="n"/>
      <c r="C42" s="9" t="n"/>
      <c r="D42" s="9" t="n"/>
      <c r="E42" s="10" t="n"/>
      <c r="F42" s="9" t="n"/>
      <c r="G42" s="19" t="n"/>
      <c r="H42" s="9" t="n"/>
      <c r="I42" s="9" t="n"/>
      <c r="J42" s="9" t="n"/>
      <c r="K42" s="9" t="n"/>
      <c r="L42" s="19" t="n"/>
      <c r="M42" s="9" t="n"/>
      <c r="N42" s="9" t="n"/>
      <c r="O42">
        <f>IF($A42="","",IF($K42="No","",IF(AND($G42&lt;&gt;"",$G42&lt;TODAY()),"⚠ overdue",IF(AND($G42&lt;&gt;"",$G42&gt;=TODAY(),$G42-TODAY()&lt;=14),"⚠ due soon",IF($J42="","⚠ no responsible person",IF($I42="","⚠ missing payment account",IF(AND($L42&lt;&gt;"",TODAY()-$L42&gt;180),"⚠ not reviewed recently","")))))))</f>
        <v/>
      </c>
    </row>
    <row r="43">
      <c r="A43" s="9" t="n"/>
      <c r="B43" s="9" t="n"/>
      <c r="C43" s="9" t="n"/>
      <c r="D43" s="9" t="n"/>
      <c r="E43" s="10" t="n"/>
      <c r="F43" s="9" t="n"/>
      <c r="G43" s="19" t="n"/>
      <c r="H43" s="9" t="n"/>
      <c r="I43" s="9" t="n"/>
      <c r="J43" s="9" t="n"/>
      <c r="K43" s="9" t="n"/>
      <c r="L43" s="19" t="n"/>
      <c r="M43" s="9" t="n"/>
      <c r="N43" s="9" t="n"/>
      <c r="O43">
        <f>IF($A43="","",IF($K43="No","",IF(AND($G43&lt;&gt;"",$G43&lt;TODAY()),"⚠ overdue",IF(AND($G43&lt;&gt;"",$G43&gt;=TODAY(),$G43-TODAY()&lt;=14),"⚠ due soon",IF($J43="","⚠ no responsible person",IF($I43="","⚠ missing payment account",IF(AND($L43&lt;&gt;"",TODAY()-$L43&gt;180),"⚠ not reviewed recently","")))))))</f>
        <v/>
      </c>
    </row>
    <row r="44">
      <c r="A44" s="9" t="n"/>
      <c r="B44" s="9" t="n"/>
      <c r="C44" s="9" t="n"/>
      <c r="D44" s="9" t="n"/>
      <c r="E44" s="10" t="n"/>
      <c r="F44" s="9" t="n"/>
      <c r="G44" s="19" t="n"/>
      <c r="H44" s="9" t="n"/>
      <c r="I44" s="9" t="n"/>
      <c r="J44" s="9" t="n"/>
      <c r="K44" s="9" t="n"/>
      <c r="L44" s="19" t="n"/>
      <c r="M44" s="9" t="n"/>
      <c r="N44" s="9" t="n"/>
      <c r="O44">
        <f>IF($A44="","",IF($K44="No","",IF(AND($G44&lt;&gt;"",$G44&lt;TODAY()),"⚠ overdue",IF(AND($G44&lt;&gt;"",$G44&gt;=TODAY(),$G44-TODAY()&lt;=14),"⚠ due soon",IF($J44="","⚠ no responsible person",IF($I44="","⚠ missing payment account",IF(AND($L44&lt;&gt;"",TODAY()-$L44&gt;180),"⚠ not reviewed recently","")))))))</f>
        <v/>
      </c>
    </row>
    <row r="45">
      <c r="A45" s="9" t="n"/>
      <c r="B45" s="9" t="n"/>
      <c r="C45" s="9" t="n"/>
      <c r="D45" s="9" t="n"/>
      <c r="E45" s="10" t="n"/>
      <c r="F45" s="9" t="n"/>
      <c r="G45" s="19" t="n"/>
      <c r="H45" s="9" t="n"/>
      <c r="I45" s="9" t="n"/>
      <c r="J45" s="9" t="n"/>
      <c r="K45" s="9" t="n"/>
      <c r="L45" s="19" t="n"/>
      <c r="M45" s="9" t="n"/>
      <c r="N45" s="9" t="n"/>
      <c r="O45">
        <f>IF($A45="","",IF($K45="No","",IF(AND($G45&lt;&gt;"",$G45&lt;TODAY()),"⚠ overdue",IF(AND($G45&lt;&gt;"",$G45&gt;=TODAY(),$G45-TODAY()&lt;=14),"⚠ due soon",IF($J45="","⚠ no responsible person",IF($I45="","⚠ missing payment account",IF(AND($L45&lt;&gt;"",TODAY()-$L45&gt;180),"⚠ not reviewed recently","")))))))</f>
        <v/>
      </c>
    </row>
    <row r="46">
      <c r="A46" s="9" t="n"/>
      <c r="B46" s="9" t="n"/>
      <c r="C46" s="9" t="n"/>
      <c r="D46" s="9" t="n"/>
      <c r="E46" s="10" t="n"/>
      <c r="F46" s="9" t="n"/>
      <c r="G46" s="19" t="n"/>
      <c r="H46" s="9" t="n"/>
      <c r="I46" s="9" t="n"/>
      <c r="J46" s="9" t="n"/>
      <c r="K46" s="9" t="n"/>
      <c r="L46" s="19" t="n"/>
      <c r="M46" s="9" t="n"/>
      <c r="N46" s="9" t="n"/>
      <c r="O46">
        <f>IF($A46="","",IF($K46="No","",IF(AND($G46&lt;&gt;"",$G46&lt;TODAY()),"⚠ overdue",IF(AND($G46&lt;&gt;"",$G46&gt;=TODAY(),$G46-TODAY()&lt;=14),"⚠ due soon",IF($J46="","⚠ no responsible person",IF($I46="","⚠ missing payment account",IF(AND($L46&lt;&gt;"",TODAY()-$L46&gt;180),"⚠ not reviewed recently","")))))))</f>
        <v/>
      </c>
    </row>
    <row r="47">
      <c r="A47" s="9" t="n"/>
      <c r="B47" s="9" t="n"/>
      <c r="C47" s="9" t="n"/>
      <c r="D47" s="9" t="n"/>
      <c r="E47" s="10" t="n"/>
      <c r="F47" s="9" t="n"/>
      <c r="G47" s="19" t="n"/>
      <c r="H47" s="9" t="n"/>
      <c r="I47" s="9" t="n"/>
      <c r="J47" s="9" t="n"/>
      <c r="K47" s="9" t="n"/>
      <c r="L47" s="19" t="n"/>
      <c r="M47" s="9" t="n"/>
      <c r="N47" s="9" t="n"/>
      <c r="O47">
        <f>IF($A47="","",IF($K47="No","",IF(AND($G47&lt;&gt;"",$G47&lt;TODAY()),"⚠ overdue",IF(AND($G47&lt;&gt;"",$G47&gt;=TODAY(),$G47-TODAY()&lt;=14),"⚠ due soon",IF($J47="","⚠ no responsible person",IF($I47="","⚠ missing payment account",IF(AND($L47&lt;&gt;"",TODAY()-$L47&gt;180),"⚠ not reviewed recently","")))))))</f>
        <v/>
      </c>
    </row>
    <row r="48">
      <c r="A48" s="9" t="n"/>
      <c r="B48" s="9" t="n"/>
      <c r="C48" s="9" t="n"/>
      <c r="D48" s="9" t="n"/>
      <c r="E48" s="10" t="n"/>
      <c r="F48" s="9" t="n"/>
      <c r="G48" s="19" t="n"/>
      <c r="H48" s="9" t="n"/>
      <c r="I48" s="9" t="n"/>
      <c r="J48" s="9" t="n"/>
      <c r="K48" s="9" t="n"/>
      <c r="L48" s="19" t="n"/>
      <c r="M48" s="9" t="n"/>
      <c r="N48" s="9" t="n"/>
      <c r="O48">
        <f>IF($A48="","",IF($K48="No","",IF(AND($G48&lt;&gt;"",$G48&lt;TODAY()),"⚠ overdue",IF(AND($G48&lt;&gt;"",$G48&gt;=TODAY(),$G48-TODAY()&lt;=14),"⚠ due soon",IF($J48="","⚠ no responsible person",IF($I48="","⚠ missing payment account",IF(AND($L48&lt;&gt;"",TODAY()-$L48&gt;180),"⚠ not reviewed recently","")))))))</f>
        <v/>
      </c>
    </row>
    <row r="49">
      <c r="A49" s="9" t="n"/>
      <c r="B49" s="9" t="n"/>
      <c r="C49" s="9" t="n"/>
      <c r="D49" s="9" t="n"/>
      <c r="E49" s="10" t="n"/>
      <c r="F49" s="9" t="n"/>
      <c r="G49" s="19" t="n"/>
      <c r="H49" s="9" t="n"/>
      <c r="I49" s="9" t="n"/>
      <c r="J49" s="9" t="n"/>
      <c r="K49" s="9" t="n"/>
      <c r="L49" s="19" t="n"/>
      <c r="M49" s="9" t="n"/>
      <c r="N49" s="9" t="n"/>
      <c r="O49">
        <f>IF($A49="","",IF($K49="No","",IF(AND($G49&lt;&gt;"",$G49&lt;TODAY()),"⚠ overdue",IF(AND($G49&lt;&gt;"",$G49&gt;=TODAY(),$G49-TODAY()&lt;=14),"⚠ due soon",IF($J49="","⚠ no responsible person",IF($I49="","⚠ missing payment account",IF(AND($L49&lt;&gt;"",TODAY()-$L49&gt;180),"⚠ not reviewed recently","")))))))</f>
        <v/>
      </c>
    </row>
    <row r="50">
      <c r="A50" s="9" t="n"/>
      <c r="B50" s="9" t="n"/>
      <c r="C50" s="9" t="n"/>
      <c r="D50" s="9" t="n"/>
      <c r="E50" s="10" t="n"/>
      <c r="F50" s="9" t="n"/>
      <c r="G50" s="19" t="n"/>
      <c r="H50" s="9" t="n"/>
      <c r="I50" s="9" t="n"/>
      <c r="J50" s="9" t="n"/>
      <c r="K50" s="9" t="n"/>
      <c r="L50" s="19" t="n"/>
      <c r="M50" s="9" t="n"/>
      <c r="N50" s="9" t="n"/>
      <c r="O50">
        <f>IF($A50="","",IF($K50="No","",IF(AND($G50&lt;&gt;"",$G50&lt;TODAY()),"⚠ overdue",IF(AND($G50&lt;&gt;"",$G50&gt;=TODAY(),$G50-TODAY()&lt;=14),"⚠ due soon",IF($J50="","⚠ no responsible person",IF($I50="","⚠ missing payment account",IF(AND($L50&lt;&gt;"",TODAY()-$L50&gt;180),"⚠ not reviewed recently","")))))))</f>
        <v/>
      </c>
    </row>
    <row r="51">
      <c r="A51" s="9" t="n"/>
      <c r="B51" s="9" t="n"/>
      <c r="C51" s="9" t="n"/>
      <c r="D51" s="9" t="n"/>
      <c r="E51" s="10" t="n"/>
      <c r="F51" s="9" t="n"/>
      <c r="G51" s="19" t="n"/>
      <c r="H51" s="9" t="n"/>
      <c r="I51" s="9" t="n"/>
      <c r="J51" s="9" t="n"/>
      <c r="K51" s="9" t="n"/>
      <c r="L51" s="19" t="n"/>
      <c r="M51" s="9" t="n"/>
      <c r="N51" s="9" t="n"/>
      <c r="O51">
        <f>IF($A51="","",IF($K51="No","",IF(AND($G51&lt;&gt;"",$G51&lt;TODAY()),"⚠ overdue",IF(AND($G51&lt;&gt;"",$G51&gt;=TODAY(),$G51-TODAY()&lt;=14),"⚠ due soon",IF($J51="","⚠ no responsible person",IF($I51="","⚠ missing payment account",IF(AND($L51&lt;&gt;"",TODAY()-$L51&gt;180),"⚠ not reviewed recently","")))))))</f>
        <v/>
      </c>
    </row>
    <row r="52">
      <c r="A52" s="9" t="n"/>
      <c r="B52" s="9" t="n"/>
      <c r="C52" s="9" t="n"/>
      <c r="D52" s="9" t="n"/>
      <c r="E52" s="10" t="n"/>
      <c r="F52" s="9" t="n"/>
      <c r="G52" s="19" t="n"/>
      <c r="H52" s="9" t="n"/>
      <c r="I52" s="9" t="n"/>
      <c r="J52" s="9" t="n"/>
      <c r="K52" s="9" t="n"/>
      <c r="L52" s="19" t="n"/>
      <c r="M52" s="9" t="n"/>
      <c r="N52" s="9" t="n"/>
      <c r="O52">
        <f>IF($A52="","",IF($K52="No","",IF(AND($G52&lt;&gt;"",$G52&lt;TODAY()),"⚠ overdue",IF(AND($G52&lt;&gt;"",$G52&gt;=TODAY(),$G52-TODAY()&lt;=14),"⚠ due soon",IF($J52="","⚠ no responsible person",IF($I52="","⚠ missing payment account",IF(AND($L52&lt;&gt;"",TODAY()-$L52&gt;180),"⚠ not reviewed recently","")))))))</f>
        <v/>
      </c>
    </row>
    <row r="53">
      <c r="A53" s="9" t="n"/>
      <c r="B53" s="9" t="n"/>
      <c r="C53" s="9" t="n"/>
      <c r="D53" s="9" t="n"/>
      <c r="E53" s="10" t="n"/>
      <c r="F53" s="9" t="n"/>
      <c r="G53" s="19" t="n"/>
      <c r="H53" s="9" t="n"/>
      <c r="I53" s="9" t="n"/>
      <c r="J53" s="9" t="n"/>
      <c r="K53" s="9" t="n"/>
      <c r="L53" s="19" t="n"/>
      <c r="M53" s="9" t="n"/>
      <c r="N53" s="9" t="n"/>
      <c r="O53">
        <f>IF($A53="","",IF($K53="No","",IF(AND($G53&lt;&gt;"",$G53&lt;TODAY()),"⚠ overdue",IF(AND($G53&lt;&gt;"",$G53&gt;=TODAY(),$G53-TODAY()&lt;=14),"⚠ due soon",IF($J53="","⚠ no responsible person",IF($I53="","⚠ missing payment account",IF(AND($L53&lt;&gt;"",TODAY()-$L53&gt;180),"⚠ not reviewed recently","")))))))</f>
        <v/>
      </c>
    </row>
    <row r="54">
      <c r="A54" s="9" t="n"/>
      <c r="B54" s="9" t="n"/>
      <c r="C54" s="9" t="n"/>
      <c r="D54" s="9" t="n"/>
      <c r="E54" s="10" t="n"/>
      <c r="F54" s="9" t="n"/>
      <c r="G54" s="19" t="n"/>
      <c r="H54" s="9" t="n"/>
      <c r="I54" s="9" t="n"/>
      <c r="J54" s="9" t="n"/>
      <c r="K54" s="9" t="n"/>
      <c r="L54" s="19" t="n"/>
      <c r="M54" s="9" t="n"/>
      <c r="N54" s="9" t="n"/>
      <c r="O54">
        <f>IF($A54="","",IF($K54="No","",IF(AND($G54&lt;&gt;"",$G54&lt;TODAY()),"⚠ overdue",IF(AND($G54&lt;&gt;"",$G54&gt;=TODAY(),$G54-TODAY()&lt;=14),"⚠ due soon",IF($J54="","⚠ no responsible person",IF($I54="","⚠ missing payment account",IF(AND($L54&lt;&gt;"",TODAY()-$L54&gt;180),"⚠ not reviewed recently","")))))))</f>
        <v/>
      </c>
    </row>
    <row r="55">
      <c r="A55" s="9" t="n"/>
      <c r="B55" s="9" t="n"/>
      <c r="C55" s="9" t="n"/>
      <c r="D55" s="9" t="n"/>
      <c r="E55" s="10" t="n"/>
      <c r="F55" s="9" t="n"/>
      <c r="G55" s="19" t="n"/>
      <c r="H55" s="9" t="n"/>
      <c r="I55" s="9" t="n"/>
      <c r="J55" s="9" t="n"/>
      <c r="K55" s="9" t="n"/>
      <c r="L55" s="19" t="n"/>
      <c r="M55" s="9" t="n"/>
      <c r="N55" s="9" t="n"/>
      <c r="O55">
        <f>IF($A55="","",IF($K55="No","",IF(AND($G55&lt;&gt;"",$G55&lt;TODAY()),"⚠ overdue",IF(AND($G55&lt;&gt;"",$G55&gt;=TODAY(),$G55-TODAY()&lt;=14),"⚠ due soon",IF($J55="","⚠ no responsible person",IF($I55="","⚠ missing payment account",IF(AND($L55&lt;&gt;"",TODAY()-$L55&gt;180),"⚠ not reviewed recently","")))))))</f>
        <v/>
      </c>
    </row>
    <row r="56">
      <c r="A56" s="9" t="n"/>
      <c r="B56" s="9" t="n"/>
      <c r="C56" s="9" t="n"/>
      <c r="D56" s="9" t="n"/>
      <c r="E56" s="10" t="n"/>
      <c r="F56" s="9" t="n"/>
      <c r="G56" s="19" t="n"/>
      <c r="H56" s="9" t="n"/>
      <c r="I56" s="9" t="n"/>
      <c r="J56" s="9" t="n"/>
      <c r="K56" s="9" t="n"/>
      <c r="L56" s="19" t="n"/>
      <c r="M56" s="9" t="n"/>
      <c r="N56" s="9" t="n"/>
      <c r="O56">
        <f>IF($A56="","",IF($K56="No","",IF(AND($G56&lt;&gt;"",$G56&lt;TODAY()),"⚠ overdue",IF(AND($G56&lt;&gt;"",$G56&gt;=TODAY(),$G56-TODAY()&lt;=14),"⚠ due soon",IF($J56="","⚠ no responsible person",IF($I56="","⚠ missing payment account",IF(AND($L56&lt;&gt;"",TODAY()-$L56&gt;180),"⚠ not reviewed recently","")))))))</f>
        <v/>
      </c>
    </row>
    <row r="57">
      <c r="A57" s="9" t="n"/>
      <c r="B57" s="9" t="n"/>
      <c r="C57" s="9" t="n"/>
      <c r="D57" s="9" t="n"/>
      <c r="E57" s="10" t="n"/>
      <c r="F57" s="9" t="n"/>
      <c r="G57" s="19" t="n"/>
      <c r="H57" s="9" t="n"/>
      <c r="I57" s="9" t="n"/>
      <c r="J57" s="9" t="n"/>
      <c r="K57" s="9" t="n"/>
      <c r="L57" s="19" t="n"/>
      <c r="M57" s="9" t="n"/>
      <c r="N57" s="9" t="n"/>
      <c r="O57">
        <f>IF($A57="","",IF($K57="No","",IF(AND($G57&lt;&gt;"",$G57&lt;TODAY()),"⚠ overdue",IF(AND($G57&lt;&gt;"",$G57&gt;=TODAY(),$G57-TODAY()&lt;=14),"⚠ due soon",IF($J57="","⚠ no responsible person",IF($I57="","⚠ missing payment account",IF(AND($L57&lt;&gt;"",TODAY()-$L57&gt;180),"⚠ not reviewed recently","")))))))</f>
        <v/>
      </c>
    </row>
    <row r="58">
      <c r="A58" s="9" t="n"/>
      <c r="B58" s="9" t="n"/>
      <c r="C58" s="9" t="n"/>
      <c r="D58" s="9" t="n"/>
      <c r="E58" s="10" t="n"/>
      <c r="F58" s="9" t="n"/>
      <c r="G58" s="19" t="n"/>
      <c r="H58" s="9" t="n"/>
      <c r="I58" s="9" t="n"/>
      <c r="J58" s="9" t="n"/>
      <c r="K58" s="9" t="n"/>
      <c r="L58" s="19" t="n"/>
      <c r="M58" s="9" t="n"/>
      <c r="N58" s="9" t="n"/>
      <c r="O58">
        <f>IF($A58="","",IF($K58="No","",IF(AND($G58&lt;&gt;"",$G58&lt;TODAY()),"⚠ overdue",IF(AND($G58&lt;&gt;"",$G58&gt;=TODAY(),$G58-TODAY()&lt;=14),"⚠ due soon",IF($J58="","⚠ no responsible person",IF($I58="","⚠ missing payment account",IF(AND($L58&lt;&gt;"",TODAY()-$L58&gt;180),"⚠ not reviewed recently","")))))))</f>
        <v/>
      </c>
    </row>
    <row r="59">
      <c r="A59" s="9" t="n"/>
      <c r="B59" s="9" t="n"/>
      <c r="C59" s="9" t="n"/>
      <c r="D59" s="9" t="n"/>
      <c r="E59" s="10" t="n"/>
      <c r="F59" s="9" t="n"/>
      <c r="G59" s="19" t="n"/>
      <c r="H59" s="9" t="n"/>
      <c r="I59" s="9" t="n"/>
      <c r="J59" s="9" t="n"/>
      <c r="K59" s="9" t="n"/>
      <c r="L59" s="19" t="n"/>
      <c r="M59" s="9" t="n"/>
      <c r="N59" s="9" t="n"/>
      <c r="O59">
        <f>IF($A59="","",IF($K59="No","",IF(AND($G59&lt;&gt;"",$G59&lt;TODAY()),"⚠ overdue",IF(AND($G59&lt;&gt;"",$G59&gt;=TODAY(),$G59-TODAY()&lt;=14),"⚠ due soon",IF($J59="","⚠ no responsible person",IF($I59="","⚠ missing payment account",IF(AND($L59&lt;&gt;"",TODAY()-$L59&gt;180),"⚠ not reviewed recently","")))))))</f>
        <v/>
      </c>
    </row>
    <row r="60">
      <c r="A60" s="9" t="n"/>
      <c r="B60" s="9" t="n"/>
      <c r="C60" s="9" t="n"/>
      <c r="D60" s="9" t="n"/>
      <c r="E60" s="10" t="n"/>
      <c r="F60" s="9" t="n"/>
      <c r="G60" s="19" t="n"/>
      <c r="H60" s="9" t="n"/>
      <c r="I60" s="9" t="n"/>
      <c r="J60" s="9" t="n"/>
      <c r="K60" s="9" t="n"/>
      <c r="L60" s="19" t="n"/>
      <c r="M60" s="9" t="n"/>
      <c r="N60" s="9" t="n"/>
      <c r="O60">
        <f>IF($A60="","",IF($K60="No","",IF(AND($G60&lt;&gt;"",$G60&lt;TODAY()),"⚠ overdue",IF(AND($G60&lt;&gt;"",$G60&gt;=TODAY(),$G60-TODAY()&lt;=14),"⚠ due soon",IF($J60="","⚠ no responsible person",IF($I60="","⚠ missing payment account",IF(AND($L60&lt;&gt;"",TODAY()-$L60&gt;180),"⚠ not reviewed recently","")))))))</f>
        <v/>
      </c>
    </row>
    <row r="61">
      <c r="A61" s="9" t="n"/>
      <c r="B61" s="9" t="n"/>
      <c r="C61" s="9" t="n"/>
      <c r="D61" s="9" t="n"/>
      <c r="E61" s="10" t="n"/>
      <c r="F61" s="9" t="n"/>
      <c r="G61" s="19" t="n"/>
      <c r="H61" s="9" t="n"/>
      <c r="I61" s="9" t="n"/>
      <c r="J61" s="9" t="n"/>
      <c r="K61" s="9" t="n"/>
      <c r="L61" s="19" t="n"/>
      <c r="M61" s="9" t="n"/>
      <c r="N61" s="9" t="n"/>
      <c r="O61">
        <f>IF($A61="","",IF($K61="No","",IF(AND($G61&lt;&gt;"",$G61&lt;TODAY()),"⚠ overdue",IF(AND($G61&lt;&gt;"",$G61&gt;=TODAY(),$G61-TODAY()&lt;=14),"⚠ due soon",IF($J61="","⚠ no responsible person",IF($I61="","⚠ missing payment account",IF(AND($L61&lt;&gt;"",TODAY()-$L61&gt;180),"⚠ not reviewed recently","")))))))</f>
        <v/>
      </c>
    </row>
    <row r="62">
      <c r="A62" s="9" t="n"/>
      <c r="B62" s="9" t="n"/>
      <c r="C62" s="9" t="n"/>
      <c r="D62" s="9" t="n"/>
      <c r="E62" s="10" t="n"/>
      <c r="F62" s="9" t="n"/>
      <c r="G62" s="19" t="n"/>
      <c r="H62" s="9" t="n"/>
      <c r="I62" s="9" t="n"/>
      <c r="J62" s="9" t="n"/>
      <c r="K62" s="9" t="n"/>
      <c r="L62" s="19" t="n"/>
      <c r="M62" s="9" t="n"/>
      <c r="N62" s="9" t="n"/>
      <c r="O62">
        <f>IF($A62="","",IF($K62="No","",IF(AND($G62&lt;&gt;"",$G62&lt;TODAY()),"⚠ overdue",IF(AND($G62&lt;&gt;"",$G62&gt;=TODAY(),$G62-TODAY()&lt;=14),"⚠ due soon",IF($J62="","⚠ no responsible person",IF($I62="","⚠ missing payment account",IF(AND($L62&lt;&gt;"",TODAY()-$L62&gt;180),"⚠ not reviewed recently","")))))))</f>
        <v/>
      </c>
    </row>
    <row r="63">
      <c r="A63" s="9" t="n"/>
      <c r="B63" s="9" t="n"/>
      <c r="C63" s="9" t="n"/>
      <c r="D63" s="9" t="n"/>
      <c r="E63" s="10" t="n"/>
      <c r="F63" s="9" t="n"/>
      <c r="G63" s="19" t="n"/>
      <c r="H63" s="9" t="n"/>
      <c r="I63" s="9" t="n"/>
      <c r="J63" s="9" t="n"/>
      <c r="K63" s="9" t="n"/>
      <c r="L63" s="19" t="n"/>
      <c r="M63" s="9" t="n"/>
      <c r="N63" s="9" t="n"/>
      <c r="O63">
        <f>IF($A63="","",IF($K63="No","",IF(AND($G63&lt;&gt;"",$G63&lt;TODAY()),"⚠ overdue",IF(AND($G63&lt;&gt;"",$G63&gt;=TODAY(),$G63-TODAY()&lt;=14),"⚠ due soon",IF($J63="","⚠ no responsible person",IF($I63="","⚠ missing payment account",IF(AND($L63&lt;&gt;"",TODAY()-$L63&gt;180),"⚠ not reviewed recently","")))))))</f>
        <v/>
      </c>
    </row>
    <row r="64">
      <c r="A64" s="9" t="n"/>
      <c r="B64" s="9" t="n"/>
      <c r="C64" s="9" t="n"/>
      <c r="D64" s="9" t="n"/>
      <c r="E64" s="10" t="n"/>
      <c r="F64" s="9" t="n"/>
      <c r="G64" s="19" t="n"/>
      <c r="H64" s="9" t="n"/>
      <c r="I64" s="9" t="n"/>
      <c r="J64" s="9" t="n"/>
      <c r="K64" s="9" t="n"/>
      <c r="L64" s="19" t="n"/>
      <c r="M64" s="9" t="n"/>
      <c r="N64" s="9" t="n"/>
      <c r="O64">
        <f>IF($A64="","",IF($K64="No","",IF(AND($G64&lt;&gt;"",$G64&lt;TODAY()),"⚠ overdue",IF(AND($G64&lt;&gt;"",$G64&gt;=TODAY(),$G64-TODAY()&lt;=14),"⚠ due soon",IF($J64="","⚠ no responsible person",IF($I64="","⚠ missing payment account",IF(AND($L64&lt;&gt;"",TODAY()-$L64&gt;180),"⚠ not reviewed recently","")))))))</f>
        <v/>
      </c>
    </row>
    <row r="65">
      <c r="A65" s="9" t="n"/>
      <c r="B65" s="9" t="n"/>
      <c r="C65" s="9" t="n"/>
      <c r="D65" s="9" t="n"/>
      <c r="E65" s="10" t="n"/>
      <c r="F65" s="9" t="n"/>
      <c r="G65" s="19" t="n"/>
      <c r="H65" s="9" t="n"/>
      <c r="I65" s="9" t="n"/>
      <c r="J65" s="9" t="n"/>
      <c r="K65" s="9" t="n"/>
      <c r="L65" s="19" t="n"/>
      <c r="M65" s="9" t="n"/>
      <c r="N65" s="9" t="n"/>
      <c r="O65">
        <f>IF($A65="","",IF($K65="No","",IF(AND($G65&lt;&gt;"",$G65&lt;TODAY()),"⚠ overdue",IF(AND($G65&lt;&gt;"",$G65&gt;=TODAY(),$G65-TODAY()&lt;=14),"⚠ due soon",IF($J65="","⚠ no responsible person",IF($I65="","⚠ missing payment account",IF(AND($L65&lt;&gt;"",TODAY()-$L65&gt;180),"⚠ not reviewed recently","")))))))</f>
        <v/>
      </c>
    </row>
    <row r="66">
      <c r="A66" s="9" t="n"/>
      <c r="B66" s="9" t="n"/>
      <c r="C66" s="9" t="n"/>
      <c r="D66" s="9" t="n"/>
      <c r="E66" s="10" t="n"/>
      <c r="F66" s="9" t="n"/>
      <c r="G66" s="19" t="n"/>
      <c r="H66" s="9" t="n"/>
      <c r="I66" s="9" t="n"/>
      <c r="J66" s="9" t="n"/>
      <c r="K66" s="9" t="n"/>
      <c r="L66" s="19" t="n"/>
      <c r="M66" s="9" t="n"/>
      <c r="N66" s="9" t="n"/>
      <c r="O66">
        <f>IF($A66="","",IF($K66="No","",IF(AND($G66&lt;&gt;"",$G66&lt;TODAY()),"⚠ overdue",IF(AND($G66&lt;&gt;"",$G66&gt;=TODAY(),$G66-TODAY()&lt;=14),"⚠ due soon",IF($J66="","⚠ no responsible person",IF($I66="","⚠ missing payment account",IF(AND($L66&lt;&gt;"",TODAY()-$L66&gt;180),"⚠ not reviewed recently","")))))))</f>
        <v/>
      </c>
    </row>
    <row r="67">
      <c r="A67" s="9" t="n"/>
      <c r="B67" s="9" t="n"/>
      <c r="C67" s="9" t="n"/>
      <c r="D67" s="9" t="n"/>
      <c r="E67" s="10" t="n"/>
      <c r="F67" s="9" t="n"/>
      <c r="G67" s="19" t="n"/>
      <c r="H67" s="9" t="n"/>
      <c r="I67" s="9" t="n"/>
      <c r="J67" s="9" t="n"/>
      <c r="K67" s="9" t="n"/>
      <c r="L67" s="19" t="n"/>
      <c r="M67" s="9" t="n"/>
      <c r="N67" s="9" t="n"/>
      <c r="O67">
        <f>IF($A67="","",IF($K67="No","",IF(AND($G67&lt;&gt;"",$G67&lt;TODAY()),"⚠ overdue",IF(AND($G67&lt;&gt;"",$G67&gt;=TODAY(),$G67-TODAY()&lt;=14),"⚠ due soon",IF($J67="","⚠ no responsible person",IF($I67="","⚠ missing payment account",IF(AND($L67&lt;&gt;"",TODAY()-$L67&gt;180),"⚠ not reviewed recently","")))))))</f>
        <v/>
      </c>
    </row>
    <row r="68">
      <c r="A68" s="9" t="n"/>
      <c r="B68" s="9" t="n"/>
      <c r="C68" s="9" t="n"/>
      <c r="D68" s="9" t="n"/>
      <c r="E68" s="10" t="n"/>
      <c r="F68" s="9" t="n"/>
      <c r="G68" s="19" t="n"/>
      <c r="H68" s="9" t="n"/>
      <c r="I68" s="9" t="n"/>
      <c r="J68" s="9" t="n"/>
      <c r="K68" s="9" t="n"/>
      <c r="L68" s="19" t="n"/>
      <c r="M68" s="9" t="n"/>
      <c r="N68" s="9" t="n"/>
      <c r="O68">
        <f>IF($A68="","",IF($K68="No","",IF(AND($G68&lt;&gt;"",$G68&lt;TODAY()),"⚠ overdue",IF(AND($G68&lt;&gt;"",$G68&gt;=TODAY(),$G68-TODAY()&lt;=14),"⚠ due soon",IF($J68="","⚠ no responsible person",IF($I68="","⚠ missing payment account",IF(AND($L68&lt;&gt;"",TODAY()-$L68&gt;180),"⚠ not reviewed recently","")))))))</f>
        <v/>
      </c>
    </row>
    <row r="69">
      <c r="A69" s="9" t="n"/>
      <c r="B69" s="9" t="n"/>
      <c r="C69" s="9" t="n"/>
      <c r="D69" s="9" t="n"/>
      <c r="E69" s="10" t="n"/>
      <c r="F69" s="9" t="n"/>
      <c r="G69" s="19" t="n"/>
      <c r="H69" s="9" t="n"/>
      <c r="I69" s="9" t="n"/>
      <c r="J69" s="9" t="n"/>
      <c r="K69" s="9" t="n"/>
      <c r="L69" s="19" t="n"/>
      <c r="M69" s="9" t="n"/>
      <c r="N69" s="9" t="n"/>
      <c r="O69">
        <f>IF($A69="","",IF($K69="No","",IF(AND($G69&lt;&gt;"",$G69&lt;TODAY()),"⚠ overdue",IF(AND($G69&lt;&gt;"",$G69&gt;=TODAY(),$G69-TODAY()&lt;=14),"⚠ due soon",IF($J69="","⚠ no responsible person",IF($I69="","⚠ missing payment account",IF(AND($L69&lt;&gt;"",TODAY()-$L69&gt;180),"⚠ not reviewed recently","")))))))</f>
        <v/>
      </c>
    </row>
    <row r="70">
      <c r="A70" s="9" t="n"/>
      <c r="B70" s="9" t="n"/>
      <c r="C70" s="9" t="n"/>
      <c r="D70" s="9" t="n"/>
      <c r="E70" s="10" t="n"/>
      <c r="F70" s="9" t="n"/>
      <c r="G70" s="19" t="n"/>
      <c r="H70" s="9" t="n"/>
      <c r="I70" s="9" t="n"/>
      <c r="J70" s="9" t="n"/>
      <c r="K70" s="9" t="n"/>
      <c r="L70" s="19" t="n"/>
      <c r="M70" s="9" t="n"/>
      <c r="N70" s="9" t="n"/>
      <c r="O70">
        <f>IF($A70="","",IF($K70="No","",IF(AND($G70&lt;&gt;"",$G70&lt;TODAY()),"⚠ overdue",IF(AND($G70&lt;&gt;"",$G70&gt;=TODAY(),$G70-TODAY()&lt;=14),"⚠ due soon",IF($J70="","⚠ no responsible person",IF($I70="","⚠ missing payment account",IF(AND($L70&lt;&gt;"",TODAY()-$L70&gt;180),"⚠ not reviewed recently","")))))))</f>
        <v/>
      </c>
    </row>
    <row r="71">
      <c r="A71" s="9" t="n"/>
      <c r="B71" s="9" t="n"/>
      <c r="C71" s="9" t="n"/>
      <c r="D71" s="9" t="n"/>
      <c r="E71" s="10" t="n"/>
      <c r="F71" s="9" t="n"/>
      <c r="G71" s="19" t="n"/>
      <c r="H71" s="9" t="n"/>
      <c r="I71" s="9" t="n"/>
      <c r="J71" s="9" t="n"/>
      <c r="K71" s="9" t="n"/>
      <c r="L71" s="19" t="n"/>
      <c r="M71" s="9" t="n"/>
      <c r="N71" s="9" t="n"/>
      <c r="O71">
        <f>IF($A71="","",IF($K71="No","",IF(AND($G71&lt;&gt;"",$G71&lt;TODAY()),"⚠ overdue",IF(AND($G71&lt;&gt;"",$G71&gt;=TODAY(),$G71-TODAY()&lt;=14),"⚠ due soon",IF($J71="","⚠ no responsible person",IF($I71="","⚠ missing payment account",IF(AND($L71&lt;&gt;"",TODAY()-$L71&gt;180),"⚠ not reviewed recently","")))))))</f>
        <v/>
      </c>
    </row>
    <row r="72">
      <c r="A72" s="9" t="n"/>
      <c r="B72" s="9" t="n"/>
      <c r="C72" s="9" t="n"/>
      <c r="D72" s="9" t="n"/>
      <c r="E72" s="10" t="n"/>
      <c r="F72" s="9" t="n"/>
      <c r="G72" s="19" t="n"/>
      <c r="H72" s="9" t="n"/>
      <c r="I72" s="9" t="n"/>
      <c r="J72" s="9" t="n"/>
      <c r="K72" s="9" t="n"/>
      <c r="L72" s="19" t="n"/>
      <c r="M72" s="9" t="n"/>
      <c r="N72" s="9" t="n"/>
      <c r="O72">
        <f>IF($A72="","",IF($K72="No","",IF(AND($G72&lt;&gt;"",$G72&lt;TODAY()),"⚠ overdue",IF(AND($G72&lt;&gt;"",$G72&gt;=TODAY(),$G72-TODAY()&lt;=14),"⚠ due soon",IF($J72="","⚠ no responsible person",IF($I72="","⚠ missing payment account",IF(AND($L72&lt;&gt;"",TODAY()-$L72&gt;180),"⚠ not reviewed recently","")))))))</f>
        <v/>
      </c>
    </row>
    <row r="73">
      <c r="A73" s="9" t="n"/>
      <c r="B73" s="9" t="n"/>
      <c r="C73" s="9" t="n"/>
      <c r="D73" s="9" t="n"/>
      <c r="E73" s="10" t="n"/>
      <c r="F73" s="9" t="n"/>
      <c r="G73" s="19" t="n"/>
      <c r="H73" s="9" t="n"/>
      <c r="I73" s="9" t="n"/>
      <c r="J73" s="9" t="n"/>
      <c r="K73" s="9" t="n"/>
      <c r="L73" s="19" t="n"/>
      <c r="M73" s="9" t="n"/>
      <c r="N73" s="9" t="n"/>
      <c r="O73">
        <f>IF($A73="","",IF($K73="No","",IF(AND($G73&lt;&gt;"",$G73&lt;TODAY()),"⚠ overdue",IF(AND($G73&lt;&gt;"",$G73&gt;=TODAY(),$G73-TODAY()&lt;=14),"⚠ due soon",IF($J73="","⚠ no responsible person",IF($I73="","⚠ missing payment account",IF(AND($L73&lt;&gt;"",TODAY()-$L73&gt;180),"⚠ not reviewed recently","")))))))</f>
        <v/>
      </c>
    </row>
    <row r="74">
      <c r="A74" s="9" t="n"/>
      <c r="B74" s="9" t="n"/>
      <c r="C74" s="9" t="n"/>
      <c r="D74" s="9" t="n"/>
      <c r="E74" s="10" t="n"/>
      <c r="F74" s="9" t="n"/>
      <c r="G74" s="19" t="n"/>
      <c r="H74" s="9" t="n"/>
      <c r="I74" s="9" t="n"/>
      <c r="J74" s="9" t="n"/>
      <c r="K74" s="9" t="n"/>
      <c r="L74" s="19" t="n"/>
      <c r="M74" s="9" t="n"/>
      <c r="N74" s="9" t="n"/>
      <c r="O74">
        <f>IF($A74="","",IF($K74="No","",IF(AND($G74&lt;&gt;"",$G74&lt;TODAY()),"⚠ overdue",IF(AND($G74&lt;&gt;"",$G74&gt;=TODAY(),$G74-TODAY()&lt;=14),"⚠ due soon",IF($J74="","⚠ no responsible person",IF($I74="","⚠ missing payment account",IF(AND($L74&lt;&gt;"",TODAY()-$L74&gt;180),"⚠ not reviewed recently","")))))))</f>
        <v/>
      </c>
    </row>
    <row r="75">
      <c r="A75" s="9" t="n"/>
      <c r="B75" s="9" t="n"/>
      <c r="C75" s="9" t="n"/>
      <c r="D75" s="9" t="n"/>
      <c r="E75" s="10" t="n"/>
      <c r="F75" s="9" t="n"/>
      <c r="G75" s="19" t="n"/>
      <c r="H75" s="9" t="n"/>
      <c r="I75" s="9" t="n"/>
      <c r="J75" s="9" t="n"/>
      <c r="K75" s="9" t="n"/>
      <c r="L75" s="19" t="n"/>
      <c r="M75" s="9" t="n"/>
      <c r="N75" s="9" t="n"/>
      <c r="O75">
        <f>IF($A75="","",IF($K75="No","",IF(AND($G75&lt;&gt;"",$G75&lt;TODAY()),"⚠ overdue",IF(AND($G75&lt;&gt;"",$G75&gt;=TODAY(),$G75-TODAY()&lt;=14),"⚠ due soon",IF($J75="","⚠ no responsible person",IF($I75="","⚠ missing payment account",IF(AND($L75&lt;&gt;"",TODAY()-$L75&gt;180),"⚠ not reviewed recently","")))))))</f>
        <v/>
      </c>
    </row>
    <row r="76">
      <c r="A76" s="9" t="n"/>
      <c r="B76" s="9" t="n"/>
      <c r="C76" s="9" t="n"/>
      <c r="D76" s="9" t="n"/>
      <c r="E76" s="10" t="n"/>
      <c r="F76" s="9" t="n"/>
      <c r="G76" s="19" t="n"/>
      <c r="H76" s="9" t="n"/>
      <c r="I76" s="9" t="n"/>
      <c r="J76" s="9" t="n"/>
      <c r="K76" s="9" t="n"/>
      <c r="L76" s="19" t="n"/>
      <c r="M76" s="9" t="n"/>
      <c r="N76" s="9" t="n"/>
      <c r="O76">
        <f>IF($A76="","",IF($K76="No","",IF(AND($G76&lt;&gt;"",$G76&lt;TODAY()),"⚠ overdue",IF(AND($G76&lt;&gt;"",$G76&gt;=TODAY(),$G76-TODAY()&lt;=14),"⚠ due soon",IF($J76="","⚠ no responsible person",IF($I76="","⚠ missing payment account",IF(AND($L76&lt;&gt;"",TODAY()-$L76&gt;180),"⚠ not reviewed recently","")))))))</f>
        <v/>
      </c>
    </row>
    <row r="77">
      <c r="A77" s="9" t="n"/>
      <c r="B77" s="9" t="n"/>
      <c r="C77" s="9" t="n"/>
      <c r="D77" s="9" t="n"/>
      <c r="E77" s="10" t="n"/>
      <c r="F77" s="9" t="n"/>
      <c r="G77" s="19" t="n"/>
      <c r="H77" s="9" t="n"/>
      <c r="I77" s="9" t="n"/>
      <c r="J77" s="9" t="n"/>
      <c r="K77" s="9" t="n"/>
      <c r="L77" s="19" t="n"/>
      <c r="M77" s="9" t="n"/>
      <c r="N77" s="9" t="n"/>
      <c r="O77">
        <f>IF($A77="","",IF($K77="No","",IF(AND($G77&lt;&gt;"",$G77&lt;TODAY()),"⚠ overdue",IF(AND($G77&lt;&gt;"",$G77&gt;=TODAY(),$G77-TODAY()&lt;=14),"⚠ due soon",IF($J77="","⚠ no responsible person",IF($I77="","⚠ missing payment account",IF(AND($L77&lt;&gt;"",TODAY()-$L77&gt;180),"⚠ not reviewed recently","")))))))</f>
        <v/>
      </c>
    </row>
    <row r="78">
      <c r="A78" s="9" t="n"/>
      <c r="B78" s="9" t="n"/>
      <c r="C78" s="9" t="n"/>
      <c r="D78" s="9" t="n"/>
      <c r="E78" s="10" t="n"/>
      <c r="F78" s="9" t="n"/>
      <c r="G78" s="19" t="n"/>
      <c r="H78" s="9" t="n"/>
      <c r="I78" s="9" t="n"/>
      <c r="J78" s="9" t="n"/>
      <c r="K78" s="9" t="n"/>
      <c r="L78" s="19" t="n"/>
      <c r="M78" s="9" t="n"/>
      <c r="N78" s="9" t="n"/>
      <c r="O78">
        <f>IF($A78="","",IF($K78="No","",IF(AND($G78&lt;&gt;"",$G78&lt;TODAY()),"⚠ overdue",IF(AND($G78&lt;&gt;"",$G78&gt;=TODAY(),$G78-TODAY()&lt;=14),"⚠ due soon",IF($J78="","⚠ no responsible person",IF($I78="","⚠ missing payment account",IF(AND($L78&lt;&gt;"",TODAY()-$L78&gt;180),"⚠ not reviewed recently","")))))))</f>
        <v/>
      </c>
    </row>
    <row r="79">
      <c r="A79" s="9" t="n"/>
      <c r="B79" s="9" t="n"/>
      <c r="C79" s="9" t="n"/>
      <c r="D79" s="9" t="n"/>
      <c r="E79" s="10" t="n"/>
      <c r="F79" s="9" t="n"/>
      <c r="G79" s="19" t="n"/>
      <c r="H79" s="9" t="n"/>
      <c r="I79" s="9" t="n"/>
      <c r="J79" s="9" t="n"/>
      <c r="K79" s="9" t="n"/>
      <c r="L79" s="19" t="n"/>
      <c r="M79" s="9" t="n"/>
      <c r="N79" s="9" t="n"/>
      <c r="O79">
        <f>IF($A79="","",IF($K79="No","",IF(AND($G79&lt;&gt;"",$G79&lt;TODAY()),"⚠ overdue",IF(AND($G79&lt;&gt;"",$G79&gt;=TODAY(),$G79-TODAY()&lt;=14),"⚠ due soon",IF($J79="","⚠ no responsible person",IF($I79="","⚠ missing payment account",IF(AND($L79&lt;&gt;"",TODAY()-$L79&gt;180),"⚠ not reviewed recently","")))))))</f>
        <v/>
      </c>
    </row>
    <row r="80">
      <c r="A80" s="9" t="n"/>
      <c r="B80" s="9" t="n"/>
      <c r="C80" s="9" t="n"/>
      <c r="D80" s="9" t="n"/>
      <c r="E80" s="10" t="n"/>
      <c r="F80" s="9" t="n"/>
      <c r="G80" s="19" t="n"/>
      <c r="H80" s="9" t="n"/>
      <c r="I80" s="9" t="n"/>
      <c r="J80" s="9" t="n"/>
      <c r="K80" s="9" t="n"/>
      <c r="L80" s="19" t="n"/>
      <c r="M80" s="9" t="n"/>
      <c r="N80" s="9" t="n"/>
      <c r="O80">
        <f>IF($A80="","",IF($K80="No","",IF(AND($G80&lt;&gt;"",$G80&lt;TODAY()),"⚠ overdue",IF(AND($G80&lt;&gt;"",$G80&gt;=TODAY(),$G80-TODAY()&lt;=14),"⚠ due soon",IF($J80="","⚠ no responsible person",IF($I80="","⚠ missing payment account",IF(AND($L80&lt;&gt;"",TODAY()-$L80&gt;180),"⚠ not reviewed recently","")))))))</f>
        <v/>
      </c>
    </row>
    <row r="81">
      <c r="A81" s="9" t="n"/>
      <c r="B81" s="9" t="n"/>
      <c r="C81" s="9" t="n"/>
      <c r="D81" s="9" t="n"/>
      <c r="E81" s="10" t="n"/>
      <c r="F81" s="9" t="n"/>
      <c r="G81" s="19" t="n"/>
      <c r="H81" s="9" t="n"/>
      <c r="I81" s="9" t="n"/>
      <c r="J81" s="9" t="n"/>
      <c r="K81" s="9" t="n"/>
      <c r="L81" s="19" t="n"/>
      <c r="M81" s="9" t="n"/>
      <c r="N81" s="9" t="n"/>
      <c r="O81">
        <f>IF($A81="","",IF($K81="No","",IF(AND($G81&lt;&gt;"",$G81&lt;TODAY()),"⚠ overdue",IF(AND($G81&lt;&gt;"",$G81&gt;=TODAY(),$G81-TODAY()&lt;=14),"⚠ due soon",IF($J81="","⚠ no responsible person",IF($I81="","⚠ missing payment account",IF(AND($L81&lt;&gt;"",TODAY()-$L81&gt;180),"⚠ not reviewed recently","")))))))</f>
        <v/>
      </c>
    </row>
    <row r="82">
      <c r="A82" s="9" t="n"/>
      <c r="B82" s="9" t="n"/>
      <c r="C82" s="9" t="n"/>
      <c r="D82" s="9" t="n"/>
      <c r="E82" s="10" t="n"/>
      <c r="F82" s="9" t="n"/>
      <c r="G82" s="19" t="n"/>
      <c r="H82" s="9" t="n"/>
      <c r="I82" s="9" t="n"/>
      <c r="J82" s="9" t="n"/>
      <c r="K82" s="9" t="n"/>
      <c r="L82" s="19" t="n"/>
      <c r="M82" s="9" t="n"/>
      <c r="N82" s="9" t="n"/>
      <c r="O82">
        <f>IF($A82="","",IF($K82="No","",IF(AND($G82&lt;&gt;"",$G82&lt;TODAY()),"⚠ overdue",IF(AND($G82&lt;&gt;"",$G82&gt;=TODAY(),$G82-TODAY()&lt;=14),"⚠ due soon",IF($J82="","⚠ no responsible person",IF($I82="","⚠ missing payment account",IF(AND($L82&lt;&gt;"",TODAY()-$L82&gt;180),"⚠ not reviewed recently","")))))))</f>
        <v/>
      </c>
    </row>
    <row r="83">
      <c r="A83" s="9" t="n"/>
      <c r="B83" s="9" t="n"/>
      <c r="C83" s="9" t="n"/>
      <c r="D83" s="9" t="n"/>
      <c r="E83" s="10" t="n"/>
      <c r="F83" s="9" t="n"/>
      <c r="G83" s="19" t="n"/>
      <c r="H83" s="9" t="n"/>
      <c r="I83" s="9" t="n"/>
      <c r="J83" s="9" t="n"/>
      <c r="K83" s="9" t="n"/>
      <c r="L83" s="19" t="n"/>
      <c r="M83" s="9" t="n"/>
      <c r="N83" s="9" t="n"/>
      <c r="O83">
        <f>IF($A83="","",IF($K83="No","",IF(AND($G83&lt;&gt;"",$G83&lt;TODAY()),"⚠ overdue",IF(AND($G83&lt;&gt;"",$G83&gt;=TODAY(),$G83-TODAY()&lt;=14),"⚠ due soon",IF($J83="","⚠ no responsible person",IF($I83="","⚠ missing payment account",IF(AND($L83&lt;&gt;"",TODAY()-$L83&gt;180),"⚠ not reviewed recently","")))))))</f>
        <v/>
      </c>
    </row>
    <row r="84">
      <c r="A84" s="9" t="n"/>
      <c r="B84" s="9" t="n"/>
      <c r="C84" s="9" t="n"/>
      <c r="D84" s="9" t="n"/>
      <c r="E84" s="10" t="n"/>
      <c r="F84" s="9" t="n"/>
      <c r="G84" s="19" t="n"/>
      <c r="H84" s="9" t="n"/>
      <c r="I84" s="9" t="n"/>
      <c r="J84" s="9" t="n"/>
      <c r="K84" s="9" t="n"/>
      <c r="L84" s="19" t="n"/>
      <c r="M84" s="9" t="n"/>
      <c r="N84" s="9" t="n"/>
      <c r="O84">
        <f>IF($A84="","",IF($K84="No","",IF(AND($G84&lt;&gt;"",$G84&lt;TODAY()),"⚠ overdue",IF(AND($G84&lt;&gt;"",$G84&gt;=TODAY(),$G84-TODAY()&lt;=14),"⚠ due soon",IF($J84="","⚠ no responsible person",IF($I84="","⚠ missing payment account",IF(AND($L84&lt;&gt;"",TODAY()-$L84&gt;180),"⚠ not reviewed recently","")))))))</f>
        <v/>
      </c>
    </row>
    <row r="85">
      <c r="A85" s="9" t="n"/>
      <c r="B85" s="9" t="n"/>
      <c r="C85" s="9" t="n"/>
      <c r="D85" s="9" t="n"/>
      <c r="E85" s="10" t="n"/>
      <c r="F85" s="9" t="n"/>
      <c r="G85" s="19" t="n"/>
      <c r="H85" s="9" t="n"/>
      <c r="I85" s="9" t="n"/>
      <c r="J85" s="9" t="n"/>
      <c r="K85" s="9" t="n"/>
      <c r="L85" s="19" t="n"/>
      <c r="M85" s="9" t="n"/>
      <c r="N85" s="9" t="n"/>
      <c r="O85">
        <f>IF($A85="","",IF($K85="No","",IF(AND($G85&lt;&gt;"",$G85&lt;TODAY()),"⚠ overdue",IF(AND($G85&lt;&gt;"",$G85&gt;=TODAY(),$G85-TODAY()&lt;=14),"⚠ due soon",IF($J85="","⚠ no responsible person",IF($I85="","⚠ missing payment account",IF(AND($L85&lt;&gt;"",TODAY()-$L85&gt;180),"⚠ not reviewed recently","")))))))</f>
        <v/>
      </c>
    </row>
    <row r="86">
      <c r="A86" s="9" t="n"/>
      <c r="B86" s="9" t="n"/>
      <c r="C86" s="9" t="n"/>
      <c r="D86" s="9" t="n"/>
      <c r="E86" s="10" t="n"/>
      <c r="F86" s="9" t="n"/>
      <c r="G86" s="19" t="n"/>
      <c r="H86" s="9" t="n"/>
      <c r="I86" s="9" t="n"/>
      <c r="J86" s="9" t="n"/>
      <c r="K86" s="9" t="n"/>
      <c r="L86" s="19" t="n"/>
      <c r="M86" s="9" t="n"/>
      <c r="N86" s="9" t="n"/>
      <c r="O86">
        <f>IF($A86="","",IF($K86="No","",IF(AND($G86&lt;&gt;"",$G86&lt;TODAY()),"⚠ overdue",IF(AND($G86&lt;&gt;"",$G86&gt;=TODAY(),$G86-TODAY()&lt;=14),"⚠ due soon",IF($J86="","⚠ no responsible person",IF($I86="","⚠ missing payment account",IF(AND($L86&lt;&gt;"",TODAY()-$L86&gt;180),"⚠ not reviewed recently","")))))))</f>
        <v/>
      </c>
    </row>
    <row r="87">
      <c r="A87" s="9" t="n"/>
      <c r="B87" s="9" t="n"/>
      <c r="C87" s="9" t="n"/>
      <c r="D87" s="9" t="n"/>
      <c r="E87" s="10" t="n"/>
      <c r="F87" s="9" t="n"/>
      <c r="G87" s="19" t="n"/>
      <c r="H87" s="9" t="n"/>
      <c r="I87" s="9" t="n"/>
      <c r="J87" s="9" t="n"/>
      <c r="K87" s="9" t="n"/>
      <c r="L87" s="19" t="n"/>
      <c r="M87" s="9" t="n"/>
      <c r="N87" s="9" t="n"/>
      <c r="O87">
        <f>IF($A87="","",IF($K87="No","",IF(AND($G87&lt;&gt;"",$G87&lt;TODAY()),"⚠ overdue",IF(AND($G87&lt;&gt;"",$G87&gt;=TODAY(),$G87-TODAY()&lt;=14),"⚠ due soon",IF($J87="","⚠ no responsible person",IF($I87="","⚠ missing payment account",IF(AND($L87&lt;&gt;"",TODAY()-$L87&gt;180),"⚠ not reviewed recently","")))))))</f>
        <v/>
      </c>
    </row>
    <row r="88">
      <c r="A88" s="9" t="n"/>
      <c r="B88" s="9" t="n"/>
      <c r="C88" s="9" t="n"/>
      <c r="D88" s="9" t="n"/>
      <c r="E88" s="10" t="n"/>
      <c r="F88" s="9" t="n"/>
      <c r="G88" s="19" t="n"/>
      <c r="H88" s="9" t="n"/>
      <c r="I88" s="9" t="n"/>
      <c r="J88" s="9" t="n"/>
      <c r="K88" s="9" t="n"/>
      <c r="L88" s="19" t="n"/>
      <c r="M88" s="9" t="n"/>
      <c r="N88" s="9" t="n"/>
      <c r="O88">
        <f>IF($A88="","",IF($K88="No","",IF(AND($G88&lt;&gt;"",$G88&lt;TODAY()),"⚠ overdue",IF(AND($G88&lt;&gt;"",$G88&gt;=TODAY(),$G88-TODAY()&lt;=14),"⚠ due soon",IF($J88="","⚠ no responsible person",IF($I88="","⚠ missing payment account",IF(AND($L88&lt;&gt;"",TODAY()-$L88&gt;180),"⚠ not reviewed recently","")))))))</f>
        <v/>
      </c>
    </row>
    <row r="89">
      <c r="A89" s="9" t="n"/>
      <c r="B89" s="9" t="n"/>
      <c r="C89" s="9" t="n"/>
      <c r="D89" s="9" t="n"/>
      <c r="E89" s="10" t="n"/>
      <c r="F89" s="9" t="n"/>
      <c r="G89" s="19" t="n"/>
      <c r="H89" s="9" t="n"/>
      <c r="I89" s="9" t="n"/>
      <c r="J89" s="9" t="n"/>
      <c r="K89" s="9" t="n"/>
      <c r="L89" s="19" t="n"/>
      <c r="M89" s="9" t="n"/>
      <c r="N89" s="9" t="n"/>
      <c r="O89">
        <f>IF($A89="","",IF($K89="No","",IF(AND($G89&lt;&gt;"",$G89&lt;TODAY()),"⚠ overdue",IF(AND($G89&lt;&gt;"",$G89&gt;=TODAY(),$G89-TODAY()&lt;=14),"⚠ due soon",IF($J89="","⚠ no responsible person",IF($I89="","⚠ missing payment account",IF(AND($L89&lt;&gt;"",TODAY()-$L89&gt;180),"⚠ not reviewed recently","")))))))</f>
        <v/>
      </c>
    </row>
    <row r="90">
      <c r="A90" s="9" t="n"/>
      <c r="B90" s="9" t="n"/>
      <c r="C90" s="9" t="n"/>
      <c r="D90" s="9" t="n"/>
      <c r="E90" s="10" t="n"/>
      <c r="F90" s="9" t="n"/>
      <c r="G90" s="19" t="n"/>
      <c r="H90" s="9" t="n"/>
      <c r="I90" s="9" t="n"/>
      <c r="J90" s="9" t="n"/>
      <c r="K90" s="9" t="n"/>
      <c r="L90" s="19" t="n"/>
      <c r="M90" s="9" t="n"/>
      <c r="N90" s="9" t="n"/>
      <c r="O90">
        <f>IF($A90="","",IF($K90="No","",IF(AND($G90&lt;&gt;"",$G90&lt;TODAY()),"⚠ overdue",IF(AND($G90&lt;&gt;"",$G90&gt;=TODAY(),$G90-TODAY()&lt;=14),"⚠ due soon",IF($J90="","⚠ no responsible person",IF($I90="","⚠ missing payment account",IF(AND($L90&lt;&gt;"",TODAY()-$L90&gt;180),"⚠ not reviewed recently","")))))))</f>
        <v/>
      </c>
    </row>
    <row r="91">
      <c r="A91" s="9" t="n"/>
      <c r="B91" s="9" t="n"/>
      <c r="C91" s="9" t="n"/>
      <c r="D91" s="9" t="n"/>
      <c r="E91" s="10" t="n"/>
      <c r="F91" s="9" t="n"/>
      <c r="G91" s="19" t="n"/>
      <c r="H91" s="9" t="n"/>
      <c r="I91" s="9" t="n"/>
      <c r="J91" s="9" t="n"/>
      <c r="K91" s="9" t="n"/>
      <c r="L91" s="19" t="n"/>
      <c r="M91" s="9" t="n"/>
      <c r="N91" s="9" t="n"/>
      <c r="O91">
        <f>IF($A91="","",IF($K91="No","",IF(AND($G91&lt;&gt;"",$G91&lt;TODAY()),"⚠ overdue",IF(AND($G91&lt;&gt;"",$G91&gt;=TODAY(),$G91-TODAY()&lt;=14),"⚠ due soon",IF($J91="","⚠ no responsible person",IF($I91="","⚠ missing payment account",IF(AND($L91&lt;&gt;"",TODAY()-$L91&gt;180),"⚠ not reviewed recently","")))))))</f>
        <v/>
      </c>
    </row>
    <row r="92">
      <c r="A92" s="9" t="n"/>
      <c r="B92" s="9" t="n"/>
      <c r="C92" s="9" t="n"/>
      <c r="D92" s="9" t="n"/>
      <c r="E92" s="10" t="n"/>
      <c r="F92" s="9" t="n"/>
      <c r="G92" s="19" t="n"/>
      <c r="H92" s="9" t="n"/>
      <c r="I92" s="9" t="n"/>
      <c r="J92" s="9" t="n"/>
      <c r="K92" s="9" t="n"/>
      <c r="L92" s="19" t="n"/>
      <c r="M92" s="9" t="n"/>
      <c r="N92" s="9" t="n"/>
      <c r="O92">
        <f>IF($A92="","",IF($K92="No","",IF(AND($G92&lt;&gt;"",$G92&lt;TODAY()),"⚠ overdue",IF(AND($G92&lt;&gt;"",$G92&gt;=TODAY(),$G92-TODAY()&lt;=14),"⚠ due soon",IF($J92="","⚠ no responsible person",IF($I92="","⚠ missing payment account",IF(AND($L92&lt;&gt;"",TODAY()-$L92&gt;180),"⚠ not reviewed recently","")))))))</f>
        <v/>
      </c>
    </row>
    <row r="93">
      <c r="A93" s="9" t="n"/>
      <c r="B93" s="9" t="n"/>
      <c r="C93" s="9" t="n"/>
      <c r="D93" s="9" t="n"/>
      <c r="E93" s="10" t="n"/>
      <c r="F93" s="9" t="n"/>
      <c r="G93" s="19" t="n"/>
      <c r="H93" s="9" t="n"/>
      <c r="I93" s="9" t="n"/>
      <c r="J93" s="9" t="n"/>
      <c r="K93" s="9" t="n"/>
      <c r="L93" s="19" t="n"/>
      <c r="M93" s="9" t="n"/>
      <c r="N93" s="9" t="n"/>
      <c r="O93">
        <f>IF($A93="","",IF($K93="No","",IF(AND($G93&lt;&gt;"",$G93&lt;TODAY()),"⚠ overdue",IF(AND($G93&lt;&gt;"",$G93&gt;=TODAY(),$G93-TODAY()&lt;=14),"⚠ due soon",IF($J93="","⚠ no responsible person",IF($I93="","⚠ missing payment account",IF(AND($L93&lt;&gt;"",TODAY()-$L93&gt;180),"⚠ not reviewed recently","")))))))</f>
        <v/>
      </c>
    </row>
    <row r="94">
      <c r="A94" s="9" t="n"/>
      <c r="B94" s="9" t="n"/>
      <c r="C94" s="9" t="n"/>
      <c r="D94" s="9" t="n"/>
      <c r="E94" s="10" t="n"/>
      <c r="F94" s="9" t="n"/>
      <c r="G94" s="19" t="n"/>
      <c r="H94" s="9" t="n"/>
      <c r="I94" s="9" t="n"/>
      <c r="J94" s="9" t="n"/>
      <c r="K94" s="9" t="n"/>
      <c r="L94" s="19" t="n"/>
      <c r="M94" s="9" t="n"/>
      <c r="N94" s="9" t="n"/>
      <c r="O94">
        <f>IF($A94="","",IF($K94="No","",IF(AND($G94&lt;&gt;"",$G94&lt;TODAY()),"⚠ overdue",IF(AND($G94&lt;&gt;"",$G94&gt;=TODAY(),$G94-TODAY()&lt;=14),"⚠ due soon",IF($J94="","⚠ no responsible person",IF($I94="","⚠ missing payment account",IF(AND($L94&lt;&gt;"",TODAY()-$L94&gt;180),"⚠ not reviewed recently","")))))))</f>
        <v/>
      </c>
    </row>
    <row r="95">
      <c r="A95" s="9" t="n"/>
      <c r="B95" s="9" t="n"/>
      <c r="C95" s="9" t="n"/>
      <c r="D95" s="9" t="n"/>
      <c r="E95" s="10" t="n"/>
      <c r="F95" s="9" t="n"/>
      <c r="G95" s="19" t="n"/>
      <c r="H95" s="9" t="n"/>
      <c r="I95" s="9" t="n"/>
      <c r="J95" s="9" t="n"/>
      <c r="K95" s="9" t="n"/>
      <c r="L95" s="19" t="n"/>
      <c r="M95" s="9" t="n"/>
      <c r="N95" s="9" t="n"/>
      <c r="O95">
        <f>IF($A95="","",IF($K95="No","",IF(AND($G95&lt;&gt;"",$G95&lt;TODAY()),"⚠ overdue",IF(AND($G95&lt;&gt;"",$G95&gt;=TODAY(),$G95-TODAY()&lt;=14),"⚠ due soon",IF($J95="","⚠ no responsible person",IF($I95="","⚠ missing payment account",IF(AND($L95&lt;&gt;"",TODAY()-$L95&gt;180),"⚠ not reviewed recently","")))))))</f>
        <v/>
      </c>
    </row>
    <row r="96">
      <c r="A96" s="9" t="n"/>
      <c r="B96" s="9" t="n"/>
      <c r="C96" s="9" t="n"/>
      <c r="D96" s="9" t="n"/>
      <c r="E96" s="10" t="n"/>
      <c r="F96" s="9" t="n"/>
      <c r="G96" s="19" t="n"/>
      <c r="H96" s="9" t="n"/>
      <c r="I96" s="9" t="n"/>
      <c r="J96" s="9" t="n"/>
      <c r="K96" s="9" t="n"/>
      <c r="L96" s="19" t="n"/>
      <c r="M96" s="9" t="n"/>
      <c r="N96" s="9" t="n"/>
      <c r="O96">
        <f>IF($A96="","",IF($K96="No","",IF(AND($G96&lt;&gt;"",$G96&lt;TODAY()),"⚠ overdue",IF(AND($G96&lt;&gt;"",$G96&gt;=TODAY(),$G96-TODAY()&lt;=14),"⚠ due soon",IF($J96="","⚠ no responsible person",IF($I96="","⚠ missing payment account",IF(AND($L96&lt;&gt;"",TODAY()-$L96&gt;180),"⚠ not reviewed recently","")))))))</f>
        <v/>
      </c>
    </row>
    <row r="97">
      <c r="A97" s="9" t="n"/>
      <c r="B97" s="9" t="n"/>
      <c r="C97" s="9" t="n"/>
      <c r="D97" s="9" t="n"/>
      <c r="E97" s="10" t="n"/>
      <c r="F97" s="9" t="n"/>
      <c r="G97" s="19" t="n"/>
      <c r="H97" s="9" t="n"/>
      <c r="I97" s="9" t="n"/>
      <c r="J97" s="9" t="n"/>
      <c r="K97" s="9" t="n"/>
      <c r="L97" s="19" t="n"/>
      <c r="M97" s="9" t="n"/>
      <c r="N97" s="9" t="n"/>
      <c r="O97">
        <f>IF($A97="","",IF($K97="No","",IF(AND($G97&lt;&gt;"",$G97&lt;TODAY()),"⚠ overdue",IF(AND($G97&lt;&gt;"",$G97&gt;=TODAY(),$G97-TODAY()&lt;=14),"⚠ due soon",IF($J97="","⚠ no responsible person",IF($I97="","⚠ missing payment account",IF(AND($L97&lt;&gt;"",TODAY()-$L97&gt;180),"⚠ not reviewed recently","")))))))</f>
        <v/>
      </c>
    </row>
    <row r="98">
      <c r="A98" s="9" t="n"/>
      <c r="B98" s="9" t="n"/>
      <c r="C98" s="9" t="n"/>
      <c r="D98" s="9" t="n"/>
      <c r="E98" s="10" t="n"/>
      <c r="F98" s="9" t="n"/>
      <c r="G98" s="19" t="n"/>
      <c r="H98" s="9" t="n"/>
      <c r="I98" s="9" t="n"/>
      <c r="J98" s="9" t="n"/>
      <c r="K98" s="9" t="n"/>
      <c r="L98" s="19" t="n"/>
      <c r="M98" s="9" t="n"/>
      <c r="N98" s="9" t="n"/>
      <c r="O98">
        <f>IF($A98="","",IF($K98="No","",IF(AND($G98&lt;&gt;"",$G98&lt;TODAY()),"⚠ overdue",IF(AND($G98&lt;&gt;"",$G98&gt;=TODAY(),$G98-TODAY()&lt;=14),"⚠ due soon",IF($J98="","⚠ no responsible person",IF($I98="","⚠ missing payment account",IF(AND($L98&lt;&gt;"",TODAY()-$L98&gt;180),"⚠ not reviewed recently","")))))))</f>
        <v/>
      </c>
    </row>
    <row r="99">
      <c r="A99" s="9" t="n"/>
      <c r="B99" s="9" t="n"/>
      <c r="C99" s="9" t="n"/>
      <c r="D99" s="9" t="n"/>
      <c r="E99" s="10" t="n"/>
      <c r="F99" s="9" t="n"/>
      <c r="G99" s="19" t="n"/>
      <c r="H99" s="9" t="n"/>
      <c r="I99" s="9" t="n"/>
      <c r="J99" s="9" t="n"/>
      <c r="K99" s="9" t="n"/>
      <c r="L99" s="19" t="n"/>
      <c r="M99" s="9" t="n"/>
      <c r="N99" s="9" t="n"/>
      <c r="O99">
        <f>IF($A99="","",IF($K99="No","",IF(AND($G99&lt;&gt;"",$G99&lt;TODAY()),"⚠ overdue",IF(AND($G99&lt;&gt;"",$G99&gt;=TODAY(),$G99-TODAY()&lt;=14),"⚠ due soon",IF($J99="","⚠ no responsible person",IF($I99="","⚠ missing payment account",IF(AND($L99&lt;&gt;"",TODAY()-$L99&gt;180),"⚠ not reviewed recently","")))))))</f>
        <v/>
      </c>
    </row>
    <row r="100">
      <c r="A100" s="9" t="n"/>
      <c r="B100" s="9" t="n"/>
      <c r="C100" s="9" t="n"/>
      <c r="D100" s="9" t="n"/>
      <c r="E100" s="10" t="n"/>
      <c r="F100" s="9" t="n"/>
      <c r="G100" s="19" t="n"/>
      <c r="H100" s="9" t="n"/>
      <c r="I100" s="9" t="n"/>
      <c r="J100" s="9" t="n"/>
      <c r="K100" s="9" t="n"/>
      <c r="L100" s="19" t="n"/>
      <c r="M100" s="9" t="n"/>
      <c r="N100" s="9" t="n"/>
      <c r="O100">
        <f>IF($A100="","",IF($K100="No","",IF(AND($G100&lt;&gt;"",$G100&lt;TODAY()),"⚠ overdue",IF(AND($G100&lt;&gt;"",$G100&gt;=TODAY(),$G100-TODAY()&lt;=14),"⚠ due soon",IF($J100="","⚠ no responsible person",IF($I100="","⚠ missing payment account",IF(AND($L100&lt;&gt;"",TODAY()-$L100&gt;180),"⚠ not reviewed recently","")))))))</f>
        <v/>
      </c>
    </row>
    <row r="101">
      <c r="A101" s="9" t="n"/>
      <c r="B101" s="9" t="n"/>
      <c r="C101" s="9" t="n"/>
      <c r="D101" s="9" t="n"/>
      <c r="E101" s="10" t="n"/>
      <c r="F101" s="9" t="n"/>
      <c r="G101" s="19" t="n"/>
      <c r="H101" s="9" t="n"/>
      <c r="I101" s="9" t="n"/>
      <c r="J101" s="9" t="n"/>
      <c r="K101" s="9" t="n"/>
      <c r="L101" s="19" t="n"/>
      <c r="M101" s="9" t="n"/>
      <c r="N101" s="9" t="n"/>
      <c r="O101">
        <f>IF($A101="","",IF($K101="No","",IF(AND($G101&lt;&gt;"",$G101&lt;TODAY()),"⚠ overdue",IF(AND($G101&lt;&gt;"",$G101&gt;=TODAY(),$G101-TODAY()&lt;=14),"⚠ due soon",IF($J101="","⚠ no responsible person",IF($I101="","⚠ missing payment account",IF(AND($L101&lt;&gt;"",TODAY()-$L101&gt;180),"⚠ not reviewed recently","")))))))</f>
        <v/>
      </c>
    </row>
    <row r="102">
      <c r="A102" s="9" t="n"/>
      <c r="B102" s="9" t="n"/>
      <c r="C102" s="9" t="n"/>
      <c r="D102" s="9" t="n"/>
      <c r="E102" s="10" t="n"/>
      <c r="F102" s="9" t="n"/>
      <c r="G102" s="19" t="n"/>
      <c r="H102" s="9" t="n"/>
      <c r="I102" s="9" t="n"/>
      <c r="J102" s="9" t="n"/>
      <c r="K102" s="9" t="n"/>
      <c r="L102" s="19" t="n"/>
      <c r="M102" s="9" t="n"/>
      <c r="N102" s="9" t="n"/>
      <c r="O102">
        <f>IF($A102="","",IF($K102="No","",IF(AND($G102&lt;&gt;"",$G102&lt;TODAY()),"⚠ overdue",IF(AND($G102&lt;&gt;"",$G102&gt;=TODAY(),$G102-TODAY()&lt;=14),"⚠ due soon",IF($J102="","⚠ no responsible person",IF($I102="","⚠ missing payment account",IF(AND($L102&lt;&gt;"",TODAY()-$L102&gt;180),"⚠ not reviewed recently","")))))))</f>
        <v/>
      </c>
    </row>
    <row r="103">
      <c r="A103" s="9" t="n"/>
      <c r="B103" s="9" t="n"/>
      <c r="C103" s="9" t="n"/>
      <c r="D103" s="9" t="n"/>
      <c r="E103" s="10" t="n"/>
      <c r="F103" s="9" t="n"/>
      <c r="G103" s="19" t="n"/>
      <c r="H103" s="9" t="n"/>
      <c r="I103" s="9" t="n"/>
      <c r="J103" s="9" t="n"/>
      <c r="K103" s="9" t="n"/>
      <c r="L103" s="19" t="n"/>
      <c r="M103" s="9" t="n"/>
      <c r="N103" s="9" t="n"/>
      <c r="O103">
        <f>IF($A103="","",IF($K103="No","",IF(AND($G103&lt;&gt;"",$G103&lt;TODAY()),"⚠ overdue",IF(AND($G103&lt;&gt;"",$G103&gt;=TODAY(),$G103-TODAY()&lt;=14),"⚠ due soon",IF($J103="","⚠ no responsible person",IF($I103="","⚠ missing payment account",IF(AND($L103&lt;&gt;"",TODAY()-$L103&gt;180),"⚠ not reviewed recently","")))))))</f>
        <v/>
      </c>
    </row>
    <row r="104">
      <c r="A104" s="9" t="n"/>
      <c r="B104" s="9" t="n"/>
      <c r="C104" s="9" t="n"/>
      <c r="D104" s="9" t="n"/>
      <c r="E104" s="10" t="n"/>
      <c r="F104" s="9" t="n"/>
      <c r="G104" s="19" t="n"/>
      <c r="H104" s="9" t="n"/>
      <c r="I104" s="9" t="n"/>
      <c r="J104" s="9" t="n"/>
      <c r="K104" s="9" t="n"/>
      <c r="L104" s="19" t="n"/>
      <c r="M104" s="9" t="n"/>
      <c r="N104" s="9" t="n"/>
      <c r="O104">
        <f>IF($A104="","",IF($K104="No","",IF(AND($G104&lt;&gt;"",$G104&lt;TODAY()),"⚠ overdue",IF(AND($G104&lt;&gt;"",$G104&gt;=TODAY(),$G104-TODAY()&lt;=14),"⚠ due soon",IF($J104="","⚠ no responsible person",IF($I104="","⚠ missing payment account",IF(AND($L104&lt;&gt;"",TODAY()-$L104&gt;180),"⚠ not reviewed recently","")))))))</f>
        <v/>
      </c>
    </row>
    <row r="105">
      <c r="A105" s="9" t="n"/>
      <c r="B105" s="9" t="n"/>
      <c r="C105" s="9" t="n"/>
      <c r="D105" s="9" t="n"/>
      <c r="E105" s="10" t="n"/>
      <c r="F105" s="9" t="n"/>
      <c r="G105" s="19" t="n"/>
      <c r="H105" s="9" t="n"/>
      <c r="I105" s="9" t="n"/>
      <c r="J105" s="9" t="n"/>
      <c r="K105" s="9" t="n"/>
      <c r="L105" s="19" t="n"/>
      <c r="M105" s="9" t="n"/>
      <c r="N105" s="9" t="n"/>
      <c r="O105">
        <f>IF($A105="","",IF($K105="No","",IF(AND($G105&lt;&gt;"",$G105&lt;TODAY()),"⚠ overdue",IF(AND($G105&lt;&gt;"",$G105&gt;=TODAY(),$G105-TODAY()&lt;=14),"⚠ due soon",IF($J105="","⚠ no responsible person",IF($I105="","⚠ missing payment account",IF(AND($L105&lt;&gt;"",TODAY()-$L105&gt;180),"⚠ not reviewed recently","")))))))</f>
        <v/>
      </c>
    </row>
    <row r="106">
      <c r="A106" s="9" t="n"/>
      <c r="B106" s="9" t="n"/>
      <c r="C106" s="9" t="n"/>
      <c r="D106" s="9" t="n"/>
      <c r="E106" s="10" t="n"/>
      <c r="F106" s="9" t="n"/>
      <c r="G106" s="19" t="n"/>
      <c r="H106" s="9" t="n"/>
      <c r="I106" s="9" t="n"/>
      <c r="J106" s="9" t="n"/>
      <c r="K106" s="9" t="n"/>
      <c r="L106" s="19" t="n"/>
      <c r="M106" s="9" t="n"/>
      <c r="N106" s="9" t="n"/>
      <c r="O106">
        <f>IF($A106="","",IF($K106="No","",IF(AND($G106&lt;&gt;"",$G106&lt;TODAY()),"⚠ overdue",IF(AND($G106&lt;&gt;"",$G106&gt;=TODAY(),$G106-TODAY()&lt;=14),"⚠ due soon",IF($J106="","⚠ no responsible person",IF($I106="","⚠ missing payment account",IF(AND($L106&lt;&gt;"",TODAY()-$L106&gt;180),"⚠ not reviewed recently","")))))))</f>
        <v/>
      </c>
    </row>
    <row r="107">
      <c r="A107" s="9" t="n"/>
      <c r="B107" s="9" t="n"/>
      <c r="C107" s="9" t="n"/>
      <c r="D107" s="9" t="n"/>
      <c r="E107" s="10" t="n"/>
      <c r="F107" s="9" t="n"/>
      <c r="G107" s="19" t="n"/>
      <c r="H107" s="9" t="n"/>
      <c r="I107" s="9" t="n"/>
      <c r="J107" s="9" t="n"/>
      <c r="K107" s="9" t="n"/>
      <c r="L107" s="19" t="n"/>
      <c r="M107" s="9" t="n"/>
      <c r="N107" s="9" t="n"/>
      <c r="O107">
        <f>IF($A107="","",IF($K107="No","",IF(AND($G107&lt;&gt;"",$G107&lt;TODAY()),"⚠ overdue",IF(AND($G107&lt;&gt;"",$G107&gt;=TODAY(),$G107-TODAY()&lt;=14),"⚠ due soon",IF($J107="","⚠ no responsible person",IF($I107="","⚠ missing payment account",IF(AND($L107&lt;&gt;"",TODAY()-$L107&gt;180),"⚠ not reviewed recently","")))))))</f>
        <v/>
      </c>
    </row>
    <row r="108">
      <c r="A108" s="9" t="n"/>
      <c r="B108" s="9" t="n"/>
      <c r="C108" s="9" t="n"/>
      <c r="D108" s="9" t="n"/>
      <c r="E108" s="10" t="n"/>
      <c r="F108" s="9" t="n"/>
      <c r="G108" s="19" t="n"/>
      <c r="H108" s="9" t="n"/>
      <c r="I108" s="9" t="n"/>
      <c r="J108" s="9" t="n"/>
      <c r="K108" s="9" t="n"/>
      <c r="L108" s="19" t="n"/>
      <c r="M108" s="9" t="n"/>
      <c r="N108" s="9" t="n"/>
      <c r="O108">
        <f>IF($A108="","",IF($K108="No","",IF(AND($G108&lt;&gt;"",$G108&lt;TODAY()),"⚠ overdue",IF(AND($G108&lt;&gt;"",$G108&gt;=TODAY(),$G108-TODAY()&lt;=14),"⚠ due soon",IF($J108="","⚠ no responsible person",IF($I108="","⚠ missing payment account",IF(AND($L108&lt;&gt;"",TODAY()-$L108&gt;180),"⚠ not reviewed recently","")))))))</f>
        <v/>
      </c>
    </row>
    <row r="109">
      <c r="A109" s="9" t="n"/>
      <c r="B109" s="9" t="n"/>
      <c r="C109" s="9" t="n"/>
      <c r="D109" s="9" t="n"/>
      <c r="E109" s="10" t="n"/>
      <c r="F109" s="9" t="n"/>
      <c r="G109" s="19" t="n"/>
      <c r="H109" s="9" t="n"/>
      <c r="I109" s="9" t="n"/>
      <c r="J109" s="9" t="n"/>
      <c r="K109" s="9" t="n"/>
      <c r="L109" s="19" t="n"/>
      <c r="M109" s="9" t="n"/>
      <c r="N109" s="9" t="n"/>
      <c r="O109">
        <f>IF($A109="","",IF($K109="No","",IF(AND($G109&lt;&gt;"",$G109&lt;TODAY()),"⚠ overdue",IF(AND($G109&lt;&gt;"",$G109&gt;=TODAY(),$G109-TODAY()&lt;=14),"⚠ due soon",IF($J109="","⚠ no responsible person",IF($I109="","⚠ missing payment account",IF(AND($L109&lt;&gt;"",TODAY()-$L109&gt;180),"⚠ not reviewed recently","")))))))</f>
        <v/>
      </c>
    </row>
    <row r="110">
      <c r="A110" s="9" t="n"/>
      <c r="B110" s="9" t="n"/>
      <c r="C110" s="9" t="n"/>
      <c r="D110" s="9" t="n"/>
      <c r="E110" s="10" t="n"/>
      <c r="F110" s="9" t="n"/>
      <c r="G110" s="19" t="n"/>
      <c r="H110" s="9" t="n"/>
      <c r="I110" s="9" t="n"/>
      <c r="J110" s="9" t="n"/>
      <c r="K110" s="9" t="n"/>
      <c r="L110" s="19" t="n"/>
      <c r="M110" s="9" t="n"/>
      <c r="N110" s="9" t="n"/>
      <c r="O110">
        <f>IF($A110="","",IF($K110="No","",IF(AND($G110&lt;&gt;"",$G110&lt;TODAY()),"⚠ overdue",IF(AND($G110&lt;&gt;"",$G110&gt;=TODAY(),$G110-TODAY()&lt;=14),"⚠ due soon",IF($J110="","⚠ no responsible person",IF($I110="","⚠ missing payment account",IF(AND($L110&lt;&gt;"",TODAY()-$L110&gt;180),"⚠ not reviewed recently","")))))))</f>
        <v/>
      </c>
    </row>
    <row r="111">
      <c r="A111" s="9" t="n"/>
      <c r="B111" s="9" t="n"/>
      <c r="C111" s="9" t="n"/>
      <c r="D111" s="9" t="n"/>
      <c r="E111" s="10" t="n"/>
      <c r="F111" s="9" t="n"/>
      <c r="G111" s="19" t="n"/>
      <c r="H111" s="9" t="n"/>
      <c r="I111" s="9" t="n"/>
      <c r="J111" s="9" t="n"/>
      <c r="K111" s="9" t="n"/>
      <c r="L111" s="19" t="n"/>
      <c r="M111" s="9" t="n"/>
      <c r="N111" s="9" t="n"/>
      <c r="O111">
        <f>IF($A111="","",IF($K111="No","",IF(AND($G111&lt;&gt;"",$G111&lt;TODAY()),"⚠ overdue",IF(AND($G111&lt;&gt;"",$G111&gt;=TODAY(),$G111-TODAY()&lt;=14),"⚠ due soon",IF($J111="","⚠ no responsible person",IF($I111="","⚠ missing payment account",IF(AND($L111&lt;&gt;"",TODAY()-$L111&gt;180),"⚠ not reviewed recently","")))))))</f>
        <v/>
      </c>
    </row>
    <row r="112">
      <c r="A112" s="9" t="n"/>
      <c r="B112" s="9" t="n"/>
      <c r="C112" s="9" t="n"/>
      <c r="D112" s="9" t="n"/>
      <c r="E112" s="10" t="n"/>
      <c r="F112" s="9" t="n"/>
      <c r="G112" s="19" t="n"/>
      <c r="H112" s="9" t="n"/>
      <c r="I112" s="9" t="n"/>
      <c r="J112" s="9" t="n"/>
      <c r="K112" s="9" t="n"/>
      <c r="L112" s="19" t="n"/>
      <c r="M112" s="9" t="n"/>
      <c r="N112" s="9" t="n"/>
      <c r="O112">
        <f>IF($A112="","",IF($K112="No","",IF(AND($G112&lt;&gt;"",$G112&lt;TODAY()),"⚠ overdue",IF(AND($G112&lt;&gt;"",$G112&gt;=TODAY(),$G112-TODAY()&lt;=14),"⚠ due soon",IF($J112="","⚠ no responsible person",IF($I112="","⚠ missing payment account",IF(AND($L112&lt;&gt;"",TODAY()-$L112&gt;180),"⚠ not reviewed recently","")))))))</f>
        <v/>
      </c>
    </row>
    <row r="113">
      <c r="A113" s="9" t="n"/>
      <c r="B113" s="9" t="n"/>
      <c r="C113" s="9" t="n"/>
      <c r="D113" s="9" t="n"/>
      <c r="E113" s="10" t="n"/>
      <c r="F113" s="9" t="n"/>
      <c r="G113" s="19" t="n"/>
      <c r="H113" s="9" t="n"/>
      <c r="I113" s="9" t="n"/>
      <c r="J113" s="9" t="n"/>
      <c r="K113" s="9" t="n"/>
      <c r="L113" s="19" t="n"/>
      <c r="M113" s="9" t="n"/>
      <c r="N113" s="9" t="n"/>
      <c r="O113">
        <f>IF($A113="","",IF($K113="No","",IF(AND($G113&lt;&gt;"",$G113&lt;TODAY()),"⚠ overdue",IF(AND($G113&lt;&gt;"",$G113&gt;=TODAY(),$G113-TODAY()&lt;=14),"⚠ due soon",IF($J113="","⚠ no responsible person",IF($I113="","⚠ missing payment account",IF(AND($L113&lt;&gt;"",TODAY()-$L113&gt;180),"⚠ not reviewed recently","")))))))</f>
        <v/>
      </c>
    </row>
    <row r="114">
      <c r="A114" s="9" t="n"/>
      <c r="B114" s="9" t="n"/>
      <c r="C114" s="9" t="n"/>
      <c r="D114" s="9" t="n"/>
      <c r="E114" s="10" t="n"/>
      <c r="F114" s="9" t="n"/>
      <c r="G114" s="19" t="n"/>
      <c r="H114" s="9" t="n"/>
      <c r="I114" s="9" t="n"/>
      <c r="J114" s="9" t="n"/>
      <c r="K114" s="9" t="n"/>
      <c r="L114" s="19" t="n"/>
      <c r="M114" s="9" t="n"/>
      <c r="N114" s="9" t="n"/>
      <c r="O114">
        <f>IF($A114="","",IF($K114="No","",IF(AND($G114&lt;&gt;"",$G114&lt;TODAY()),"⚠ overdue",IF(AND($G114&lt;&gt;"",$G114&gt;=TODAY(),$G114-TODAY()&lt;=14),"⚠ due soon",IF($J114="","⚠ no responsible person",IF($I114="","⚠ missing payment account",IF(AND($L114&lt;&gt;"",TODAY()-$L114&gt;180),"⚠ not reviewed recently","")))))))</f>
        <v/>
      </c>
    </row>
    <row r="115">
      <c r="A115" s="9" t="n"/>
      <c r="B115" s="9" t="n"/>
      <c r="C115" s="9" t="n"/>
      <c r="D115" s="9" t="n"/>
      <c r="E115" s="10" t="n"/>
      <c r="F115" s="9" t="n"/>
      <c r="G115" s="19" t="n"/>
      <c r="H115" s="9" t="n"/>
      <c r="I115" s="9" t="n"/>
      <c r="J115" s="9" t="n"/>
      <c r="K115" s="9" t="n"/>
      <c r="L115" s="19" t="n"/>
      <c r="M115" s="9" t="n"/>
      <c r="N115" s="9" t="n"/>
      <c r="O115">
        <f>IF($A115="","",IF($K115="No","",IF(AND($G115&lt;&gt;"",$G115&lt;TODAY()),"⚠ overdue",IF(AND($G115&lt;&gt;"",$G115&gt;=TODAY(),$G115-TODAY()&lt;=14),"⚠ due soon",IF($J115="","⚠ no responsible person",IF($I115="","⚠ missing payment account",IF(AND($L115&lt;&gt;"",TODAY()-$L115&gt;180),"⚠ not reviewed recently","")))))))</f>
        <v/>
      </c>
    </row>
    <row r="116">
      <c r="A116" s="9" t="n"/>
      <c r="B116" s="9" t="n"/>
      <c r="C116" s="9" t="n"/>
      <c r="D116" s="9" t="n"/>
      <c r="E116" s="10" t="n"/>
      <c r="F116" s="9" t="n"/>
      <c r="G116" s="19" t="n"/>
      <c r="H116" s="9" t="n"/>
      <c r="I116" s="9" t="n"/>
      <c r="J116" s="9" t="n"/>
      <c r="K116" s="9" t="n"/>
      <c r="L116" s="19" t="n"/>
      <c r="M116" s="9" t="n"/>
      <c r="N116" s="9" t="n"/>
      <c r="O116">
        <f>IF($A116="","",IF($K116="No","",IF(AND($G116&lt;&gt;"",$G116&lt;TODAY()),"⚠ overdue",IF(AND($G116&lt;&gt;"",$G116&gt;=TODAY(),$G116-TODAY()&lt;=14),"⚠ due soon",IF($J116="","⚠ no responsible person",IF($I116="","⚠ missing payment account",IF(AND($L116&lt;&gt;"",TODAY()-$L116&gt;180),"⚠ not reviewed recently","")))))))</f>
        <v/>
      </c>
    </row>
    <row r="117">
      <c r="A117" s="9" t="n"/>
      <c r="B117" s="9" t="n"/>
      <c r="C117" s="9" t="n"/>
      <c r="D117" s="9" t="n"/>
      <c r="E117" s="10" t="n"/>
      <c r="F117" s="9" t="n"/>
      <c r="G117" s="19" t="n"/>
      <c r="H117" s="9" t="n"/>
      <c r="I117" s="9" t="n"/>
      <c r="J117" s="9" t="n"/>
      <c r="K117" s="9" t="n"/>
      <c r="L117" s="19" t="n"/>
      <c r="M117" s="9" t="n"/>
      <c r="N117" s="9" t="n"/>
      <c r="O117">
        <f>IF($A117="","",IF($K117="No","",IF(AND($G117&lt;&gt;"",$G117&lt;TODAY()),"⚠ overdue",IF(AND($G117&lt;&gt;"",$G117&gt;=TODAY(),$G117-TODAY()&lt;=14),"⚠ due soon",IF($J117="","⚠ no responsible person",IF($I117="","⚠ missing payment account",IF(AND($L117&lt;&gt;"",TODAY()-$L117&gt;180),"⚠ not reviewed recently","")))))))</f>
        <v/>
      </c>
    </row>
    <row r="118">
      <c r="A118" s="9" t="n"/>
      <c r="B118" s="9" t="n"/>
      <c r="C118" s="9" t="n"/>
      <c r="D118" s="9" t="n"/>
      <c r="E118" s="10" t="n"/>
      <c r="F118" s="9" t="n"/>
      <c r="G118" s="19" t="n"/>
      <c r="H118" s="9" t="n"/>
      <c r="I118" s="9" t="n"/>
      <c r="J118" s="9" t="n"/>
      <c r="K118" s="9" t="n"/>
      <c r="L118" s="19" t="n"/>
      <c r="M118" s="9" t="n"/>
      <c r="N118" s="9" t="n"/>
      <c r="O118">
        <f>IF($A118="","",IF($K118="No","",IF(AND($G118&lt;&gt;"",$G118&lt;TODAY()),"⚠ overdue",IF(AND($G118&lt;&gt;"",$G118&gt;=TODAY(),$G118-TODAY()&lt;=14),"⚠ due soon",IF($J118="","⚠ no responsible person",IF($I118="","⚠ missing payment account",IF(AND($L118&lt;&gt;"",TODAY()-$L118&gt;180),"⚠ not reviewed recently","")))))))</f>
        <v/>
      </c>
    </row>
    <row r="119">
      <c r="A119" s="9" t="n"/>
      <c r="B119" s="9" t="n"/>
      <c r="C119" s="9" t="n"/>
      <c r="D119" s="9" t="n"/>
      <c r="E119" s="10" t="n"/>
      <c r="F119" s="9" t="n"/>
      <c r="G119" s="19" t="n"/>
      <c r="H119" s="9" t="n"/>
      <c r="I119" s="9" t="n"/>
      <c r="J119" s="9" t="n"/>
      <c r="K119" s="9" t="n"/>
      <c r="L119" s="19" t="n"/>
      <c r="M119" s="9" t="n"/>
      <c r="N119" s="9" t="n"/>
      <c r="O119">
        <f>IF($A119="","",IF($K119="No","",IF(AND($G119&lt;&gt;"",$G119&lt;TODAY()),"⚠ overdue",IF(AND($G119&lt;&gt;"",$G119&gt;=TODAY(),$G119-TODAY()&lt;=14),"⚠ due soon",IF($J119="","⚠ no responsible person",IF($I119="","⚠ missing payment account",IF(AND($L119&lt;&gt;"",TODAY()-$L119&gt;180),"⚠ not reviewed recently","")))))))</f>
        <v/>
      </c>
    </row>
    <row r="120">
      <c r="A120" s="9" t="n"/>
      <c r="B120" s="9" t="n"/>
      <c r="C120" s="9" t="n"/>
      <c r="D120" s="9" t="n"/>
      <c r="E120" s="10" t="n"/>
      <c r="F120" s="9" t="n"/>
      <c r="G120" s="19" t="n"/>
      <c r="H120" s="9" t="n"/>
      <c r="I120" s="9" t="n"/>
      <c r="J120" s="9" t="n"/>
      <c r="K120" s="9" t="n"/>
      <c r="L120" s="19" t="n"/>
      <c r="M120" s="9" t="n"/>
      <c r="N120" s="9" t="n"/>
      <c r="O120">
        <f>IF($A120="","",IF($K120="No","",IF(AND($G120&lt;&gt;"",$G120&lt;TODAY()),"⚠ overdue",IF(AND($G120&lt;&gt;"",$G120&gt;=TODAY(),$G120-TODAY()&lt;=14),"⚠ due soon",IF($J120="","⚠ no responsible person",IF($I120="","⚠ missing payment account",IF(AND($L120&lt;&gt;"",TODAY()-$L120&gt;180),"⚠ not reviewed recently","")))))))</f>
        <v/>
      </c>
    </row>
    <row r="121">
      <c r="A121" s="9" t="n"/>
      <c r="B121" s="9" t="n"/>
      <c r="C121" s="9" t="n"/>
      <c r="D121" s="9" t="n"/>
      <c r="E121" s="10" t="n"/>
      <c r="F121" s="9" t="n"/>
      <c r="G121" s="19" t="n"/>
      <c r="H121" s="9" t="n"/>
      <c r="I121" s="9" t="n"/>
      <c r="J121" s="9" t="n"/>
      <c r="K121" s="9" t="n"/>
      <c r="L121" s="19" t="n"/>
      <c r="M121" s="9" t="n"/>
      <c r="N121" s="9" t="n"/>
      <c r="O121">
        <f>IF($A121="","",IF($K121="No","",IF(AND($G121&lt;&gt;"",$G121&lt;TODAY()),"⚠ overdue",IF(AND($G121&lt;&gt;"",$G121&gt;=TODAY(),$G121-TODAY()&lt;=14),"⚠ due soon",IF($J121="","⚠ no responsible person",IF($I121="","⚠ missing payment account",IF(AND($L121&lt;&gt;"",TODAY()-$L121&gt;180),"⚠ not reviewed recently","")))))))</f>
        <v/>
      </c>
    </row>
    <row r="122">
      <c r="A122" s="9" t="n"/>
      <c r="B122" s="9" t="n"/>
      <c r="C122" s="9" t="n"/>
      <c r="D122" s="9" t="n"/>
      <c r="E122" s="10" t="n"/>
      <c r="F122" s="9" t="n"/>
      <c r="G122" s="19" t="n"/>
      <c r="H122" s="9" t="n"/>
      <c r="I122" s="9" t="n"/>
      <c r="J122" s="9" t="n"/>
      <c r="K122" s="9" t="n"/>
      <c r="L122" s="19" t="n"/>
      <c r="M122" s="9" t="n"/>
      <c r="N122" s="9" t="n"/>
      <c r="O122">
        <f>IF($A122="","",IF($K122="No","",IF(AND($G122&lt;&gt;"",$G122&lt;TODAY()),"⚠ overdue",IF(AND($G122&lt;&gt;"",$G122&gt;=TODAY(),$G122-TODAY()&lt;=14),"⚠ due soon",IF($J122="","⚠ no responsible person",IF($I122="","⚠ missing payment account",IF(AND($L122&lt;&gt;"",TODAY()-$L122&gt;180),"⚠ not reviewed recently","")))))))</f>
        <v/>
      </c>
    </row>
    <row r="123">
      <c r="A123" s="9" t="n"/>
      <c r="B123" s="9" t="n"/>
      <c r="C123" s="9" t="n"/>
      <c r="D123" s="9" t="n"/>
      <c r="E123" s="10" t="n"/>
      <c r="F123" s="9" t="n"/>
      <c r="G123" s="19" t="n"/>
      <c r="H123" s="9" t="n"/>
      <c r="I123" s="9" t="n"/>
      <c r="J123" s="9" t="n"/>
      <c r="K123" s="9" t="n"/>
      <c r="L123" s="19" t="n"/>
      <c r="M123" s="9" t="n"/>
      <c r="N123" s="9" t="n"/>
      <c r="O123">
        <f>IF($A123="","",IF($K123="No","",IF(AND($G123&lt;&gt;"",$G123&lt;TODAY()),"⚠ overdue",IF(AND($G123&lt;&gt;"",$G123&gt;=TODAY(),$G123-TODAY()&lt;=14),"⚠ due soon",IF($J123="","⚠ no responsible person",IF($I123="","⚠ missing payment account",IF(AND($L123&lt;&gt;"",TODAY()-$L123&gt;180),"⚠ not reviewed recently","")))))))</f>
        <v/>
      </c>
    </row>
    <row r="124">
      <c r="A124" s="9" t="n"/>
      <c r="B124" s="9" t="n"/>
      <c r="C124" s="9" t="n"/>
      <c r="D124" s="9" t="n"/>
      <c r="E124" s="10" t="n"/>
      <c r="F124" s="9" t="n"/>
      <c r="G124" s="19" t="n"/>
      <c r="H124" s="9" t="n"/>
      <c r="I124" s="9" t="n"/>
      <c r="J124" s="9" t="n"/>
      <c r="K124" s="9" t="n"/>
      <c r="L124" s="19" t="n"/>
      <c r="M124" s="9" t="n"/>
      <c r="N124" s="9" t="n"/>
      <c r="O124">
        <f>IF($A124="","",IF($K124="No","",IF(AND($G124&lt;&gt;"",$G124&lt;TODAY()),"⚠ overdue",IF(AND($G124&lt;&gt;"",$G124&gt;=TODAY(),$G124-TODAY()&lt;=14),"⚠ due soon",IF($J124="","⚠ no responsible person",IF($I124="","⚠ missing payment account",IF(AND($L124&lt;&gt;"",TODAY()-$L124&gt;180),"⚠ not reviewed recently","")))))))</f>
        <v/>
      </c>
    </row>
    <row r="125">
      <c r="A125" s="9" t="n"/>
      <c r="B125" s="9" t="n"/>
      <c r="C125" s="9" t="n"/>
      <c r="D125" s="9" t="n"/>
      <c r="E125" s="10" t="n"/>
      <c r="F125" s="9" t="n"/>
      <c r="G125" s="19" t="n"/>
      <c r="H125" s="9" t="n"/>
      <c r="I125" s="9" t="n"/>
      <c r="J125" s="9" t="n"/>
      <c r="K125" s="9" t="n"/>
      <c r="L125" s="19" t="n"/>
      <c r="M125" s="9" t="n"/>
      <c r="N125" s="9" t="n"/>
      <c r="O125">
        <f>IF($A125="","",IF($K125="No","",IF(AND($G125&lt;&gt;"",$G125&lt;TODAY()),"⚠ overdue",IF(AND($G125&lt;&gt;"",$G125&gt;=TODAY(),$G125-TODAY()&lt;=14),"⚠ due soon",IF($J125="","⚠ no responsible person",IF($I125="","⚠ missing payment account",IF(AND($L125&lt;&gt;"",TODAY()-$L125&gt;180),"⚠ not reviewed recently","")))))))</f>
        <v/>
      </c>
    </row>
    <row r="126">
      <c r="A126" s="9" t="n"/>
      <c r="B126" s="9" t="n"/>
      <c r="C126" s="9" t="n"/>
      <c r="D126" s="9" t="n"/>
      <c r="E126" s="10" t="n"/>
      <c r="F126" s="9" t="n"/>
      <c r="G126" s="19" t="n"/>
      <c r="H126" s="9" t="n"/>
      <c r="I126" s="9" t="n"/>
      <c r="J126" s="9" t="n"/>
      <c r="K126" s="9" t="n"/>
      <c r="L126" s="19" t="n"/>
      <c r="M126" s="9" t="n"/>
      <c r="N126" s="9" t="n"/>
      <c r="O126">
        <f>IF($A126="","",IF($K126="No","",IF(AND($G126&lt;&gt;"",$G126&lt;TODAY()),"⚠ overdue",IF(AND($G126&lt;&gt;"",$G126&gt;=TODAY(),$G126-TODAY()&lt;=14),"⚠ due soon",IF($J126="","⚠ no responsible person",IF($I126="","⚠ missing payment account",IF(AND($L126&lt;&gt;"",TODAY()-$L126&gt;180),"⚠ not reviewed recently","")))))))</f>
        <v/>
      </c>
    </row>
    <row r="127">
      <c r="A127" s="9" t="n"/>
      <c r="B127" s="9" t="n"/>
      <c r="C127" s="9" t="n"/>
      <c r="D127" s="9" t="n"/>
      <c r="E127" s="10" t="n"/>
      <c r="F127" s="9" t="n"/>
      <c r="G127" s="19" t="n"/>
      <c r="H127" s="9" t="n"/>
      <c r="I127" s="9" t="n"/>
      <c r="J127" s="9" t="n"/>
      <c r="K127" s="9" t="n"/>
      <c r="L127" s="19" t="n"/>
      <c r="M127" s="9" t="n"/>
      <c r="N127" s="9" t="n"/>
      <c r="O127">
        <f>IF($A127="","",IF($K127="No","",IF(AND($G127&lt;&gt;"",$G127&lt;TODAY()),"⚠ overdue",IF(AND($G127&lt;&gt;"",$G127&gt;=TODAY(),$G127-TODAY()&lt;=14),"⚠ due soon",IF($J127="","⚠ no responsible person",IF($I127="","⚠ missing payment account",IF(AND($L127&lt;&gt;"",TODAY()-$L127&gt;180),"⚠ not reviewed recently","")))))))</f>
        <v/>
      </c>
    </row>
    <row r="128">
      <c r="A128" s="9" t="n"/>
      <c r="B128" s="9" t="n"/>
      <c r="C128" s="9" t="n"/>
      <c r="D128" s="9" t="n"/>
      <c r="E128" s="10" t="n"/>
      <c r="F128" s="9" t="n"/>
      <c r="G128" s="19" t="n"/>
      <c r="H128" s="9" t="n"/>
      <c r="I128" s="9" t="n"/>
      <c r="J128" s="9" t="n"/>
      <c r="K128" s="9" t="n"/>
      <c r="L128" s="19" t="n"/>
      <c r="M128" s="9" t="n"/>
      <c r="N128" s="9" t="n"/>
      <c r="O128">
        <f>IF($A128="","",IF($K128="No","",IF(AND($G128&lt;&gt;"",$G128&lt;TODAY()),"⚠ overdue",IF(AND($G128&lt;&gt;"",$G128&gt;=TODAY(),$G128-TODAY()&lt;=14),"⚠ due soon",IF($J128="","⚠ no responsible person",IF($I128="","⚠ missing payment account",IF(AND($L128&lt;&gt;"",TODAY()-$L128&gt;180),"⚠ not reviewed recently","")))))))</f>
        <v/>
      </c>
    </row>
    <row r="129">
      <c r="A129" s="9" t="n"/>
      <c r="B129" s="9" t="n"/>
      <c r="C129" s="9" t="n"/>
      <c r="D129" s="9" t="n"/>
      <c r="E129" s="10" t="n"/>
      <c r="F129" s="9" t="n"/>
      <c r="G129" s="19" t="n"/>
      <c r="H129" s="9" t="n"/>
      <c r="I129" s="9" t="n"/>
      <c r="J129" s="9" t="n"/>
      <c r="K129" s="9" t="n"/>
      <c r="L129" s="19" t="n"/>
      <c r="M129" s="9" t="n"/>
      <c r="N129" s="9" t="n"/>
      <c r="O129">
        <f>IF($A129="","",IF($K129="No","",IF(AND($G129&lt;&gt;"",$G129&lt;TODAY()),"⚠ overdue",IF(AND($G129&lt;&gt;"",$G129&gt;=TODAY(),$G129-TODAY()&lt;=14),"⚠ due soon",IF($J129="","⚠ no responsible person",IF($I129="","⚠ missing payment account",IF(AND($L129&lt;&gt;"",TODAY()-$L129&gt;180),"⚠ not reviewed recently","")))))))</f>
        <v/>
      </c>
    </row>
    <row r="130">
      <c r="A130" s="9" t="n"/>
      <c r="B130" s="9" t="n"/>
      <c r="C130" s="9" t="n"/>
      <c r="D130" s="9" t="n"/>
      <c r="E130" s="10" t="n"/>
      <c r="F130" s="9" t="n"/>
      <c r="G130" s="19" t="n"/>
      <c r="H130" s="9" t="n"/>
      <c r="I130" s="9" t="n"/>
      <c r="J130" s="9" t="n"/>
      <c r="K130" s="9" t="n"/>
      <c r="L130" s="19" t="n"/>
      <c r="M130" s="9" t="n"/>
      <c r="N130" s="9" t="n"/>
      <c r="O130">
        <f>IF($A130="","",IF($K130="No","",IF(AND($G130&lt;&gt;"",$G130&lt;TODAY()),"⚠ overdue",IF(AND($G130&lt;&gt;"",$G130&gt;=TODAY(),$G130-TODAY()&lt;=14),"⚠ due soon",IF($J130="","⚠ no responsible person",IF($I130="","⚠ missing payment account",IF(AND($L130&lt;&gt;"",TODAY()-$L130&gt;180),"⚠ not reviewed recently","")))))))</f>
        <v/>
      </c>
    </row>
    <row r="131">
      <c r="A131" s="9" t="n"/>
      <c r="B131" s="9" t="n"/>
      <c r="C131" s="9" t="n"/>
      <c r="D131" s="9" t="n"/>
      <c r="E131" s="10" t="n"/>
      <c r="F131" s="9" t="n"/>
      <c r="G131" s="19" t="n"/>
      <c r="H131" s="9" t="n"/>
      <c r="I131" s="9" t="n"/>
      <c r="J131" s="9" t="n"/>
      <c r="K131" s="9" t="n"/>
      <c r="L131" s="19" t="n"/>
      <c r="M131" s="9" t="n"/>
      <c r="N131" s="9" t="n"/>
      <c r="O131">
        <f>IF($A131="","",IF($K131="No","",IF(AND($G131&lt;&gt;"",$G131&lt;TODAY()),"⚠ overdue",IF(AND($G131&lt;&gt;"",$G131&gt;=TODAY(),$G131-TODAY()&lt;=14),"⚠ due soon",IF($J131="","⚠ no responsible person",IF($I131="","⚠ missing payment account",IF(AND($L131&lt;&gt;"",TODAY()-$L131&gt;180),"⚠ not reviewed recently","")))))))</f>
        <v/>
      </c>
    </row>
    <row r="132">
      <c r="A132" s="9" t="n"/>
      <c r="B132" s="9" t="n"/>
      <c r="C132" s="9" t="n"/>
      <c r="D132" s="9" t="n"/>
      <c r="E132" s="10" t="n"/>
      <c r="F132" s="9" t="n"/>
      <c r="G132" s="19" t="n"/>
      <c r="H132" s="9" t="n"/>
      <c r="I132" s="9" t="n"/>
      <c r="J132" s="9" t="n"/>
      <c r="K132" s="9" t="n"/>
      <c r="L132" s="19" t="n"/>
      <c r="M132" s="9" t="n"/>
      <c r="N132" s="9" t="n"/>
      <c r="O132">
        <f>IF($A132="","",IF($K132="No","",IF(AND($G132&lt;&gt;"",$G132&lt;TODAY()),"⚠ overdue",IF(AND($G132&lt;&gt;"",$G132&gt;=TODAY(),$G132-TODAY()&lt;=14),"⚠ due soon",IF($J132="","⚠ no responsible person",IF($I132="","⚠ missing payment account",IF(AND($L132&lt;&gt;"",TODAY()-$L132&gt;180),"⚠ not reviewed recently","")))))))</f>
        <v/>
      </c>
    </row>
    <row r="133">
      <c r="A133" s="9" t="n"/>
      <c r="B133" s="9" t="n"/>
      <c r="C133" s="9" t="n"/>
      <c r="D133" s="9" t="n"/>
      <c r="E133" s="10" t="n"/>
      <c r="F133" s="9" t="n"/>
      <c r="G133" s="19" t="n"/>
      <c r="H133" s="9" t="n"/>
      <c r="I133" s="9" t="n"/>
      <c r="J133" s="9" t="n"/>
      <c r="K133" s="9" t="n"/>
      <c r="L133" s="19" t="n"/>
      <c r="M133" s="9" t="n"/>
      <c r="N133" s="9" t="n"/>
      <c r="O133">
        <f>IF($A133="","",IF($K133="No","",IF(AND($G133&lt;&gt;"",$G133&lt;TODAY()),"⚠ overdue",IF(AND($G133&lt;&gt;"",$G133&gt;=TODAY(),$G133-TODAY()&lt;=14),"⚠ due soon",IF($J133="","⚠ no responsible person",IF($I133="","⚠ missing payment account",IF(AND($L133&lt;&gt;"",TODAY()-$L133&gt;180),"⚠ not reviewed recently","")))))))</f>
        <v/>
      </c>
    </row>
    <row r="134">
      <c r="A134" s="9" t="n"/>
      <c r="B134" s="9" t="n"/>
      <c r="C134" s="9" t="n"/>
      <c r="D134" s="9" t="n"/>
      <c r="E134" s="10" t="n"/>
      <c r="F134" s="9" t="n"/>
      <c r="G134" s="19" t="n"/>
      <c r="H134" s="9" t="n"/>
      <c r="I134" s="9" t="n"/>
      <c r="J134" s="9" t="n"/>
      <c r="K134" s="9" t="n"/>
      <c r="L134" s="19" t="n"/>
      <c r="M134" s="9" t="n"/>
      <c r="N134" s="9" t="n"/>
      <c r="O134">
        <f>IF($A134="","",IF($K134="No","",IF(AND($G134&lt;&gt;"",$G134&lt;TODAY()),"⚠ overdue",IF(AND($G134&lt;&gt;"",$G134&gt;=TODAY(),$G134-TODAY()&lt;=14),"⚠ due soon",IF($J134="","⚠ no responsible person",IF($I134="","⚠ missing payment account",IF(AND($L134&lt;&gt;"",TODAY()-$L134&gt;180),"⚠ not reviewed recently","")))))))</f>
        <v/>
      </c>
    </row>
    <row r="135">
      <c r="A135" s="9" t="n"/>
      <c r="B135" s="9" t="n"/>
      <c r="C135" s="9" t="n"/>
      <c r="D135" s="9" t="n"/>
      <c r="E135" s="10" t="n"/>
      <c r="F135" s="9" t="n"/>
      <c r="G135" s="19" t="n"/>
      <c r="H135" s="9" t="n"/>
      <c r="I135" s="9" t="n"/>
      <c r="J135" s="9" t="n"/>
      <c r="K135" s="9" t="n"/>
      <c r="L135" s="19" t="n"/>
      <c r="M135" s="9" t="n"/>
      <c r="N135" s="9" t="n"/>
      <c r="O135">
        <f>IF($A135="","",IF($K135="No","",IF(AND($G135&lt;&gt;"",$G135&lt;TODAY()),"⚠ overdue",IF(AND($G135&lt;&gt;"",$G135&gt;=TODAY(),$G135-TODAY()&lt;=14),"⚠ due soon",IF($J135="","⚠ no responsible person",IF($I135="","⚠ missing payment account",IF(AND($L135&lt;&gt;"",TODAY()-$L135&gt;180),"⚠ not reviewed recently","")))))))</f>
        <v/>
      </c>
    </row>
    <row r="136">
      <c r="A136" s="9" t="n"/>
      <c r="B136" s="9" t="n"/>
      <c r="C136" s="9" t="n"/>
      <c r="D136" s="9" t="n"/>
      <c r="E136" s="10" t="n"/>
      <c r="F136" s="9" t="n"/>
      <c r="G136" s="19" t="n"/>
      <c r="H136" s="9" t="n"/>
      <c r="I136" s="9" t="n"/>
      <c r="J136" s="9" t="n"/>
      <c r="K136" s="9" t="n"/>
      <c r="L136" s="19" t="n"/>
      <c r="M136" s="9" t="n"/>
      <c r="N136" s="9" t="n"/>
      <c r="O136">
        <f>IF($A136="","",IF($K136="No","",IF(AND($G136&lt;&gt;"",$G136&lt;TODAY()),"⚠ overdue",IF(AND($G136&lt;&gt;"",$G136&gt;=TODAY(),$G136-TODAY()&lt;=14),"⚠ due soon",IF($J136="","⚠ no responsible person",IF($I136="","⚠ missing payment account",IF(AND($L136&lt;&gt;"",TODAY()-$L136&gt;180),"⚠ not reviewed recently","")))))))</f>
        <v/>
      </c>
    </row>
    <row r="137">
      <c r="A137" s="9" t="n"/>
      <c r="B137" s="9" t="n"/>
      <c r="C137" s="9" t="n"/>
      <c r="D137" s="9" t="n"/>
      <c r="E137" s="10" t="n"/>
      <c r="F137" s="9" t="n"/>
      <c r="G137" s="19" t="n"/>
      <c r="H137" s="9" t="n"/>
      <c r="I137" s="9" t="n"/>
      <c r="J137" s="9" t="n"/>
      <c r="K137" s="9" t="n"/>
      <c r="L137" s="19" t="n"/>
      <c r="M137" s="9" t="n"/>
      <c r="N137" s="9" t="n"/>
      <c r="O137">
        <f>IF($A137="","",IF($K137="No","",IF(AND($G137&lt;&gt;"",$G137&lt;TODAY()),"⚠ overdue",IF(AND($G137&lt;&gt;"",$G137&gt;=TODAY(),$G137-TODAY()&lt;=14),"⚠ due soon",IF($J137="","⚠ no responsible person",IF($I137="","⚠ missing payment account",IF(AND($L137&lt;&gt;"",TODAY()-$L137&gt;180),"⚠ not reviewed recently","")))))))</f>
        <v/>
      </c>
    </row>
    <row r="138">
      <c r="A138" s="9" t="n"/>
      <c r="B138" s="9" t="n"/>
      <c r="C138" s="9" t="n"/>
      <c r="D138" s="9" t="n"/>
      <c r="E138" s="10" t="n"/>
      <c r="F138" s="9" t="n"/>
      <c r="G138" s="19" t="n"/>
      <c r="H138" s="9" t="n"/>
      <c r="I138" s="9" t="n"/>
      <c r="J138" s="9" t="n"/>
      <c r="K138" s="9" t="n"/>
      <c r="L138" s="19" t="n"/>
      <c r="M138" s="9" t="n"/>
      <c r="N138" s="9" t="n"/>
      <c r="O138">
        <f>IF($A138="","",IF($K138="No","",IF(AND($G138&lt;&gt;"",$G138&lt;TODAY()),"⚠ overdue",IF(AND($G138&lt;&gt;"",$G138&gt;=TODAY(),$G138-TODAY()&lt;=14),"⚠ due soon",IF($J138="","⚠ no responsible person",IF($I138="","⚠ missing payment account",IF(AND($L138&lt;&gt;"",TODAY()-$L138&gt;180),"⚠ not reviewed recently","")))))))</f>
        <v/>
      </c>
    </row>
    <row r="139">
      <c r="A139" s="9" t="n"/>
      <c r="B139" s="9" t="n"/>
      <c r="C139" s="9" t="n"/>
      <c r="D139" s="9" t="n"/>
      <c r="E139" s="10" t="n"/>
      <c r="F139" s="9" t="n"/>
      <c r="G139" s="19" t="n"/>
      <c r="H139" s="9" t="n"/>
      <c r="I139" s="9" t="n"/>
      <c r="J139" s="9" t="n"/>
      <c r="K139" s="9" t="n"/>
      <c r="L139" s="19" t="n"/>
      <c r="M139" s="9" t="n"/>
      <c r="N139" s="9" t="n"/>
      <c r="O139">
        <f>IF($A139="","",IF($K139="No","",IF(AND($G139&lt;&gt;"",$G139&lt;TODAY()),"⚠ overdue",IF(AND($G139&lt;&gt;"",$G139&gt;=TODAY(),$G139-TODAY()&lt;=14),"⚠ due soon",IF($J139="","⚠ no responsible person",IF($I139="","⚠ missing payment account",IF(AND($L139&lt;&gt;"",TODAY()-$L139&gt;180),"⚠ not reviewed recently","")))))))</f>
        <v/>
      </c>
    </row>
    <row r="140">
      <c r="A140" s="9" t="n"/>
      <c r="B140" s="9" t="n"/>
      <c r="C140" s="9" t="n"/>
      <c r="D140" s="9" t="n"/>
      <c r="E140" s="10" t="n"/>
      <c r="F140" s="9" t="n"/>
      <c r="G140" s="19" t="n"/>
      <c r="H140" s="9" t="n"/>
      <c r="I140" s="9" t="n"/>
      <c r="J140" s="9" t="n"/>
      <c r="K140" s="9" t="n"/>
      <c r="L140" s="19" t="n"/>
      <c r="M140" s="9" t="n"/>
      <c r="N140" s="9" t="n"/>
      <c r="O140">
        <f>IF($A140="","",IF($K140="No","",IF(AND($G140&lt;&gt;"",$G140&lt;TODAY()),"⚠ overdue",IF(AND($G140&lt;&gt;"",$G140&gt;=TODAY(),$G140-TODAY()&lt;=14),"⚠ due soon",IF($J140="","⚠ no responsible person",IF($I140="","⚠ missing payment account",IF(AND($L140&lt;&gt;"",TODAY()-$L140&gt;180),"⚠ not reviewed recently","")))))))</f>
        <v/>
      </c>
    </row>
    <row r="141">
      <c r="A141" s="9" t="n"/>
      <c r="B141" s="9" t="n"/>
      <c r="C141" s="9" t="n"/>
      <c r="D141" s="9" t="n"/>
      <c r="E141" s="10" t="n"/>
      <c r="F141" s="9" t="n"/>
      <c r="G141" s="19" t="n"/>
      <c r="H141" s="9" t="n"/>
      <c r="I141" s="9" t="n"/>
      <c r="J141" s="9" t="n"/>
      <c r="K141" s="9" t="n"/>
      <c r="L141" s="19" t="n"/>
      <c r="M141" s="9" t="n"/>
      <c r="N141" s="9" t="n"/>
      <c r="O141">
        <f>IF($A141="","",IF($K141="No","",IF(AND($G141&lt;&gt;"",$G141&lt;TODAY()),"⚠ overdue",IF(AND($G141&lt;&gt;"",$G141&gt;=TODAY(),$G141-TODAY()&lt;=14),"⚠ due soon",IF($J141="","⚠ no responsible person",IF($I141="","⚠ missing payment account",IF(AND($L141&lt;&gt;"",TODAY()-$L141&gt;180),"⚠ not reviewed recently","")))))))</f>
        <v/>
      </c>
    </row>
    <row r="142">
      <c r="A142" s="9" t="n"/>
      <c r="B142" s="9" t="n"/>
      <c r="C142" s="9" t="n"/>
      <c r="D142" s="9" t="n"/>
      <c r="E142" s="10" t="n"/>
      <c r="F142" s="9" t="n"/>
      <c r="G142" s="19" t="n"/>
      <c r="H142" s="9" t="n"/>
      <c r="I142" s="9" t="n"/>
      <c r="J142" s="9" t="n"/>
      <c r="K142" s="9" t="n"/>
      <c r="L142" s="19" t="n"/>
      <c r="M142" s="9" t="n"/>
      <c r="N142" s="9" t="n"/>
      <c r="O142">
        <f>IF($A142="","",IF($K142="No","",IF(AND($G142&lt;&gt;"",$G142&lt;TODAY()),"⚠ overdue",IF(AND($G142&lt;&gt;"",$G142&gt;=TODAY(),$G142-TODAY()&lt;=14),"⚠ due soon",IF($J142="","⚠ no responsible person",IF($I142="","⚠ missing payment account",IF(AND($L142&lt;&gt;"",TODAY()-$L142&gt;180),"⚠ not reviewed recently","")))))))</f>
        <v/>
      </c>
    </row>
    <row r="143">
      <c r="A143" s="9" t="n"/>
      <c r="B143" s="9" t="n"/>
      <c r="C143" s="9" t="n"/>
      <c r="D143" s="9" t="n"/>
      <c r="E143" s="10" t="n"/>
      <c r="F143" s="9" t="n"/>
      <c r="G143" s="19" t="n"/>
      <c r="H143" s="9" t="n"/>
      <c r="I143" s="9" t="n"/>
      <c r="J143" s="9" t="n"/>
      <c r="K143" s="9" t="n"/>
      <c r="L143" s="19" t="n"/>
      <c r="M143" s="9" t="n"/>
      <c r="N143" s="9" t="n"/>
      <c r="O143">
        <f>IF($A143="","",IF($K143="No","",IF(AND($G143&lt;&gt;"",$G143&lt;TODAY()),"⚠ overdue",IF(AND($G143&lt;&gt;"",$G143&gt;=TODAY(),$G143-TODAY()&lt;=14),"⚠ due soon",IF($J143="","⚠ no responsible person",IF($I143="","⚠ missing payment account",IF(AND($L143&lt;&gt;"",TODAY()-$L143&gt;180),"⚠ not reviewed recently","")))))))</f>
        <v/>
      </c>
    </row>
    <row r="144">
      <c r="A144" s="9" t="n"/>
      <c r="B144" s="9" t="n"/>
      <c r="C144" s="9" t="n"/>
      <c r="D144" s="9" t="n"/>
      <c r="E144" s="10" t="n"/>
      <c r="F144" s="9" t="n"/>
      <c r="G144" s="19" t="n"/>
      <c r="H144" s="9" t="n"/>
      <c r="I144" s="9" t="n"/>
      <c r="J144" s="9" t="n"/>
      <c r="K144" s="9" t="n"/>
      <c r="L144" s="19" t="n"/>
      <c r="M144" s="9" t="n"/>
      <c r="N144" s="9" t="n"/>
      <c r="O144">
        <f>IF($A144="","",IF($K144="No","",IF(AND($G144&lt;&gt;"",$G144&lt;TODAY()),"⚠ overdue",IF(AND($G144&lt;&gt;"",$G144&gt;=TODAY(),$G144-TODAY()&lt;=14),"⚠ due soon",IF($J144="","⚠ no responsible person",IF($I144="","⚠ missing payment account",IF(AND($L144&lt;&gt;"",TODAY()-$L144&gt;180),"⚠ not reviewed recently","")))))))</f>
        <v/>
      </c>
    </row>
    <row r="145">
      <c r="A145" s="9" t="n"/>
      <c r="B145" s="9" t="n"/>
      <c r="C145" s="9" t="n"/>
      <c r="D145" s="9" t="n"/>
      <c r="E145" s="10" t="n"/>
      <c r="F145" s="9" t="n"/>
      <c r="G145" s="19" t="n"/>
      <c r="H145" s="9" t="n"/>
      <c r="I145" s="9" t="n"/>
      <c r="J145" s="9" t="n"/>
      <c r="K145" s="9" t="n"/>
      <c r="L145" s="19" t="n"/>
      <c r="M145" s="9" t="n"/>
      <c r="N145" s="9" t="n"/>
      <c r="O145">
        <f>IF($A145="","",IF($K145="No","",IF(AND($G145&lt;&gt;"",$G145&lt;TODAY()),"⚠ overdue",IF(AND($G145&lt;&gt;"",$G145&gt;=TODAY(),$G145-TODAY()&lt;=14),"⚠ due soon",IF($J145="","⚠ no responsible person",IF($I145="","⚠ missing payment account",IF(AND($L145&lt;&gt;"",TODAY()-$L145&gt;180),"⚠ not reviewed recently","")))))))</f>
        <v/>
      </c>
    </row>
    <row r="146">
      <c r="A146" s="9" t="n"/>
      <c r="B146" s="9" t="n"/>
      <c r="C146" s="9" t="n"/>
      <c r="D146" s="9" t="n"/>
      <c r="E146" s="10" t="n"/>
      <c r="F146" s="9" t="n"/>
      <c r="G146" s="19" t="n"/>
      <c r="H146" s="9" t="n"/>
      <c r="I146" s="9" t="n"/>
      <c r="J146" s="9" t="n"/>
      <c r="K146" s="9" t="n"/>
      <c r="L146" s="19" t="n"/>
      <c r="M146" s="9" t="n"/>
      <c r="N146" s="9" t="n"/>
      <c r="O146">
        <f>IF($A146="","",IF($K146="No","",IF(AND($G146&lt;&gt;"",$G146&lt;TODAY()),"⚠ overdue",IF(AND($G146&lt;&gt;"",$G146&gt;=TODAY(),$G146-TODAY()&lt;=14),"⚠ due soon",IF($J146="","⚠ no responsible person",IF($I146="","⚠ missing payment account",IF(AND($L146&lt;&gt;"",TODAY()-$L146&gt;180),"⚠ not reviewed recently","")))))))</f>
        <v/>
      </c>
    </row>
    <row r="147">
      <c r="A147" s="9" t="n"/>
      <c r="B147" s="9" t="n"/>
      <c r="C147" s="9" t="n"/>
      <c r="D147" s="9" t="n"/>
      <c r="E147" s="10" t="n"/>
      <c r="F147" s="9" t="n"/>
      <c r="G147" s="19" t="n"/>
      <c r="H147" s="9" t="n"/>
      <c r="I147" s="9" t="n"/>
      <c r="J147" s="9" t="n"/>
      <c r="K147" s="9" t="n"/>
      <c r="L147" s="19" t="n"/>
      <c r="M147" s="9" t="n"/>
      <c r="N147" s="9" t="n"/>
      <c r="O147">
        <f>IF($A147="","",IF($K147="No","",IF(AND($G147&lt;&gt;"",$G147&lt;TODAY()),"⚠ overdue",IF(AND($G147&lt;&gt;"",$G147&gt;=TODAY(),$G147-TODAY()&lt;=14),"⚠ due soon",IF($J147="","⚠ no responsible person",IF($I147="","⚠ missing payment account",IF(AND($L147&lt;&gt;"",TODAY()-$L147&gt;180),"⚠ not reviewed recently","")))))))</f>
        <v/>
      </c>
    </row>
    <row r="148">
      <c r="A148" s="9" t="n"/>
      <c r="B148" s="9" t="n"/>
      <c r="C148" s="9" t="n"/>
      <c r="D148" s="9" t="n"/>
      <c r="E148" s="10" t="n"/>
      <c r="F148" s="9" t="n"/>
      <c r="G148" s="19" t="n"/>
      <c r="H148" s="9" t="n"/>
      <c r="I148" s="9" t="n"/>
      <c r="J148" s="9" t="n"/>
      <c r="K148" s="9" t="n"/>
      <c r="L148" s="19" t="n"/>
      <c r="M148" s="9" t="n"/>
      <c r="N148" s="9" t="n"/>
      <c r="O148">
        <f>IF($A148="","",IF($K148="No","",IF(AND($G148&lt;&gt;"",$G148&lt;TODAY()),"⚠ overdue",IF(AND($G148&lt;&gt;"",$G148&gt;=TODAY(),$G148-TODAY()&lt;=14),"⚠ due soon",IF($J148="","⚠ no responsible person",IF($I148="","⚠ missing payment account",IF(AND($L148&lt;&gt;"",TODAY()-$L148&gt;180),"⚠ not reviewed recently","")))))))</f>
        <v/>
      </c>
    </row>
    <row r="149">
      <c r="A149" s="9" t="n"/>
      <c r="B149" s="9" t="n"/>
      <c r="C149" s="9" t="n"/>
      <c r="D149" s="9" t="n"/>
      <c r="E149" s="10" t="n"/>
      <c r="F149" s="9" t="n"/>
      <c r="G149" s="19" t="n"/>
      <c r="H149" s="9" t="n"/>
      <c r="I149" s="9" t="n"/>
      <c r="J149" s="9" t="n"/>
      <c r="K149" s="9" t="n"/>
      <c r="L149" s="19" t="n"/>
      <c r="M149" s="9" t="n"/>
      <c r="N149" s="9" t="n"/>
      <c r="O149">
        <f>IF($A149="","",IF($K149="No","",IF(AND($G149&lt;&gt;"",$G149&lt;TODAY()),"⚠ overdue",IF(AND($G149&lt;&gt;"",$G149&gt;=TODAY(),$G149-TODAY()&lt;=14),"⚠ due soon",IF($J149="","⚠ no responsible person",IF($I149="","⚠ missing payment account",IF(AND($L149&lt;&gt;"",TODAY()-$L149&gt;180),"⚠ not reviewed recently","")))))))</f>
        <v/>
      </c>
    </row>
    <row r="150">
      <c r="A150" s="9" t="n"/>
      <c r="B150" s="9" t="n"/>
      <c r="C150" s="9" t="n"/>
      <c r="D150" s="9" t="n"/>
      <c r="E150" s="10" t="n"/>
      <c r="F150" s="9" t="n"/>
      <c r="G150" s="19" t="n"/>
      <c r="H150" s="9" t="n"/>
      <c r="I150" s="9" t="n"/>
      <c r="J150" s="9" t="n"/>
      <c r="K150" s="9" t="n"/>
      <c r="L150" s="19" t="n"/>
      <c r="M150" s="9" t="n"/>
      <c r="N150" s="9" t="n"/>
      <c r="O150">
        <f>IF($A150="","",IF($K150="No","",IF(AND($G150&lt;&gt;"",$G150&lt;TODAY()),"⚠ overdue",IF(AND($G150&lt;&gt;"",$G150&gt;=TODAY(),$G150-TODAY()&lt;=14),"⚠ due soon",IF($J150="","⚠ no responsible person",IF($I150="","⚠ missing payment account",IF(AND($L150&lt;&gt;"",TODAY()-$L150&gt;180),"⚠ not reviewed recently","")))))))</f>
        <v/>
      </c>
    </row>
    <row r="151">
      <c r="A151" s="9" t="n"/>
      <c r="B151" s="9" t="n"/>
      <c r="C151" s="9" t="n"/>
      <c r="D151" s="9" t="n"/>
      <c r="E151" s="10" t="n"/>
      <c r="F151" s="9" t="n"/>
      <c r="G151" s="19" t="n"/>
      <c r="H151" s="9" t="n"/>
      <c r="I151" s="9" t="n"/>
      <c r="J151" s="9" t="n"/>
      <c r="K151" s="9" t="n"/>
      <c r="L151" s="19" t="n"/>
      <c r="M151" s="9" t="n"/>
      <c r="N151" s="9" t="n"/>
      <c r="O151">
        <f>IF($A151="","",IF($K151="No","",IF(AND($G151&lt;&gt;"",$G151&lt;TODAY()),"⚠ overdue",IF(AND($G151&lt;&gt;"",$G151&gt;=TODAY(),$G151-TODAY()&lt;=14),"⚠ due soon",IF($J151="","⚠ no responsible person",IF($I151="","⚠ missing payment account",IF(AND($L151&lt;&gt;"",TODAY()-$L151&gt;180),"⚠ not reviewed recently","")))))))</f>
        <v/>
      </c>
    </row>
    <row r="152">
      <c r="A152" s="9" t="n"/>
      <c r="B152" s="9" t="n"/>
      <c r="C152" s="9" t="n"/>
      <c r="D152" s="9" t="n"/>
      <c r="E152" s="10" t="n"/>
      <c r="F152" s="9" t="n"/>
      <c r="G152" s="19" t="n"/>
      <c r="H152" s="9" t="n"/>
      <c r="I152" s="9" t="n"/>
      <c r="J152" s="9" t="n"/>
      <c r="K152" s="9" t="n"/>
      <c r="L152" s="19" t="n"/>
      <c r="M152" s="9" t="n"/>
      <c r="N152" s="9" t="n"/>
      <c r="O152">
        <f>IF($A152="","",IF($K152="No","",IF(AND($G152&lt;&gt;"",$G152&lt;TODAY()),"⚠ overdue",IF(AND($G152&lt;&gt;"",$G152&gt;=TODAY(),$G152-TODAY()&lt;=14),"⚠ due soon",IF($J152="","⚠ no responsible person",IF($I152="","⚠ missing payment account",IF(AND($L152&lt;&gt;"",TODAY()-$L152&gt;180),"⚠ not reviewed recently","")))))))</f>
        <v/>
      </c>
    </row>
    <row r="153">
      <c r="A153" s="9" t="n"/>
      <c r="B153" s="9" t="n"/>
      <c r="C153" s="9" t="n"/>
      <c r="D153" s="9" t="n"/>
      <c r="E153" s="10" t="n"/>
      <c r="F153" s="9" t="n"/>
      <c r="G153" s="19" t="n"/>
      <c r="H153" s="9" t="n"/>
      <c r="I153" s="9" t="n"/>
      <c r="J153" s="9" t="n"/>
      <c r="K153" s="9" t="n"/>
      <c r="L153" s="19" t="n"/>
      <c r="M153" s="9" t="n"/>
      <c r="N153" s="9" t="n"/>
      <c r="O153">
        <f>IF($A153="","",IF($K153="No","",IF(AND($G153&lt;&gt;"",$G153&lt;TODAY()),"⚠ overdue",IF(AND($G153&lt;&gt;"",$G153&gt;=TODAY(),$G153-TODAY()&lt;=14),"⚠ due soon",IF($J153="","⚠ no responsible person",IF($I153="","⚠ missing payment account",IF(AND($L153&lt;&gt;"",TODAY()-$L153&gt;180),"⚠ not reviewed recently","")))))))</f>
        <v/>
      </c>
    </row>
    <row r="154">
      <c r="A154" s="9" t="n"/>
      <c r="B154" s="9" t="n"/>
      <c r="C154" s="9" t="n"/>
      <c r="D154" s="9" t="n"/>
      <c r="E154" s="10" t="n"/>
      <c r="F154" s="9" t="n"/>
      <c r="G154" s="19" t="n"/>
      <c r="H154" s="9" t="n"/>
      <c r="I154" s="9" t="n"/>
      <c r="J154" s="9" t="n"/>
      <c r="K154" s="9" t="n"/>
      <c r="L154" s="19" t="n"/>
      <c r="M154" s="9" t="n"/>
      <c r="N154" s="9" t="n"/>
      <c r="O154">
        <f>IF($A154="","",IF($K154="No","",IF(AND($G154&lt;&gt;"",$G154&lt;TODAY()),"⚠ overdue",IF(AND($G154&lt;&gt;"",$G154&gt;=TODAY(),$G154-TODAY()&lt;=14),"⚠ due soon",IF($J154="","⚠ no responsible person",IF($I154="","⚠ missing payment account",IF(AND($L154&lt;&gt;"",TODAY()-$L154&gt;180),"⚠ not reviewed recently","")))))))</f>
        <v/>
      </c>
    </row>
    <row r="155">
      <c r="A155" s="9" t="n"/>
      <c r="B155" s="9" t="n"/>
      <c r="C155" s="9" t="n"/>
      <c r="D155" s="9" t="n"/>
      <c r="E155" s="10" t="n"/>
      <c r="F155" s="9" t="n"/>
      <c r="G155" s="19" t="n"/>
      <c r="H155" s="9" t="n"/>
      <c r="I155" s="9" t="n"/>
      <c r="J155" s="9" t="n"/>
      <c r="K155" s="9" t="n"/>
      <c r="L155" s="19" t="n"/>
      <c r="M155" s="9" t="n"/>
      <c r="N155" s="9" t="n"/>
      <c r="O155">
        <f>IF($A155="","",IF($K155="No","",IF(AND($G155&lt;&gt;"",$G155&lt;TODAY()),"⚠ overdue",IF(AND($G155&lt;&gt;"",$G155&gt;=TODAY(),$G155-TODAY()&lt;=14),"⚠ due soon",IF($J155="","⚠ no responsible person",IF($I155="","⚠ missing payment account",IF(AND($L155&lt;&gt;"",TODAY()-$L155&gt;180),"⚠ not reviewed recently","")))))))</f>
        <v/>
      </c>
    </row>
    <row r="156">
      <c r="A156" s="9" t="n"/>
      <c r="B156" s="9" t="n"/>
      <c r="C156" s="9" t="n"/>
      <c r="D156" s="9" t="n"/>
      <c r="E156" s="10" t="n"/>
      <c r="F156" s="9" t="n"/>
      <c r="G156" s="19" t="n"/>
      <c r="H156" s="9" t="n"/>
      <c r="I156" s="9" t="n"/>
      <c r="J156" s="9" t="n"/>
      <c r="K156" s="9" t="n"/>
      <c r="L156" s="19" t="n"/>
      <c r="M156" s="9" t="n"/>
      <c r="N156" s="9" t="n"/>
      <c r="O156">
        <f>IF($A156="","",IF($K156="No","",IF(AND($G156&lt;&gt;"",$G156&lt;TODAY()),"⚠ overdue",IF(AND($G156&lt;&gt;"",$G156&gt;=TODAY(),$G156-TODAY()&lt;=14),"⚠ due soon",IF($J156="","⚠ no responsible person",IF($I156="","⚠ missing payment account",IF(AND($L156&lt;&gt;"",TODAY()-$L156&gt;180),"⚠ not reviewed recently","")))))))</f>
        <v/>
      </c>
    </row>
    <row r="157">
      <c r="A157" s="9" t="n"/>
      <c r="B157" s="9" t="n"/>
      <c r="C157" s="9" t="n"/>
      <c r="D157" s="9" t="n"/>
      <c r="E157" s="10" t="n"/>
      <c r="F157" s="9" t="n"/>
      <c r="G157" s="19" t="n"/>
      <c r="H157" s="9" t="n"/>
      <c r="I157" s="9" t="n"/>
      <c r="J157" s="9" t="n"/>
      <c r="K157" s="9" t="n"/>
      <c r="L157" s="19" t="n"/>
      <c r="M157" s="9" t="n"/>
      <c r="N157" s="9" t="n"/>
      <c r="O157">
        <f>IF($A157="","",IF($K157="No","",IF(AND($G157&lt;&gt;"",$G157&lt;TODAY()),"⚠ overdue",IF(AND($G157&lt;&gt;"",$G157&gt;=TODAY(),$G157-TODAY()&lt;=14),"⚠ due soon",IF($J157="","⚠ no responsible person",IF($I157="","⚠ missing payment account",IF(AND($L157&lt;&gt;"",TODAY()-$L157&gt;180),"⚠ not reviewed recently","")))))))</f>
        <v/>
      </c>
    </row>
    <row r="158">
      <c r="A158" s="9" t="n"/>
      <c r="B158" s="9" t="n"/>
      <c r="C158" s="9" t="n"/>
      <c r="D158" s="9" t="n"/>
      <c r="E158" s="10" t="n"/>
      <c r="F158" s="9" t="n"/>
      <c r="G158" s="19" t="n"/>
      <c r="H158" s="9" t="n"/>
      <c r="I158" s="9" t="n"/>
      <c r="J158" s="9" t="n"/>
      <c r="K158" s="9" t="n"/>
      <c r="L158" s="19" t="n"/>
      <c r="M158" s="9" t="n"/>
      <c r="N158" s="9" t="n"/>
      <c r="O158">
        <f>IF($A158="","",IF($K158="No","",IF(AND($G158&lt;&gt;"",$G158&lt;TODAY()),"⚠ overdue",IF(AND($G158&lt;&gt;"",$G158&gt;=TODAY(),$G158-TODAY()&lt;=14),"⚠ due soon",IF($J158="","⚠ no responsible person",IF($I158="","⚠ missing payment account",IF(AND($L158&lt;&gt;"",TODAY()-$L158&gt;180),"⚠ not reviewed recently","")))))))</f>
        <v/>
      </c>
    </row>
    <row r="159">
      <c r="A159" s="9" t="n"/>
      <c r="B159" s="9" t="n"/>
      <c r="C159" s="9" t="n"/>
      <c r="D159" s="9" t="n"/>
      <c r="E159" s="10" t="n"/>
      <c r="F159" s="9" t="n"/>
      <c r="G159" s="19" t="n"/>
      <c r="H159" s="9" t="n"/>
      <c r="I159" s="9" t="n"/>
      <c r="J159" s="9" t="n"/>
      <c r="K159" s="9" t="n"/>
      <c r="L159" s="19" t="n"/>
      <c r="M159" s="9" t="n"/>
      <c r="N159" s="9" t="n"/>
      <c r="O159">
        <f>IF($A159="","",IF($K159="No","",IF(AND($G159&lt;&gt;"",$G159&lt;TODAY()),"⚠ overdue",IF(AND($G159&lt;&gt;"",$G159&gt;=TODAY(),$G159-TODAY()&lt;=14),"⚠ due soon",IF($J159="","⚠ no responsible person",IF($I159="","⚠ missing payment account",IF(AND($L159&lt;&gt;"",TODAY()-$L159&gt;180),"⚠ not reviewed recently","")))))))</f>
        <v/>
      </c>
    </row>
    <row r="160">
      <c r="A160" s="9" t="n"/>
      <c r="B160" s="9" t="n"/>
      <c r="C160" s="9" t="n"/>
      <c r="D160" s="9" t="n"/>
      <c r="E160" s="10" t="n"/>
      <c r="F160" s="9" t="n"/>
      <c r="G160" s="19" t="n"/>
      <c r="H160" s="9" t="n"/>
      <c r="I160" s="9" t="n"/>
      <c r="J160" s="9" t="n"/>
      <c r="K160" s="9" t="n"/>
      <c r="L160" s="19" t="n"/>
      <c r="M160" s="9" t="n"/>
      <c r="N160" s="9" t="n"/>
      <c r="O160">
        <f>IF($A160="","",IF($K160="No","",IF(AND($G160&lt;&gt;"",$G160&lt;TODAY()),"⚠ overdue",IF(AND($G160&lt;&gt;"",$G160&gt;=TODAY(),$G160-TODAY()&lt;=14),"⚠ due soon",IF($J160="","⚠ no responsible person",IF($I160="","⚠ missing payment account",IF(AND($L160&lt;&gt;"",TODAY()-$L160&gt;180),"⚠ not reviewed recently","")))))))</f>
        <v/>
      </c>
    </row>
    <row r="161">
      <c r="A161" s="9" t="n"/>
      <c r="B161" s="9" t="n"/>
      <c r="C161" s="9" t="n"/>
      <c r="D161" s="9" t="n"/>
      <c r="E161" s="10" t="n"/>
      <c r="F161" s="9" t="n"/>
      <c r="G161" s="19" t="n"/>
      <c r="H161" s="9" t="n"/>
      <c r="I161" s="9" t="n"/>
      <c r="J161" s="9" t="n"/>
      <c r="K161" s="9" t="n"/>
      <c r="L161" s="19" t="n"/>
      <c r="M161" s="9" t="n"/>
      <c r="N161" s="9" t="n"/>
      <c r="O161">
        <f>IF($A161="","",IF($K161="No","",IF(AND($G161&lt;&gt;"",$G161&lt;TODAY()),"⚠ overdue",IF(AND($G161&lt;&gt;"",$G161&gt;=TODAY(),$G161-TODAY()&lt;=14),"⚠ due soon",IF($J161="","⚠ no responsible person",IF($I161="","⚠ missing payment account",IF(AND($L161&lt;&gt;"",TODAY()-$L161&gt;180),"⚠ not reviewed recently","")))))))</f>
        <v/>
      </c>
    </row>
    <row r="162">
      <c r="A162" s="9" t="n"/>
      <c r="B162" s="9" t="n"/>
      <c r="C162" s="9" t="n"/>
      <c r="D162" s="9" t="n"/>
      <c r="E162" s="10" t="n"/>
      <c r="F162" s="9" t="n"/>
      <c r="G162" s="19" t="n"/>
      <c r="H162" s="9" t="n"/>
      <c r="I162" s="9" t="n"/>
      <c r="J162" s="9" t="n"/>
      <c r="K162" s="9" t="n"/>
      <c r="L162" s="19" t="n"/>
      <c r="M162" s="9" t="n"/>
      <c r="N162" s="9" t="n"/>
      <c r="O162">
        <f>IF($A162="","",IF($K162="No","",IF(AND($G162&lt;&gt;"",$G162&lt;TODAY()),"⚠ overdue",IF(AND($G162&lt;&gt;"",$G162&gt;=TODAY(),$G162-TODAY()&lt;=14),"⚠ due soon",IF($J162="","⚠ no responsible person",IF($I162="","⚠ missing payment account",IF(AND($L162&lt;&gt;"",TODAY()-$L162&gt;180),"⚠ not reviewed recently","")))))))</f>
        <v/>
      </c>
    </row>
    <row r="163">
      <c r="A163" s="9" t="n"/>
      <c r="B163" s="9" t="n"/>
      <c r="C163" s="9" t="n"/>
      <c r="D163" s="9" t="n"/>
      <c r="E163" s="10" t="n"/>
      <c r="F163" s="9" t="n"/>
      <c r="G163" s="19" t="n"/>
      <c r="H163" s="9" t="n"/>
      <c r="I163" s="9" t="n"/>
      <c r="J163" s="9" t="n"/>
      <c r="K163" s="9" t="n"/>
      <c r="L163" s="19" t="n"/>
      <c r="M163" s="9" t="n"/>
      <c r="N163" s="9" t="n"/>
      <c r="O163">
        <f>IF($A163="","",IF($K163="No","",IF(AND($G163&lt;&gt;"",$G163&lt;TODAY()),"⚠ overdue",IF(AND($G163&lt;&gt;"",$G163&gt;=TODAY(),$G163-TODAY()&lt;=14),"⚠ due soon",IF($J163="","⚠ no responsible person",IF($I163="","⚠ missing payment account",IF(AND($L163&lt;&gt;"",TODAY()-$L163&gt;180),"⚠ not reviewed recently","")))))))</f>
        <v/>
      </c>
    </row>
    <row r="164">
      <c r="A164" s="9" t="n"/>
      <c r="B164" s="9" t="n"/>
      <c r="C164" s="9" t="n"/>
      <c r="D164" s="9" t="n"/>
      <c r="E164" s="10" t="n"/>
      <c r="F164" s="9" t="n"/>
      <c r="G164" s="19" t="n"/>
      <c r="H164" s="9" t="n"/>
      <c r="I164" s="9" t="n"/>
      <c r="J164" s="9" t="n"/>
      <c r="K164" s="9" t="n"/>
      <c r="L164" s="19" t="n"/>
      <c r="M164" s="9" t="n"/>
      <c r="N164" s="9" t="n"/>
      <c r="O164">
        <f>IF($A164="","",IF($K164="No","",IF(AND($G164&lt;&gt;"",$G164&lt;TODAY()),"⚠ overdue",IF(AND($G164&lt;&gt;"",$G164&gt;=TODAY(),$G164-TODAY()&lt;=14),"⚠ due soon",IF($J164="","⚠ no responsible person",IF($I164="","⚠ missing payment account",IF(AND($L164&lt;&gt;"",TODAY()-$L164&gt;180),"⚠ not reviewed recently","")))))))</f>
        <v/>
      </c>
    </row>
    <row r="165">
      <c r="A165" s="9" t="n"/>
      <c r="B165" s="9" t="n"/>
      <c r="C165" s="9" t="n"/>
      <c r="D165" s="9" t="n"/>
      <c r="E165" s="10" t="n"/>
      <c r="F165" s="9" t="n"/>
      <c r="G165" s="19" t="n"/>
      <c r="H165" s="9" t="n"/>
      <c r="I165" s="9" t="n"/>
      <c r="J165" s="9" t="n"/>
      <c r="K165" s="9" t="n"/>
      <c r="L165" s="19" t="n"/>
      <c r="M165" s="9" t="n"/>
      <c r="N165" s="9" t="n"/>
      <c r="O165">
        <f>IF($A165="","",IF($K165="No","",IF(AND($G165&lt;&gt;"",$G165&lt;TODAY()),"⚠ overdue",IF(AND($G165&lt;&gt;"",$G165&gt;=TODAY(),$G165-TODAY()&lt;=14),"⚠ due soon",IF($J165="","⚠ no responsible person",IF($I165="","⚠ missing payment account",IF(AND($L165&lt;&gt;"",TODAY()-$L165&gt;180),"⚠ not reviewed recently","")))))))</f>
        <v/>
      </c>
    </row>
    <row r="166">
      <c r="A166" s="9" t="n"/>
      <c r="B166" s="9" t="n"/>
      <c r="C166" s="9" t="n"/>
      <c r="D166" s="9" t="n"/>
      <c r="E166" s="10" t="n"/>
      <c r="F166" s="9" t="n"/>
      <c r="G166" s="19" t="n"/>
      <c r="H166" s="9" t="n"/>
      <c r="I166" s="9" t="n"/>
      <c r="J166" s="9" t="n"/>
      <c r="K166" s="9" t="n"/>
      <c r="L166" s="19" t="n"/>
      <c r="M166" s="9" t="n"/>
      <c r="N166" s="9" t="n"/>
      <c r="O166">
        <f>IF($A166="","",IF($K166="No","",IF(AND($G166&lt;&gt;"",$G166&lt;TODAY()),"⚠ overdue",IF(AND($G166&lt;&gt;"",$G166&gt;=TODAY(),$G166-TODAY()&lt;=14),"⚠ due soon",IF($J166="","⚠ no responsible person",IF($I166="","⚠ missing payment account",IF(AND($L166&lt;&gt;"",TODAY()-$L166&gt;180),"⚠ not reviewed recently","")))))))</f>
        <v/>
      </c>
    </row>
    <row r="167">
      <c r="A167" s="9" t="n"/>
      <c r="B167" s="9" t="n"/>
      <c r="C167" s="9" t="n"/>
      <c r="D167" s="9" t="n"/>
      <c r="E167" s="10" t="n"/>
      <c r="F167" s="9" t="n"/>
      <c r="G167" s="19" t="n"/>
      <c r="H167" s="9" t="n"/>
      <c r="I167" s="9" t="n"/>
      <c r="J167" s="9" t="n"/>
      <c r="K167" s="9" t="n"/>
      <c r="L167" s="19" t="n"/>
      <c r="M167" s="9" t="n"/>
      <c r="N167" s="9" t="n"/>
      <c r="O167">
        <f>IF($A167="","",IF($K167="No","",IF(AND($G167&lt;&gt;"",$G167&lt;TODAY()),"⚠ overdue",IF(AND($G167&lt;&gt;"",$G167&gt;=TODAY(),$G167-TODAY()&lt;=14),"⚠ due soon",IF($J167="","⚠ no responsible person",IF($I167="","⚠ missing payment account",IF(AND($L167&lt;&gt;"",TODAY()-$L167&gt;180),"⚠ not reviewed recently","")))))))</f>
        <v/>
      </c>
    </row>
    <row r="168">
      <c r="A168" s="9" t="n"/>
      <c r="B168" s="9" t="n"/>
      <c r="C168" s="9" t="n"/>
      <c r="D168" s="9" t="n"/>
      <c r="E168" s="10" t="n"/>
      <c r="F168" s="9" t="n"/>
      <c r="G168" s="19" t="n"/>
      <c r="H168" s="9" t="n"/>
      <c r="I168" s="9" t="n"/>
      <c r="J168" s="9" t="n"/>
      <c r="K168" s="9" t="n"/>
      <c r="L168" s="19" t="n"/>
      <c r="M168" s="9" t="n"/>
      <c r="N168" s="9" t="n"/>
      <c r="O168">
        <f>IF($A168="","",IF($K168="No","",IF(AND($G168&lt;&gt;"",$G168&lt;TODAY()),"⚠ overdue",IF(AND($G168&lt;&gt;"",$G168&gt;=TODAY(),$G168-TODAY()&lt;=14),"⚠ due soon",IF($J168="","⚠ no responsible person",IF($I168="","⚠ missing payment account",IF(AND($L168&lt;&gt;"",TODAY()-$L168&gt;180),"⚠ not reviewed recently","")))))))</f>
        <v/>
      </c>
    </row>
    <row r="169">
      <c r="A169" s="9" t="n"/>
      <c r="B169" s="9" t="n"/>
      <c r="C169" s="9" t="n"/>
      <c r="D169" s="9" t="n"/>
      <c r="E169" s="10" t="n"/>
      <c r="F169" s="9" t="n"/>
      <c r="G169" s="19" t="n"/>
      <c r="H169" s="9" t="n"/>
      <c r="I169" s="9" t="n"/>
      <c r="J169" s="9" t="n"/>
      <c r="K169" s="9" t="n"/>
      <c r="L169" s="19" t="n"/>
      <c r="M169" s="9" t="n"/>
      <c r="N169" s="9" t="n"/>
      <c r="O169">
        <f>IF($A169="","",IF($K169="No","",IF(AND($G169&lt;&gt;"",$G169&lt;TODAY()),"⚠ overdue",IF(AND($G169&lt;&gt;"",$G169&gt;=TODAY(),$G169-TODAY()&lt;=14),"⚠ due soon",IF($J169="","⚠ no responsible person",IF($I169="","⚠ missing payment account",IF(AND($L169&lt;&gt;"",TODAY()-$L169&gt;180),"⚠ not reviewed recently","")))))))</f>
        <v/>
      </c>
    </row>
    <row r="170">
      <c r="A170" s="9" t="n"/>
      <c r="B170" s="9" t="n"/>
      <c r="C170" s="9" t="n"/>
      <c r="D170" s="9" t="n"/>
      <c r="E170" s="10" t="n"/>
      <c r="F170" s="9" t="n"/>
      <c r="G170" s="19" t="n"/>
      <c r="H170" s="9" t="n"/>
      <c r="I170" s="9" t="n"/>
      <c r="J170" s="9" t="n"/>
      <c r="K170" s="9" t="n"/>
      <c r="L170" s="19" t="n"/>
      <c r="M170" s="9" t="n"/>
      <c r="N170" s="9" t="n"/>
      <c r="O170">
        <f>IF($A170="","",IF($K170="No","",IF(AND($G170&lt;&gt;"",$G170&lt;TODAY()),"⚠ overdue",IF(AND($G170&lt;&gt;"",$G170&gt;=TODAY(),$G170-TODAY()&lt;=14),"⚠ due soon",IF($J170="","⚠ no responsible person",IF($I170="","⚠ missing payment account",IF(AND($L170&lt;&gt;"",TODAY()-$L170&gt;180),"⚠ not reviewed recently","")))))))</f>
        <v/>
      </c>
    </row>
    <row r="171">
      <c r="A171" s="9" t="n"/>
      <c r="B171" s="9" t="n"/>
      <c r="C171" s="9" t="n"/>
      <c r="D171" s="9" t="n"/>
      <c r="E171" s="10" t="n"/>
      <c r="F171" s="9" t="n"/>
      <c r="G171" s="19" t="n"/>
      <c r="H171" s="9" t="n"/>
      <c r="I171" s="9" t="n"/>
      <c r="J171" s="9" t="n"/>
      <c r="K171" s="9" t="n"/>
      <c r="L171" s="19" t="n"/>
      <c r="M171" s="9" t="n"/>
      <c r="N171" s="9" t="n"/>
      <c r="O171">
        <f>IF($A171="","",IF($K171="No","",IF(AND($G171&lt;&gt;"",$G171&lt;TODAY()),"⚠ overdue",IF(AND($G171&lt;&gt;"",$G171&gt;=TODAY(),$G171-TODAY()&lt;=14),"⚠ due soon",IF($J171="","⚠ no responsible person",IF($I171="","⚠ missing payment account",IF(AND($L171&lt;&gt;"",TODAY()-$L171&gt;180),"⚠ not reviewed recently","")))))))</f>
        <v/>
      </c>
    </row>
    <row r="172">
      <c r="A172" s="9" t="n"/>
      <c r="B172" s="9" t="n"/>
      <c r="C172" s="9" t="n"/>
      <c r="D172" s="9" t="n"/>
      <c r="E172" s="10" t="n"/>
      <c r="F172" s="9" t="n"/>
      <c r="G172" s="19" t="n"/>
      <c r="H172" s="9" t="n"/>
      <c r="I172" s="9" t="n"/>
      <c r="J172" s="9" t="n"/>
      <c r="K172" s="9" t="n"/>
      <c r="L172" s="19" t="n"/>
      <c r="M172" s="9" t="n"/>
      <c r="N172" s="9" t="n"/>
      <c r="O172">
        <f>IF($A172="","",IF($K172="No","",IF(AND($G172&lt;&gt;"",$G172&lt;TODAY()),"⚠ overdue",IF(AND($G172&lt;&gt;"",$G172&gt;=TODAY(),$G172-TODAY()&lt;=14),"⚠ due soon",IF($J172="","⚠ no responsible person",IF($I172="","⚠ missing payment account",IF(AND($L172&lt;&gt;"",TODAY()-$L172&gt;180),"⚠ not reviewed recently","")))))))</f>
        <v/>
      </c>
    </row>
    <row r="173">
      <c r="A173" s="9" t="n"/>
      <c r="B173" s="9" t="n"/>
      <c r="C173" s="9" t="n"/>
      <c r="D173" s="9" t="n"/>
      <c r="E173" s="10" t="n"/>
      <c r="F173" s="9" t="n"/>
      <c r="G173" s="19" t="n"/>
      <c r="H173" s="9" t="n"/>
      <c r="I173" s="9" t="n"/>
      <c r="J173" s="9" t="n"/>
      <c r="K173" s="9" t="n"/>
      <c r="L173" s="19" t="n"/>
      <c r="M173" s="9" t="n"/>
      <c r="N173" s="9" t="n"/>
      <c r="O173">
        <f>IF($A173="","",IF($K173="No","",IF(AND($G173&lt;&gt;"",$G173&lt;TODAY()),"⚠ overdue",IF(AND($G173&lt;&gt;"",$G173&gt;=TODAY(),$G173-TODAY()&lt;=14),"⚠ due soon",IF($J173="","⚠ no responsible person",IF($I173="","⚠ missing payment account",IF(AND($L173&lt;&gt;"",TODAY()-$L173&gt;180),"⚠ not reviewed recently","")))))))</f>
        <v/>
      </c>
    </row>
    <row r="174">
      <c r="A174" s="9" t="n"/>
      <c r="B174" s="9" t="n"/>
      <c r="C174" s="9" t="n"/>
      <c r="D174" s="9" t="n"/>
      <c r="E174" s="10" t="n"/>
      <c r="F174" s="9" t="n"/>
      <c r="G174" s="19" t="n"/>
      <c r="H174" s="9" t="n"/>
      <c r="I174" s="9" t="n"/>
      <c r="J174" s="9" t="n"/>
      <c r="K174" s="9" t="n"/>
      <c r="L174" s="19" t="n"/>
      <c r="M174" s="9" t="n"/>
      <c r="N174" s="9" t="n"/>
      <c r="O174">
        <f>IF($A174="","",IF($K174="No","",IF(AND($G174&lt;&gt;"",$G174&lt;TODAY()),"⚠ overdue",IF(AND($G174&lt;&gt;"",$G174&gt;=TODAY(),$G174-TODAY()&lt;=14),"⚠ due soon",IF($J174="","⚠ no responsible person",IF($I174="","⚠ missing payment account",IF(AND($L174&lt;&gt;"",TODAY()-$L174&gt;180),"⚠ not reviewed recently","")))))))</f>
        <v/>
      </c>
    </row>
    <row r="175">
      <c r="A175" s="9" t="n"/>
      <c r="B175" s="9" t="n"/>
      <c r="C175" s="9" t="n"/>
      <c r="D175" s="9" t="n"/>
      <c r="E175" s="10" t="n"/>
      <c r="F175" s="9" t="n"/>
      <c r="G175" s="19" t="n"/>
      <c r="H175" s="9" t="n"/>
      <c r="I175" s="9" t="n"/>
      <c r="J175" s="9" t="n"/>
      <c r="K175" s="9" t="n"/>
      <c r="L175" s="19" t="n"/>
      <c r="M175" s="9" t="n"/>
      <c r="N175" s="9" t="n"/>
      <c r="O175">
        <f>IF($A175="","",IF($K175="No","",IF(AND($G175&lt;&gt;"",$G175&lt;TODAY()),"⚠ overdue",IF(AND($G175&lt;&gt;"",$G175&gt;=TODAY(),$G175-TODAY()&lt;=14),"⚠ due soon",IF($J175="","⚠ no responsible person",IF($I175="","⚠ missing payment account",IF(AND($L175&lt;&gt;"",TODAY()-$L175&gt;180),"⚠ not reviewed recently","")))))))</f>
        <v/>
      </c>
    </row>
    <row r="176">
      <c r="A176" s="9" t="n"/>
      <c r="B176" s="9" t="n"/>
      <c r="C176" s="9" t="n"/>
      <c r="D176" s="9" t="n"/>
      <c r="E176" s="10" t="n"/>
      <c r="F176" s="9" t="n"/>
      <c r="G176" s="19" t="n"/>
      <c r="H176" s="9" t="n"/>
      <c r="I176" s="9" t="n"/>
      <c r="J176" s="9" t="n"/>
      <c r="K176" s="9" t="n"/>
      <c r="L176" s="19" t="n"/>
      <c r="M176" s="9" t="n"/>
      <c r="N176" s="9" t="n"/>
      <c r="O176">
        <f>IF($A176="","",IF($K176="No","",IF(AND($G176&lt;&gt;"",$G176&lt;TODAY()),"⚠ overdue",IF(AND($G176&lt;&gt;"",$G176&gt;=TODAY(),$G176-TODAY()&lt;=14),"⚠ due soon",IF($J176="","⚠ no responsible person",IF($I176="","⚠ missing payment account",IF(AND($L176&lt;&gt;"",TODAY()-$L176&gt;180),"⚠ not reviewed recently","")))))))</f>
        <v/>
      </c>
    </row>
    <row r="177">
      <c r="A177" s="9" t="n"/>
      <c r="B177" s="9" t="n"/>
      <c r="C177" s="9" t="n"/>
      <c r="D177" s="9" t="n"/>
      <c r="E177" s="10" t="n"/>
      <c r="F177" s="9" t="n"/>
      <c r="G177" s="19" t="n"/>
      <c r="H177" s="9" t="n"/>
      <c r="I177" s="9" t="n"/>
      <c r="J177" s="9" t="n"/>
      <c r="K177" s="9" t="n"/>
      <c r="L177" s="19" t="n"/>
      <c r="M177" s="9" t="n"/>
      <c r="N177" s="9" t="n"/>
      <c r="O177">
        <f>IF($A177="","",IF($K177="No","",IF(AND($G177&lt;&gt;"",$G177&lt;TODAY()),"⚠ overdue",IF(AND($G177&lt;&gt;"",$G177&gt;=TODAY(),$G177-TODAY()&lt;=14),"⚠ due soon",IF($J177="","⚠ no responsible person",IF($I177="","⚠ missing payment account",IF(AND($L177&lt;&gt;"",TODAY()-$L177&gt;180),"⚠ not reviewed recently","")))))))</f>
        <v/>
      </c>
    </row>
    <row r="178">
      <c r="A178" s="9" t="n"/>
      <c r="B178" s="9" t="n"/>
      <c r="C178" s="9" t="n"/>
      <c r="D178" s="9" t="n"/>
      <c r="E178" s="10" t="n"/>
      <c r="F178" s="9" t="n"/>
      <c r="G178" s="19" t="n"/>
      <c r="H178" s="9" t="n"/>
      <c r="I178" s="9" t="n"/>
      <c r="J178" s="9" t="n"/>
      <c r="K178" s="9" t="n"/>
      <c r="L178" s="19" t="n"/>
      <c r="M178" s="9" t="n"/>
      <c r="N178" s="9" t="n"/>
      <c r="O178">
        <f>IF($A178="","",IF($K178="No","",IF(AND($G178&lt;&gt;"",$G178&lt;TODAY()),"⚠ overdue",IF(AND($G178&lt;&gt;"",$G178&gt;=TODAY(),$G178-TODAY()&lt;=14),"⚠ due soon",IF($J178="","⚠ no responsible person",IF($I178="","⚠ missing payment account",IF(AND($L178&lt;&gt;"",TODAY()-$L178&gt;180),"⚠ not reviewed recently","")))))))</f>
        <v/>
      </c>
    </row>
    <row r="179">
      <c r="A179" s="9" t="n"/>
      <c r="B179" s="9" t="n"/>
      <c r="C179" s="9" t="n"/>
      <c r="D179" s="9" t="n"/>
      <c r="E179" s="10" t="n"/>
      <c r="F179" s="9" t="n"/>
      <c r="G179" s="19" t="n"/>
      <c r="H179" s="9" t="n"/>
      <c r="I179" s="9" t="n"/>
      <c r="J179" s="9" t="n"/>
      <c r="K179" s="9" t="n"/>
      <c r="L179" s="19" t="n"/>
      <c r="M179" s="9" t="n"/>
      <c r="N179" s="9" t="n"/>
      <c r="O179">
        <f>IF($A179="","",IF($K179="No","",IF(AND($G179&lt;&gt;"",$G179&lt;TODAY()),"⚠ overdue",IF(AND($G179&lt;&gt;"",$G179&gt;=TODAY(),$G179-TODAY()&lt;=14),"⚠ due soon",IF($J179="","⚠ no responsible person",IF($I179="","⚠ missing payment account",IF(AND($L179&lt;&gt;"",TODAY()-$L179&gt;180),"⚠ not reviewed recently","")))))))</f>
        <v/>
      </c>
    </row>
    <row r="180">
      <c r="A180" s="9" t="n"/>
      <c r="B180" s="9" t="n"/>
      <c r="C180" s="9" t="n"/>
      <c r="D180" s="9" t="n"/>
      <c r="E180" s="10" t="n"/>
      <c r="F180" s="9" t="n"/>
      <c r="G180" s="19" t="n"/>
      <c r="H180" s="9" t="n"/>
      <c r="I180" s="9" t="n"/>
      <c r="J180" s="9" t="n"/>
      <c r="K180" s="9" t="n"/>
      <c r="L180" s="19" t="n"/>
      <c r="M180" s="9" t="n"/>
      <c r="N180" s="9" t="n"/>
      <c r="O180">
        <f>IF($A180="","",IF($K180="No","",IF(AND($G180&lt;&gt;"",$G180&lt;TODAY()),"⚠ overdue",IF(AND($G180&lt;&gt;"",$G180&gt;=TODAY(),$G180-TODAY()&lt;=14),"⚠ due soon",IF($J180="","⚠ no responsible person",IF($I180="","⚠ missing payment account",IF(AND($L180&lt;&gt;"",TODAY()-$L180&gt;180),"⚠ not reviewed recently","")))))))</f>
        <v/>
      </c>
    </row>
    <row r="181">
      <c r="A181" s="9" t="n"/>
      <c r="B181" s="9" t="n"/>
      <c r="C181" s="9" t="n"/>
      <c r="D181" s="9" t="n"/>
      <c r="E181" s="10" t="n"/>
      <c r="F181" s="9" t="n"/>
      <c r="G181" s="19" t="n"/>
      <c r="H181" s="9" t="n"/>
      <c r="I181" s="9" t="n"/>
      <c r="J181" s="9" t="n"/>
      <c r="K181" s="9" t="n"/>
      <c r="L181" s="19" t="n"/>
      <c r="M181" s="9" t="n"/>
      <c r="N181" s="9" t="n"/>
      <c r="O181">
        <f>IF($A181="","",IF($K181="No","",IF(AND($G181&lt;&gt;"",$G181&lt;TODAY()),"⚠ overdue",IF(AND($G181&lt;&gt;"",$G181&gt;=TODAY(),$G181-TODAY()&lt;=14),"⚠ due soon",IF($J181="","⚠ no responsible person",IF($I181="","⚠ missing payment account",IF(AND($L181&lt;&gt;"",TODAY()-$L181&gt;180),"⚠ not reviewed recently","")))))))</f>
        <v/>
      </c>
    </row>
    <row r="182">
      <c r="A182" s="9" t="n"/>
      <c r="B182" s="9" t="n"/>
      <c r="C182" s="9" t="n"/>
      <c r="D182" s="9" t="n"/>
      <c r="E182" s="10" t="n"/>
      <c r="F182" s="9" t="n"/>
      <c r="G182" s="19" t="n"/>
      <c r="H182" s="9" t="n"/>
      <c r="I182" s="9" t="n"/>
      <c r="J182" s="9" t="n"/>
      <c r="K182" s="9" t="n"/>
      <c r="L182" s="19" t="n"/>
      <c r="M182" s="9" t="n"/>
      <c r="N182" s="9" t="n"/>
      <c r="O182">
        <f>IF($A182="","",IF($K182="No","",IF(AND($G182&lt;&gt;"",$G182&lt;TODAY()),"⚠ overdue",IF(AND($G182&lt;&gt;"",$G182&gt;=TODAY(),$G182-TODAY()&lt;=14),"⚠ due soon",IF($J182="","⚠ no responsible person",IF($I182="","⚠ missing payment account",IF(AND($L182&lt;&gt;"",TODAY()-$L182&gt;180),"⚠ not reviewed recently","")))))))</f>
        <v/>
      </c>
    </row>
    <row r="183">
      <c r="A183" s="9" t="n"/>
      <c r="B183" s="9" t="n"/>
      <c r="C183" s="9" t="n"/>
      <c r="D183" s="9" t="n"/>
      <c r="E183" s="10" t="n"/>
      <c r="F183" s="9" t="n"/>
      <c r="G183" s="19" t="n"/>
      <c r="H183" s="9" t="n"/>
      <c r="I183" s="9" t="n"/>
      <c r="J183" s="9" t="n"/>
      <c r="K183" s="9" t="n"/>
      <c r="L183" s="19" t="n"/>
      <c r="M183" s="9" t="n"/>
      <c r="N183" s="9" t="n"/>
      <c r="O183">
        <f>IF($A183="","",IF($K183="No","",IF(AND($G183&lt;&gt;"",$G183&lt;TODAY()),"⚠ overdue",IF(AND($G183&lt;&gt;"",$G183&gt;=TODAY(),$G183-TODAY()&lt;=14),"⚠ due soon",IF($J183="","⚠ no responsible person",IF($I183="","⚠ missing payment account",IF(AND($L183&lt;&gt;"",TODAY()-$L183&gt;180),"⚠ not reviewed recently","")))))))</f>
        <v/>
      </c>
    </row>
    <row r="184">
      <c r="A184" s="9" t="n"/>
      <c r="B184" s="9" t="n"/>
      <c r="C184" s="9" t="n"/>
      <c r="D184" s="9" t="n"/>
      <c r="E184" s="10" t="n"/>
      <c r="F184" s="9" t="n"/>
      <c r="G184" s="19" t="n"/>
      <c r="H184" s="9" t="n"/>
      <c r="I184" s="9" t="n"/>
      <c r="J184" s="9" t="n"/>
      <c r="K184" s="9" t="n"/>
      <c r="L184" s="19" t="n"/>
      <c r="M184" s="9" t="n"/>
      <c r="N184" s="9" t="n"/>
      <c r="O184">
        <f>IF($A184="","",IF($K184="No","",IF(AND($G184&lt;&gt;"",$G184&lt;TODAY()),"⚠ overdue",IF(AND($G184&lt;&gt;"",$G184&gt;=TODAY(),$G184-TODAY()&lt;=14),"⚠ due soon",IF($J184="","⚠ no responsible person",IF($I184="","⚠ missing payment account",IF(AND($L184&lt;&gt;"",TODAY()-$L184&gt;180),"⚠ not reviewed recently","")))))))</f>
        <v/>
      </c>
    </row>
    <row r="185">
      <c r="A185" s="9" t="n"/>
      <c r="B185" s="9" t="n"/>
      <c r="C185" s="9" t="n"/>
      <c r="D185" s="9" t="n"/>
      <c r="E185" s="10" t="n"/>
      <c r="F185" s="9" t="n"/>
      <c r="G185" s="19" t="n"/>
      <c r="H185" s="9" t="n"/>
      <c r="I185" s="9" t="n"/>
      <c r="J185" s="9" t="n"/>
      <c r="K185" s="9" t="n"/>
      <c r="L185" s="19" t="n"/>
      <c r="M185" s="9" t="n"/>
      <c r="N185" s="9" t="n"/>
      <c r="O185">
        <f>IF($A185="","",IF($K185="No","",IF(AND($G185&lt;&gt;"",$G185&lt;TODAY()),"⚠ overdue",IF(AND($G185&lt;&gt;"",$G185&gt;=TODAY(),$G185-TODAY()&lt;=14),"⚠ due soon",IF($J185="","⚠ no responsible person",IF($I185="","⚠ missing payment account",IF(AND($L185&lt;&gt;"",TODAY()-$L185&gt;180),"⚠ not reviewed recently","")))))))</f>
        <v/>
      </c>
    </row>
    <row r="186">
      <c r="A186" s="9" t="n"/>
      <c r="B186" s="9" t="n"/>
      <c r="C186" s="9" t="n"/>
      <c r="D186" s="9" t="n"/>
      <c r="E186" s="10" t="n"/>
      <c r="F186" s="9" t="n"/>
      <c r="G186" s="19" t="n"/>
      <c r="H186" s="9" t="n"/>
      <c r="I186" s="9" t="n"/>
      <c r="J186" s="9" t="n"/>
      <c r="K186" s="9" t="n"/>
      <c r="L186" s="19" t="n"/>
      <c r="M186" s="9" t="n"/>
      <c r="N186" s="9" t="n"/>
      <c r="O186">
        <f>IF($A186="","",IF($K186="No","",IF(AND($G186&lt;&gt;"",$G186&lt;TODAY()),"⚠ overdue",IF(AND($G186&lt;&gt;"",$G186&gt;=TODAY(),$G186-TODAY()&lt;=14),"⚠ due soon",IF($J186="","⚠ no responsible person",IF($I186="","⚠ missing payment account",IF(AND($L186&lt;&gt;"",TODAY()-$L186&gt;180),"⚠ not reviewed recently","")))))))</f>
        <v/>
      </c>
    </row>
    <row r="187">
      <c r="A187" s="9" t="n"/>
      <c r="B187" s="9" t="n"/>
      <c r="C187" s="9" t="n"/>
      <c r="D187" s="9" t="n"/>
      <c r="E187" s="10" t="n"/>
      <c r="F187" s="9" t="n"/>
      <c r="G187" s="19" t="n"/>
      <c r="H187" s="9" t="n"/>
      <c r="I187" s="9" t="n"/>
      <c r="J187" s="9" t="n"/>
      <c r="K187" s="9" t="n"/>
      <c r="L187" s="19" t="n"/>
      <c r="M187" s="9" t="n"/>
      <c r="N187" s="9" t="n"/>
      <c r="O187">
        <f>IF($A187="","",IF($K187="No","",IF(AND($G187&lt;&gt;"",$G187&lt;TODAY()),"⚠ overdue",IF(AND($G187&lt;&gt;"",$G187&gt;=TODAY(),$G187-TODAY()&lt;=14),"⚠ due soon",IF($J187="","⚠ no responsible person",IF($I187="","⚠ missing payment account",IF(AND($L187&lt;&gt;"",TODAY()-$L187&gt;180),"⚠ not reviewed recently","")))))))</f>
        <v/>
      </c>
    </row>
    <row r="188">
      <c r="A188" s="9" t="n"/>
      <c r="B188" s="9" t="n"/>
      <c r="C188" s="9" t="n"/>
      <c r="D188" s="9" t="n"/>
      <c r="E188" s="10" t="n"/>
      <c r="F188" s="9" t="n"/>
      <c r="G188" s="19" t="n"/>
      <c r="H188" s="9" t="n"/>
      <c r="I188" s="9" t="n"/>
      <c r="J188" s="9" t="n"/>
      <c r="K188" s="9" t="n"/>
      <c r="L188" s="19" t="n"/>
      <c r="M188" s="9" t="n"/>
      <c r="N188" s="9" t="n"/>
      <c r="O188">
        <f>IF($A188="","",IF($K188="No","",IF(AND($G188&lt;&gt;"",$G188&lt;TODAY()),"⚠ overdue",IF(AND($G188&lt;&gt;"",$G188&gt;=TODAY(),$G188-TODAY()&lt;=14),"⚠ due soon",IF($J188="","⚠ no responsible person",IF($I188="","⚠ missing payment account",IF(AND($L188&lt;&gt;"",TODAY()-$L188&gt;180),"⚠ not reviewed recently","")))))))</f>
        <v/>
      </c>
    </row>
    <row r="189">
      <c r="A189" s="9" t="n"/>
      <c r="B189" s="9" t="n"/>
      <c r="C189" s="9" t="n"/>
      <c r="D189" s="9" t="n"/>
      <c r="E189" s="10" t="n"/>
      <c r="F189" s="9" t="n"/>
      <c r="G189" s="19" t="n"/>
      <c r="H189" s="9" t="n"/>
      <c r="I189" s="9" t="n"/>
      <c r="J189" s="9" t="n"/>
      <c r="K189" s="9" t="n"/>
      <c r="L189" s="19" t="n"/>
      <c r="M189" s="9" t="n"/>
      <c r="N189" s="9" t="n"/>
      <c r="O189">
        <f>IF($A189="","",IF($K189="No","",IF(AND($G189&lt;&gt;"",$G189&lt;TODAY()),"⚠ overdue",IF(AND($G189&lt;&gt;"",$G189&gt;=TODAY(),$G189-TODAY()&lt;=14),"⚠ due soon",IF($J189="","⚠ no responsible person",IF($I189="","⚠ missing payment account",IF(AND($L189&lt;&gt;"",TODAY()-$L189&gt;180),"⚠ not reviewed recently","")))))))</f>
        <v/>
      </c>
    </row>
    <row r="190">
      <c r="A190" s="9" t="n"/>
      <c r="B190" s="9" t="n"/>
      <c r="C190" s="9" t="n"/>
      <c r="D190" s="9" t="n"/>
      <c r="E190" s="10" t="n"/>
      <c r="F190" s="9" t="n"/>
      <c r="G190" s="19" t="n"/>
      <c r="H190" s="9" t="n"/>
      <c r="I190" s="9" t="n"/>
      <c r="J190" s="9" t="n"/>
      <c r="K190" s="9" t="n"/>
      <c r="L190" s="19" t="n"/>
      <c r="M190" s="9" t="n"/>
      <c r="N190" s="9" t="n"/>
      <c r="O190">
        <f>IF($A190="","",IF($K190="No","",IF(AND($G190&lt;&gt;"",$G190&lt;TODAY()),"⚠ overdue",IF(AND($G190&lt;&gt;"",$G190&gt;=TODAY(),$G190-TODAY()&lt;=14),"⚠ due soon",IF($J190="","⚠ no responsible person",IF($I190="","⚠ missing payment account",IF(AND($L190&lt;&gt;"",TODAY()-$L190&gt;180),"⚠ not reviewed recently","")))))))</f>
        <v/>
      </c>
    </row>
    <row r="191">
      <c r="A191" s="9" t="n"/>
      <c r="B191" s="9" t="n"/>
      <c r="C191" s="9" t="n"/>
      <c r="D191" s="9" t="n"/>
      <c r="E191" s="10" t="n"/>
      <c r="F191" s="9" t="n"/>
      <c r="G191" s="19" t="n"/>
      <c r="H191" s="9" t="n"/>
      <c r="I191" s="9" t="n"/>
      <c r="J191" s="9" t="n"/>
      <c r="K191" s="9" t="n"/>
      <c r="L191" s="19" t="n"/>
      <c r="M191" s="9" t="n"/>
      <c r="N191" s="9" t="n"/>
      <c r="O191">
        <f>IF($A191="","",IF($K191="No","",IF(AND($G191&lt;&gt;"",$G191&lt;TODAY()),"⚠ overdue",IF(AND($G191&lt;&gt;"",$G191&gt;=TODAY(),$G191-TODAY()&lt;=14),"⚠ due soon",IF($J191="","⚠ no responsible person",IF($I191="","⚠ missing payment account",IF(AND($L191&lt;&gt;"",TODAY()-$L191&gt;180),"⚠ not reviewed recently","")))))))</f>
        <v/>
      </c>
    </row>
    <row r="192">
      <c r="A192" s="9" t="n"/>
      <c r="B192" s="9" t="n"/>
      <c r="C192" s="9" t="n"/>
      <c r="D192" s="9" t="n"/>
      <c r="E192" s="10" t="n"/>
      <c r="F192" s="9" t="n"/>
      <c r="G192" s="19" t="n"/>
      <c r="H192" s="9" t="n"/>
      <c r="I192" s="9" t="n"/>
      <c r="J192" s="9" t="n"/>
      <c r="K192" s="9" t="n"/>
      <c r="L192" s="19" t="n"/>
      <c r="M192" s="9" t="n"/>
      <c r="N192" s="9" t="n"/>
      <c r="O192">
        <f>IF($A192="","",IF($K192="No","",IF(AND($G192&lt;&gt;"",$G192&lt;TODAY()),"⚠ overdue",IF(AND($G192&lt;&gt;"",$G192&gt;=TODAY(),$G192-TODAY()&lt;=14),"⚠ due soon",IF($J192="","⚠ no responsible person",IF($I192="","⚠ missing payment account",IF(AND($L192&lt;&gt;"",TODAY()-$L192&gt;180),"⚠ not reviewed recently","")))))))</f>
        <v/>
      </c>
    </row>
    <row r="193">
      <c r="A193" s="9" t="n"/>
      <c r="B193" s="9" t="n"/>
      <c r="C193" s="9" t="n"/>
      <c r="D193" s="9" t="n"/>
      <c r="E193" s="10" t="n"/>
      <c r="F193" s="9" t="n"/>
      <c r="G193" s="19" t="n"/>
      <c r="H193" s="9" t="n"/>
      <c r="I193" s="9" t="n"/>
      <c r="J193" s="9" t="n"/>
      <c r="K193" s="9" t="n"/>
      <c r="L193" s="19" t="n"/>
      <c r="M193" s="9" t="n"/>
      <c r="N193" s="9" t="n"/>
      <c r="O193">
        <f>IF($A193="","",IF($K193="No","",IF(AND($G193&lt;&gt;"",$G193&lt;TODAY()),"⚠ overdue",IF(AND($G193&lt;&gt;"",$G193&gt;=TODAY(),$G193-TODAY()&lt;=14),"⚠ due soon",IF($J193="","⚠ no responsible person",IF($I193="","⚠ missing payment account",IF(AND($L193&lt;&gt;"",TODAY()-$L193&gt;180),"⚠ not reviewed recently","")))))))</f>
        <v/>
      </c>
    </row>
    <row r="194">
      <c r="A194" s="9" t="n"/>
      <c r="B194" s="9" t="n"/>
      <c r="C194" s="9" t="n"/>
      <c r="D194" s="9" t="n"/>
      <c r="E194" s="10" t="n"/>
      <c r="F194" s="9" t="n"/>
      <c r="G194" s="19" t="n"/>
      <c r="H194" s="9" t="n"/>
      <c r="I194" s="9" t="n"/>
      <c r="J194" s="9" t="n"/>
      <c r="K194" s="9" t="n"/>
      <c r="L194" s="19" t="n"/>
      <c r="M194" s="9" t="n"/>
      <c r="N194" s="9" t="n"/>
      <c r="O194">
        <f>IF($A194="","",IF($K194="No","",IF(AND($G194&lt;&gt;"",$G194&lt;TODAY()),"⚠ overdue",IF(AND($G194&lt;&gt;"",$G194&gt;=TODAY(),$G194-TODAY()&lt;=14),"⚠ due soon",IF($J194="","⚠ no responsible person",IF($I194="","⚠ missing payment account",IF(AND($L194&lt;&gt;"",TODAY()-$L194&gt;180),"⚠ not reviewed recently","")))))))</f>
        <v/>
      </c>
    </row>
    <row r="195">
      <c r="A195" s="9" t="n"/>
      <c r="B195" s="9" t="n"/>
      <c r="C195" s="9" t="n"/>
      <c r="D195" s="9" t="n"/>
      <c r="E195" s="10" t="n"/>
      <c r="F195" s="9" t="n"/>
      <c r="G195" s="19" t="n"/>
      <c r="H195" s="9" t="n"/>
      <c r="I195" s="9" t="n"/>
      <c r="J195" s="9" t="n"/>
      <c r="K195" s="9" t="n"/>
      <c r="L195" s="19" t="n"/>
      <c r="M195" s="9" t="n"/>
      <c r="N195" s="9" t="n"/>
      <c r="O195">
        <f>IF($A195="","",IF($K195="No","",IF(AND($G195&lt;&gt;"",$G195&lt;TODAY()),"⚠ overdue",IF(AND($G195&lt;&gt;"",$G195&gt;=TODAY(),$G195-TODAY()&lt;=14),"⚠ due soon",IF($J195="","⚠ no responsible person",IF($I195="","⚠ missing payment account",IF(AND($L195&lt;&gt;"",TODAY()-$L195&gt;180),"⚠ not reviewed recently","")))))))</f>
        <v/>
      </c>
    </row>
    <row r="196">
      <c r="A196" s="9" t="n"/>
      <c r="B196" s="9" t="n"/>
      <c r="C196" s="9" t="n"/>
      <c r="D196" s="9" t="n"/>
      <c r="E196" s="10" t="n"/>
      <c r="F196" s="9" t="n"/>
      <c r="G196" s="19" t="n"/>
      <c r="H196" s="9" t="n"/>
      <c r="I196" s="9" t="n"/>
      <c r="J196" s="9" t="n"/>
      <c r="K196" s="9" t="n"/>
      <c r="L196" s="19" t="n"/>
      <c r="M196" s="9" t="n"/>
      <c r="N196" s="9" t="n"/>
      <c r="O196">
        <f>IF($A196="","",IF($K196="No","",IF(AND($G196&lt;&gt;"",$G196&lt;TODAY()),"⚠ overdue",IF(AND($G196&lt;&gt;"",$G196&gt;=TODAY(),$G196-TODAY()&lt;=14),"⚠ due soon",IF($J196="","⚠ no responsible person",IF($I196="","⚠ missing payment account",IF(AND($L196&lt;&gt;"",TODAY()-$L196&gt;180),"⚠ not reviewed recently","")))))))</f>
        <v/>
      </c>
    </row>
    <row r="197">
      <c r="A197" s="9" t="n"/>
      <c r="B197" s="9" t="n"/>
      <c r="C197" s="9" t="n"/>
      <c r="D197" s="9" t="n"/>
      <c r="E197" s="10" t="n"/>
      <c r="F197" s="9" t="n"/>
      <c r="G197" s="19" t="n"/>
      <c r="H197" s="9" t="n"/>
      <c r="I197" s="9" t="n"/>
      <c r="J197" s="9" t="n"/>
      <c r="K197" s="9" t="n"/>
      <c r="L197" s="19" t="n"/>
      <c r="M197" s="9" t="n"/>
      <c r="N197" s="9" t="n"/>
      <c r="O197">
        <f>IF($A197="","",IF($K197="No","",IF(AND($G197&lt;&gt;"",$G197&lt;TODAY()),"⚠ overdue",IF(AND($G197&lt;&gt;"",$G197&gt;=TODAY(),$G197-TODAY()&lt;=14),"⚠ due soon",IF($J197="","⚠ no responsible person",IF($I197="","⚠ missing payment account",IF(AND($L197&lt;&gt;"",TODAY()-$L197&gt;180),"⚠ not reviewed recently","")))))))</f>
        <v/>
      </c>
    </row>
    <row r="198">
      <c r="A198" s="9" t="n"/>
      <c r="B198" s="9" t="n"/>
      <c r="C198" s="9" t="n"/>
      <c r="D198" s="9" t="n"/>
      <c r="E198" s="10" t="n"/>
      <c r="F198" s="9" t="n"/>
      <c r="G198" s="19" t="n"/>
      <c r="H198" s="9" t="n"/>
      <c r="I198" s="9" t="n"/>
      <c r="J198" s="9" t="n"/>
      <c r="K198" s="9" t="n"/>
      <c r="L198" s="19" t="n"/>
      <c r="M198" s="9" t="n"/>
      <c r="N198" s="9" t="n"/>
      <c r="O198">
        <f>IF($A198="","",IF($K198="No","",IF(AND($G198&lt;&gt;"",$G198&lt;TODAY()),"⚠ overdue",IF(AND($G198&lt;&gt;"",$G198&gt;=TODAY(),$G198-TODAY()&lt;=14),"⚠ due soon",IF($J198="","⚠ no responsible person",IF($I198="","⚠ missing payment account",IF(AND($L198&lt;&gt;"",TODAY()-$L198&gt;180),"⚠ not reviewed recently","")))))))</f>
        <v/>
      </c>
    </row>
    <row r="199">
      <c r="A199" s="9" t="n"/>
      <c r="B199" s="9" t="n"/>
      <c r="C199" s="9" t="n"/>
      <c r="D199" s="9" t="n"/>
      <c r="E199" s="10" t="n"/>
      <c r="F199" s="9" t="n"/>
      <c r="G199" s="19" t="n"/>
      <c r="H199" s="9" t="n"/>
      <c r="I199" s="9" t="n"/>
      <c r="J199" s="9" t="n"/>
      <c r="K199" s="9" t="n"/>
      <c r="L199" s="19" t="n"/>
      <c r="M199" s="9" t="n"/>
      <c r="N199" s="9" t="n"/>
      <c r="O199">
        <f>IF($A199="","",IF($K199="No","",IF(AND($G199&lt;&gt;"",$G199&lt;TODAY()),"⚠ overdue",IF(AND($G199&lt;&gt;"",$G199&gt;=TODAY(),$G199-TODAY()&lt;=14),"⚠ due soon",IF($J199="","⚠ no responsible person",IF($I199="","⚠ missing payment account",IF(AND($L199&lt;&gt;"",TODAY()-$L199&gt;180),"⚠ not reviewed recently","")))))))</f>
        <v/>
      </c>
    </row>
    <row r="200">
      <c r="A200" s="9" t="n"/>
      <c r="B200" s="9" t="n"/>
      <c r="C200" s="9" t="n"/>
      <c r="D200" s="9" t="n"/>
      <c r="E200" s="10" t="n"/>
      <c r="F200" s="9" t="n"/>
      <c r="G200" s="19" t="n"/>
      <c r="H200" s="9" t="n"/>
      <c r="I200" s="9" t="n"/>
      <c r="J200" s="9" t="n"/>
      <c r="K200" s="9" t="n"/>
      <c r="L200" s="19" t="n"/>
      <c r="M200" s="9" t="n"/>
      <c r="N200" s="9" t="n"/>
      <c r="O200">
        <f>IF($A200="","",IF($K200="No","",IF(AND($G200&lt;&gt;"",$G200&lt;TODAY()),"⚠ overdue",IF(AND($G200&lt;&gt;"",$G200&gt;=TODAY(),$G200-TODAY()&lt;=14),"⚠ due soon",IF($J200="","⚠ no responsible person",IF($I200="","⚠ missing payment account",IF(AND($L200&lt;&gt;"",TODAY()-$L200&gt;180),"⚠ not reviewed recently","")))))))</f>
        <v/>
      </c>
    </row>
    <row r="201">
      <c r="A201" s="9" t="n"/>
      <c r="B201" s="9" t="n"/>
      <c r="C201" s="9" t="n"/>
      <c r="D201" s="9" t="n"/>
      <c r="E201" s="10" t="n"/>
      <c r="F201" s="9" t="n"/>
      <c r="G201" s="19" t="n"/>
      <c r="H201" s="9" t="n"/>
      <c r="I201" s="9" t="n"/>
      <c r="J201" s="9" t="n"/>
      <c r="K201" s="9" t="n"/>
      <c r="L201" s="19" t="n"/>
      <c r="M201" s="9" t="n"/>
      <c r="N201" s="9" t="n"/>
      <c r="O201">
        <f>IF($A201="","",IF($K201="No","",IF(AND($G201&lt;&gt;"",$G201&lt;TODAY()),"⚠ overdue",IF(AND($G201&lt;&gt;"",$G201&gt;=TODAY(),$G201-TODAY()&lt;=14),"⚠ due soon",IF($J201="","⚠ no responsible person",IF($I201="","⚠ missing payment account",IF(AND($L201&lt;&gt;"",TODAY()-$L201&gt;180),"⚠ not reviewed recently","")))))))</f>
        <v/>
      </c>
    </row>
    <row r="202">
      <c r="A202" s="9" t="n"/>
      <c r="B202" s="9" t="n"/>
      <c r="C202" s="9" t="n"/>
      <c r="D202" s="9" t="n"/>
      <c r="E202" s="10" t="n"/>
      <c r="F202" s="9" t="n"/>
      <c r="G202" s="19" t="n"/>
      <c r="H202" s="9" t="n"/>
      <c r="I202" s="9" t="n"/>
      <c r="J202" s="9" t="n"/>
      <c r="K202" s="9" t="n"/>
      <c r="L202" s="19" t="n"/>
      <c r="M202" s="9" t="n"/>
      <c r="N202" s="9" t="n"/>
      <c r="O202">
        <f>IF($A202="","",IF($K202="No","",IF(AND($G202&lt;&gt;"",$G202&lt;TODAY()),"⚠ overdue",IF(AND($G202&lt;&gt;"",$G202&gt;=TODAY(),$G202-TODAY()&lt;=14),"⚠ due soon",IF($J202="","⚠ no responsible person",IF($I202="","⚠ missing payment account",IF(AND($L202&lt;&gt;"",TODAY()-$L202&gt;180),"⚠ not reviewed recently","")))))))</f>
        <v/>
      </c>
    </row>
    <row r="203">
      <c r="A203" s="9" t="n"/>
      <c r="B203" s="9" t="n"/>
      <c r="C203" s="9" t="n"/>
      <c r="D203" s="9" t="n"/>
      <c r="E203" s="10" t="n"/>
      <c r="F203" s="9" t="n"/>
      <c r="G203" s="19" t="n"/>
      <c r="H203" s="9" t="n"/>
      <c r="I203" s="9" t="n"/>
      <c r="J203" s="9" t="n"/>
      <c r="K203" s="9" t="n"/>
      <c r="L203" s="19" t="n"/>
      <c r="M203" s="9" t="n"/>
      <c r="N203" s="9" t="n"/>
      <c r="O203">
        <f>IF($A203="","",IF($K203="No","",IF(AND($G203&lt;&gt;"",$G203&lt;TODAY()),"⚠ overdue",IF(AND($G203&lt;&gt;"",$G203&gt;=TODAY(),$G203-TODAY()&lt;=14),"⚠ due soon",IF($J203="","⚠ no responsible person",IF($I203="","⚠ missing payment account",IF(AND($L203&lt;&gt;"",TODAY()-$L203&gt;180),"⚠ not reviewed recently","")))))))</f>
        <v/>
      </c>
    </row>
    <row r="204">
      <c r="A204" s="9" t="n"/>
      <c r="B204" s="9" t="n"/>
      <c r="C204" s="9" t="n"/>
      <c r="D204" s="9" t="n"/>
      <c r="E204" s="10" t="n"/>
      <c r="F204" s="9" t="n"/>
      <c r="G204" s="19" t="n"/>
      <c r="H204" s="9" t="n"/>
      <c r="I204" s="9" t="n"/>
      <c r="J204" s="9" t="n"/>
      <c r="K204" s="9" t="n"/>
      <c r="L204" s="19" t="n"/>
      <c r="M204" s="9" t="n"/>
      <c r="N204" s="9" t="n"/>
      <c r="O204">
        <f>IF($A204="","",IF($K204="No","",IF(AND($G204&lt;&gt;"",$G204&lt;TODAY()),"⚠ overdue",IF(AND($G204&lt;&gt;"",$G204&gt;=TODAY(),$G204-TODAY()&lt;=14),"⚠ due soon",IF($J204="","⚠ no responsible person",IF($I204="","⚠ missing payment account",IF(AND($L204&lt;&gt;"",TODAY()-$L204&gt;180),"⚠ not reviewed recently","")))))))</f>
        <v/>
      </c>
    </row>
    <row r="205">
      <c r="A205" s="9" t="n"/>
      <c r="B205" s="9" t="n"/>
      <c r="C205" s="9" t="n"/>
      <c r="D205" s="9" t="n"/>
      <c r="E205" s="10" t="n"/>
      <c r="F205" s="9" t="n"/>
      <c r="G205" s="19" t="n"/>
      <c r="H205" s="9" t="n"/>
      <c r="I205" s="9" t="n"/>
      <c r="J205" s="9" t="n"/>
      <c r="K205" s="9" t="n"/>
      <c r="L205" s="19" t="n"/>
      <c r="M205" s="9" t="n"/>
      <c r="N205" s="9" t="n"/>
      <c r="O205">
        <f>IF($A205="","",IF($K205="No","",IF(AND($G205&lt;&gt;"",$G205&lt;TODAY()),"⚠ overdue",IF(AND($G205&lt;&gt;"",$G205&gt;=TODAY(),$G205-TODAY()&lt;=14),"⚠ due soon",IF($J205="","⚠ no responsible person",IF($I205="","⚠ missing payment account",IF(AND($L205&lt;&gt;"",TODAY()-$L205&gt;180),"⚠ not reviewed recently","")))))))</f>
        <v/>
      </c>
    </row>
    <row r="206">
      <c r="A206" s="9" t="n"/>
      <c r="B206" s="9" t="n"/>
      <c r="C206" s="9" t="n"/>
      <c r="D206" s="9" t="n"/>
      <c r="E206" s="10" t="n"/>
      <c r="F206" s="9" t="n"/>
      <c r="G206" s="19" t="n"/>
      <c r="H206" s="9" t="n"/>
      <c r="I206" s="9" t="n"/>
      <c r="J206" s="9" t="n"/>
      <c r="K206" s="9" t="n"/>
      <c r="L206" s="19" t="n"/>
      <c r="M206" s="9" t="n"/>
      <c r="N206" s="9" t="n"/>
      <c r="O206">
        <f>IF($A206="","",IF($K206="No","",IF(AND($G206&lt;&gt;"",$G206&lt;TODAY()),"⚠ overdue",IF(AND($G206&lt;&gt;"",$G206&gt;=TODAY(),$G206-TODAY()&lt;=14),"⚠ due soon",IF($J206="","⚠ no responsible person",IF($I206="","⚠ missing payment account",IF(AND($L206&lt;&gt;"",TODAY()-$L206&gt;180),"⚠ not reviewed recently","")))))))</f>
        <v/>
      </c>
    </row>
    <row r="207">
      <c r="A207" s="9" t="n"/>
      <c r="B207" s="9" t="n"/>
      <c r="C207" s="9" t="n"/>
      <c r="D207" s="9" t="n"/>
      <c r="E207" s="10" t="n"/>
      <c r="F207" s="9" t="n"/>
      <c r="G207" s="19" t="n"/>
      <c r="H207" s="9" t="n"/>
      <c r="I207" s="9" t="n"/>
      <c r="J207" s="9" t="n"/>
      <c r="K207" s="9" t="n"/>
      <c r="L207" s="19" t="n"/>
      <c r="M207" s="9" t="n"/>
      <c r="N207" s="9" t="n"/>
      <c r="O207">
        <f>IF($A207="","",IF($K207="No","",IF(AND($G207&lt;&gt;"",$G207&lt;TODAY()),"⚠ overdue",IF(AND($G207&lt;&gt;"",$G207&gt;=TODAY(),$G207-TODAY()&lt;=14),"⚠ due soon",IF($J207="","⚠ no responsible person",IF($I207="","⚠ missing payment account",IF(AND($L207&lt;&gt;"",TODAY()-$L207&gt;180),"⚠ not reviewed recently","")))))))</f>
        <v/>
      </c>
    </row>
    <row r="208">
      <c r="A208" s="9" t="n"/>
      <c r="B208" s="9" t="n"/>
      <c r="C208" s="9" t="n"/>
      <c r="D208" s="9" t="n"/>
      <c r="E208" s="10" t="n"/>
      <c r="F208" s="9" t="n"/>
      <c r="G208" s="19" t="n"/>
      <c r="H208" s="9" t="n"/>
      <c r="I208" s="9" t="n"/>
      <c r="J208" s="9" t="n"/>
      <c r="K208" s="9" t="n"/>
      <c r="L208" s="19" t="n"/>
      <c r="M208" s="9" t="n"/>
      <c r="N208" s="9" t="n"/>
      <c r="O208">
        <f>IF($A208="","",IF($K208="No","",IF(AND($G208&lt;&gt;"",$G208&lt;TODAY()),"⚠ overdue",IF(AND($G208&lt;&gt;"",$G208&gt;=TODAY(),$G208-TODAY()&lt;=14),"⚠ due soon",IF($J208="","⚠ no responsible person",IF($I208="","⚠ missing payment account",IF(AND($L208&lt;&gt;"",TODAY()-$L208&gt;180),"⚠ not reviewed recently","")))))))</f>
        <v/>
      </c>
    </row>
    <row r="209">
      <c r="A209" s="9" t="n"/>
      <c r="B209" s="9" t="n"/>
      <c r="C209" s="9" t="n"/>
      <c r="D209" s="9" t="n"/>
      <c r="E209" s="10" t="n"/>
      <c r="F209" s="9" t="n"/>
      <c r="G209" s="19" t="n"/>
      <c r="H209" s="9" t="n"/>
      <c r="I209" s="9" t="n"/>
      <c r="J209" s="9" t="n"/>
      <c r="K209" s="9" t="n"/>
      <c r="L209" s="19" t="n"/>
      <c r="M209" s="9" t="n"/>
      <c r="N209" s="9" t="n"/>
      <c r="O209">
        <f>IF($A209="","",IF($K209="No","",IF(AND($G209&lt;&gt;"",$G209&lt;TODAY()),"⚠ overdue",IF(AND($G209&lt;&gt;"",$G209&gt;=TODAY(),$G209-TODAY()&lt;=14),"⚠ due soon",IF($J209="","⚠ no responsible person",IF($I209="","⚠ missing payment account",IF(AND($L209&lt;&gt;"",TODAY()-$L209&gt;180),"⚠ not reviewed recently","")))))))</f>
        <v/>
      </c>
    </row>
    <row r="210">
      <c r="A210" s="9" t="n"/>
      <c r="B210" s="9" t="n"/>
      <c r="C210" s="9" t="n"/>
      <c r="D210" s="9" t="n"/>
      <c r="E210" s="10" t="n"/>
      <c r="F210" s="9" t="n"/>
      <c r="G210" s="19" t="n"/>
      <c r="H210" s="9" t="n"/>
      <c r="I210" s="9" t="n"/>
      <c r="J210" s="9" t="n"/>
      <c r="K210" s="9" t="n"/>
      <c r="L210" s="19" t="n"/>
      <c r="M210" s="9" t="n"/>
      <c r="N210" s="9" t="n"/>
      <c r="O210">
        <f>IF($A210="","",IF($K210="No","",IF(AND($G210&lt;&gt;"",$G210&lt;TODAY()),"⚠ overdue",IF(AND($G210&lt;&gt;"",$G210&gt;=TODAY(),$G210-TODAY()&lt;=14),"⚠ due soon",IF($J210="","⚠ no responsible person",IF($I210="","⚠ missing payment account",IF(AND($L210&lt;&gt;"",TODAY()-$L210&gt;180),"⚠ not reviewed recently","")))))))</f>
        <v/>
      </c>
    </row>
    <row r="211">
      <c r="A211" s="9" t="n"/>
      <c r="B211" s="9" t="n"/>
      <c r="C211" s="9" t="n"/>
      <c r="D211" s="9" t="n"/>
      <c r="E211" s="10" t="n"/>
      <c r="F211" s="9" t="n"/>
      <c r="G211" s="19" t="n"/>
      <c r="H211" s="9" t="n"/>
      <c r="I211" s="9" t="n"/>
      <c r="J211" s="9" t="n"/>
      <c r="K211" s="9" t="n"/>
      <c r="L211" s="19" t="n"/>
      <c r="M211" s="9" t="n"/>
      <c r="N211" s="9" t="n"/>
      <c r="O211">
        <f>IF($A211="","",IF($K211="No","",IF(AND($G211&lt;&gt;"",$G211&lt;TODAY()),"⚠ overdue",IF(AND($G211&lt;&gt;"",$G211&gt;=TODAY(),$G211-TODAY()&lt;=14),"⚠ due soon",IF($J211="","⚠ no responsible person",IF($I211="","⚠ missing payment account",IF(AND($L211&lt;&gt;"",TODAY()-$L211&gt;180),"⚠ not reviewed recently","")))))))</f>
        <v/>
      </c>
    </row>
    <row r="212">
      <c r="A212" s="9" t="n"/>
      <c r="B212" s="9" t="n"/>
      <c r="C212" s="9" t="n"/>
      <c r="D212" s="9" t="n"/>
      <c r="E212" s="10" t="n"/>
      <c r="F212" s="9" t="n"/>
      <c r="G212" s="19" t="n"/>
      <c r="H212" s="9" t="n"/>
      <c r="I212" s="9" t="n"/>
      <c r="J212" s="9" t="n"/>
      <c r="K212" s="9" t="n"/>
      <c r="L212" s="19" t="n"/>
      <c r="M212" s="9" t="n"/>
      <c r="N212" s="9" t="n"/>
      <c r="O212">
        <f>IF($A212="","",IF($K212="No","",IF(AND($G212&lt;&gt;"",$G212&lt;TODAY()),"⚠ overdue",IF(AND($G212&lt;&gt;"",$G212&gt;=TODAY(),$G212-TODAY()&lt;=14),"⚠ due soon",IF($J212="","⚠ no responsible person",IF($I212="","⚠ missing payment account",IF(AND($L212&lt;&gt;"",TODAY()-$L212&gt;180),"⚠ not reviewed recently","")))))))</f>
        <v/>
      </c>
    </row>
    <row r="213">
      <c r="A213" s="9" t="n"/>
      <c r="B213" s="9" t="n"/>
      <c r="C213" s="9" t="n"/>
      <c r="D213" s="9" t="n"/>
      <c r="E213" s="10" t="n"/>
      <c r="F213" s="9" t="n"/>
      <c r="G213" s="19" t="n"/>
      <c r="H213" s="9" t="n"/>
      <c r="I213" s="9" t="n"/>
      <c r="J213" s="9" t="n"/>
      <c r="K213" s="9" t="n"/>
      <c r="L213" s="19" t="n"/>
      <c r="M213" s="9" t="n"/>
      <c r="N213" s="9" t="n"/>
      <c r="O213">
        <f>IF($A213="","",IF($K213="No","",IF(AND($G213&lt;&gt;"",$G213&lt;TODAY()),"⚠ overdue",IF(AND($G213&lt;&gt;"",$G213&gt;=TODAY(),$G213-TODAY()&lt;=14),"⚠ due soon",IF($J213="","⚠ no responsible person",IF($I213="","⚠ missing payment account",IF(AND($L213&lt;&gt;"",TODAY()-$L213&gt;180),"⚠ not reviewed recently","")))))))</f>
        <v/>
      </c>
    </row>
    <row r="214">
      <c r="A214" s="9" t="n"/>
      <c r="B214" s="9" t="n"/>
      <c r="C214" s="9" t="n"/>
      <c r="D214" s="9" t="n"/>
      <c r="E214" s="10" t="n"/>
      <c r="F214" s="9" t="n"/>
      <c r="G214" s="19" t="n"/>
      <c r="H214" s="9" t="n"/>
      <c r="I214" s="9" t="n"/>
      <c r="J214" s="9" t="n"/>
      <c r="K214" s="9" t="n"/>
      <c r="L214" s="19" t="n"/>
      <c r="M214" s="9" t="n"/>
      <c r="N214" s="9" t="n"/>
      <c r="O214">
        <f>IF($A214="","",IF($K214="No","",IF(AND($G214&lt;&gt;"",$G214&lt;TODAY()),"⚠ overdue",IF(AND($G214&lt;&gt;"",$G214&gt;=TODAY(),$G214-TODAY()&lt;=14),"⚠ due soon",IF($J214="","⚠ no responsible person",IF($I214="","⚠ missing payment account",IF(AND($L214&lt;&gt;"",TODAY()-$L214&gt;180),"⚠ not reviewed recently","")))))))</f>
        <v/>
      </c>
    </row>
    <row r="215">
      <c r="A215" s="9" t="n"/>
      <c r="B215" s="9" t="n"/>
      <c r="C215" s="9" t="n"/>
      <c r="D215" s="9" t="n"/>
      <c r="E215" s="10" t="n"/>
      <c r="F215" s="9" t="n"/>
      <c r="G215" s="19" t="n"/>
      <c r="H215" s="9" t="n"/>
      <c r="I215" s="9" t="n"/>
      <c r="J215" s="9" t="n"/>
      <c r="K215" s="9" t="n"/>
      <c r="L215" s="19" t="n"/>
      <c r="M215" s="9" t="n"/>
      <c r="N215" s="9" t="n"/>
      <c r="O215">
        <f>IF($A215="","",IF($K215="No","",IF(AND($G215&lt;&gt;"",$G215&lt;TODAY()),"⚠ overdue",IF(AND($G215&lt;&gt;"",$G215&gt;=TODAY(),$G215-TODAY()&lt;=14),"⚠ due soon",IF($J215="","⚠ no responsible person",IF($I215="","⚠ missing payment account",IF(AND($L215&lt;&gt;"",TODAY()-$L215&gt;180),"⚠ not reviewed recently","")))))))</f>
        <v/>
      </c>
    </row>
    <row r="216">
      <c r="A216" s="9" t="n"/>
      <c r="B216" s="9" t="n"/>
      <c r="C216" s="9" t="n"/>
      <c r="D216" s="9" t="n"/>
      <c r="E216" s="10" t="n"/>
      <c r="F216" s="9" t="n"/>
      <c r="G216" s="19" t="n"/>
      <c r="H216" s="9" t="n"/>
      <c r="I216" s="9" t="n"/>
      <c r="J216" s="9" t="n"/>
      <c r="K216" s="9" t="n"/>
      <c r="L216" s="19" t="n"/>
      <c r="M216" s="9" t="n"/>
      <c r="N216" s="9" t="n"/>
      <c r="O216">
        <f>IF($A216="","",IF($K216="No","",IF(AND($G216&lt;&gt;"",$G216&lt;TODAY()),"⚠ overdue",IF(AND($G216&lt;&gt;"",$G216&gt;=TODAY(),$G216-TODAY()&lt;=14),"⚠ due soon",IF($J216="","⚠ no responsible person",IF($I216="","⚠ missing payment account",IF(AND($L216&lt;&gt;"",TODAY()-$L216&gt;180),"⚠ not reviewed recently","")))))))</f>
        <v/>
      </c>
    </row>
    <row r="217">
      <c r="A217" s="9" t="n"/>
      <c r="B217" s="9" t="n"/>
      <c r="C217" s="9" t="n"/>
      <c r="D217" s="9" t="n"/>
      <c r="E217" s="10" t="n"/>
      <c r="F217" s="9" t="n"/>
      <c r="G217" s="19" t="n"/>
      <c r="H217" s="9" t="n"/>
      <c r="I217" s="9" t="n"/>
      <c r="J217" s="9" t="n"/>
      <c r="K217" s="9" t="n"/>
      <c r="L217" s="19" t="n"/>
      <c r="M217" s="9" t="n"/>
      <c r="N217" s="9" t="n"/>
      <c r="O217">
        <f>IF($A217="","",IF($K217="No","",IF(AND($G217&lt;&gt;"",$G217&lt;TODAY()),"⚠ overdue",IF(AND($G217&lt;&gt;"",$G217&gt;=TODAY(),$G217-TODAY()&lt;=14),"⚠ due soon",IF($J217="","⚠ no responsible person",IF($I217="","⚠ missing payment account",IF(AND($L217&lt;&gt;"",TODAY()-$L217&gt;180),"⚠ not reviewed recently","")))))))</f>
        <v/>
      </c>
    </row>
    <row r="218">
      <c r="A218" s="9" t="n"/>
      <c r="B218" s="9" t="n"/>
      <c r="C218" s="9" t="n"/>
      <c r="D218" s="9" t="n"/>
      <c r="E218" s="10" t="n"/>
      <c r="F218" s="9" t="n"/>
      <c r="G218" s="19" t="n"/>
      <c r="H218" s="9" t="n"/>
      <c r="I218" s="9" t="n"/>
      <c r="J218" s="9" t="n"/>
      <c r="K218" s="9" t="n"/>
      <c r="L218" s="19" t="n"/>
      <c r="M218" s="9" t="n"/>
      <c r="N218" s="9" t="n"/>
      <c r="O218">
        <f>IF($A218="","",IF($K218="No","",IF(AND($G218&lt;&gt;"",$G218&lt;TODAY()),"⚠ overdue",IF(AND($G218&lt;&gt;"",$G218&gt;=TODAY(),$G218-TODAY()&lt;=14),"⚠ due soon",IF($J218="","⚠ no responsible person",IF($I218="","⚠ missing payment account",IF(AND($L218&lt;&gt;"",TODAY()-$L218&gt;180),"⚠ not reviewed recently","")))))))</f>
        <v/>
      </c>
    </row>
    <row r="219">
      <c r="A219" s="9" t="n"/>
      <c r="B219" s="9" t="n"/>
      <c r="C219" s="9" t="n"/>
      <c r="D219" s="9" t="n"/>
      <c r="E219" s="10" t="n"/>
      <c r="F219" s="9" t="n"/>
      <c r="G219" s="19" t="n"/>
      <c r="H219" s="9" t="n"/>
      <c r="I219" s="9" t="n"/>
      <c r="J219" s="9" t="n"/>
      <c r="K219" s="9" t="n"/>
      <c r="L219" s="19" t="n"/>
      <c r="M219" s="9" t="n"/>
      <c r="N219" s="9" t="n"/>
      <c r="O219">
        <f>IF($A219="","",IF($K219="No","",IF(AND($G219&lt;&gt;"",$G219&lt;TODAY()),"⚠ overdue",IF(AND($G219&lt;&gt;"",$G219&gt;=TODAY(),$G219-TODAY()&lt;=14),"⚠ due soon",IF($J219="","⚠ no responsible person",IF($I219="","⚠ missing payment account",IF(AND($L219&lt;&gt;"",TODAY()-$L219&gt;180),"⚠ not reviewed recently","")))))))</f>
        <v/>
      </c>
    </row>
    <row r="220">
      <c r="A220" s="9" t="n"/>
      <c r="B220" s="9" t="n"/>
      <c r="C220" s="9" t="n"/>
      <c r="D220" s="9" t="n"/>
      <c r="E220" s="10" t="n"/>
      <c r="F220" s="9" t="n"/>
      <c r="G220" s="19" t="n"/>
      <c r="H220" s="9" t="n"/>
      <c r="I220" s="9" t="n"/>
      <c r="J220" s="9" t="n"/>
      <c r="K220" s="9" t="n"/>
      <c r="L220" s="19" t="n"/>
      <c r="M220" s="9" t="n"/>
      <c r="N220" s="9" t="n"/>
      <c r="O220">
        <f>IF($A220="","",IF($K220="No","",IF(AND($G220&lt;&gt;"",$G220&lt;TODAY()),"⚠ overdue",IF(AND($G220&lt;&gt;"",$G220&gt;=TODAY(),$G220-TODAY()&lt;=14),"⚠ due soon",IF($J220="","⚠ no responsible person",IF($I220="","⚠ missing payment account",IF(AND($L220&lt;&gt;"",TODAY()-$L220&gt;180),"⚠ not reviewed recently","")))))))</f>
        <v/>
      </c>
    </row>
    <row r="221">
      <c r="A221" s="9" t="n"/>
      <c r="B221" s="9" t="n"/>
      <c r="C221" s="9" t="n"/>
      <c r="D221" s="9" t="n"/>
      <c r="E221" s="10" t="n"/>
      <c r="F221" s="9" t="n"/>
      <c r="G221" s="19" t="n"/>
      <c r="H221" s="9" t="n"/>
      <c r="I221" s="9" t="n"/>
      <c r="J221" s="9" t="n"/>
      <c r="K221" s="9" t="n"/>
      <c r="L221" s="19" t="n"/>
      <c r="M221" s="9" t="n"/>
      <c r="N221" s="9" t="n"/>
      <c r="O221">
        <f>IF($A221="","",IF($K221="No","",IF(AND($G221&lt;&gt;"",$G221&lt;TODAY()),"⚠ overdue",IF(AND($G221&lt;&gt;"",$G221&gt;=TODAY(),$G221-TODAY()&lt;=14),"⚠ due soon",IF($J221="","⚠ no responsible person",IF($I221="","⚠ missing payment account",IF(AND($L221&lt;&gt;"",TODAY()-$L221&gt;180),"⚠ not reviewed recently","")))))))</f>
        <v/>
      </c>
    </row>
    <row r="222">
      <c r="A222" s="9" t="n"/>
      <c r="B222" s="9" t="n"/>
      <c r="C222" s="9" t="n"/>
      <c r="D222" s="9" t="n"/>
      <c r="E222" s="10" t="n"/>
      <c r="F222" s="9" t="n"/>
      <c r="G222" s="19" t="n"/>
      <c r="H222" s="9" t="n"/>
      <c r="I222" s="9" t="n"/>
      <c r="J222" s="9" t="n"/>
      <c r="K222" s="9" t="n"/>
      <c r="L222" s="19" t="n"/>
      <c r="M222" s="9" t="n"/>
      <c r="N222" s="9" t="n"/>
      <c r="O222">
        <f>IF($A222="","",IF($K222="No","",IF(AND($G222&lt;&gt;"",$G222&lt;TODAY()),"⚠ overdue",IF(AND($G222&lt;&gt;"",$G222&gt;=TODAY(),$G222-TODAY()&lt;=14),"⚠ due soon",IF($J222="","⚠ no responsible person",IF($I222="","⚠ missing payment account",IF(AND($L222&lt;&gt;"",TODAY()-$L222&gt;180),"⚠ not reviewed recently","")))))))</f>
        <v/>
      </c>
    </row>
    <row r="223">
      <c r="A223" s="9" t="n"/>
      <c r="B223" s="9" t="n"/>
      <c r="C223" s="9" t="n"/>
      <c r="D223" s="9" t="n"/>
      <c r="E223" s="10" t="n"/>
      <c r="F223" s="9" t="n"/>
      <c r="G223" s="19" t="n"/>
      <c r="H223" s="9" t="n"/>
      <c r="I223" s="9" t="n"/>
      <c r="J223" s="9" t="n"/>
      <c r="K223" s="9" t="n"/>
      <c r="L223" s="19" t="n"/>
      <c r="M223" s="9" t="n"/>
      <c r="N223" s="9" t="n"/>
      <c r="O223">
        <f>IF($A223="","",IF($K223="No","",IF(AND($G223&lt;&gt;"",$G223&lt;TODAY()),"⚠ overdue",IF(AND($G223&lt;&gt;"",$G223&gt;=TODAY(),$G223-TODAY()&lt;=14),"⚠ due soon",IF($J223="","⚠ no responsible person",IF($I223="","⚠ missing payment account",IF(AND($L223&lt;&gt;"",TODAY()-$L223&gt;180),"⚠ not reviewed recently","")))))))</f>
        <v/>
      </c>
    </row>
    <row r="224">
      <c r="A224" s="9" t="n"/>
      <c r="B224" s="9" t="n"/>
      <c r="C224" s="9" t="n"/>
      <c r="D224" s="9" t="n"/>
      <c r="E224" s="10" t="n"/>
      <c r="F224" s="9" t="n"/>
      <c r="G224" s="19" t="n"/>
      <c r="H224" s="9" t="n"/>
      <c r="I224" s="9" t="n"/>
      <c r="J224" s="9" t="n"/>
      <c r="K224" s="9" t="n"/>
      <c r="L224" s="19" t="n"/>
      <c r="M224" s="9" t="n"/>
      <c r="N224" s="9" t="n"/>
      <c r="O224">
        <f>IF($A224="","",IF($K224="No","",IF(AND($G224&lt;&gt;"",$G224&lt;TODAY()),"⚠ overdue",IF(AND($G224&lt;&gt;"",$G224&gt;=TODAY(),$G224-TODAY()&lt;=14),"⚠ due soon",IF($J224="","⚠ no responsible person",IF($I224="","⚠ missing payment account",IF(AND($L224&lt;&gt;"",TODAY()-$L224&gt;180),"⚠ not reviewed recently","")))))))</f>
        <v/>
      </c>
    </row>
    <row r="225">
      <c r="A225" s="9" t="n"/>
      <c r="B225" s="9" t="n"/>
      <c r="C225" s="9" t="n"/>
      <c r="D225" s="9" t="n"/>
      <c r="E225" s="10" t="n"/>
      <c r="F225" s="9" t="n"/>
      <c r="G225" s="19" t="n"/>
      <c r="H225" s="9" t="n"/>
      <c r="I225" s="9" t="n"/>
      <c r="J225" s="9" t="n"/>
      <c r="K225" s="9" t="n"/>
      <c r="L225" s="19" t="n"/>
      <c r="M225" s="9" t="n"/>
      <c r="N225" s="9" t="n"/>
      <c r="O225">
        <f>IF($A225="","",IF($K225="No","",IF(AND($G225&lt;&gt;"",$G225&lt;TODAY()),"⚠ overdue",IF(AND($G225&lt;&gt;"",$G225&gt;=TODAY(),$G225-TODAY()&lt;=14),"⚠ due soon",IF($J225="","⚠ no responsible person",IF($I225="","⚠ missing payment account",IF(AND($L225&lt;&gt;"",TODAY()-$L225&gt;180),"⚠ not reviewed recently","")))))))</f>
        <v/>
      </c>
    </row>
    <row r="226">
      <c r="A226" s="9" t="n"/>
      <c r="B226" s="9" t="n"/>
      <c r="C226" s="9" t="n"/>
      <c r="D226" s="9" t="n"/>
      <c r="E226" s="10" t="n"/>
      <c r="F226" s="9" t="n"/>
      <c r="G226" s="19" t="n"/>
      <c r="H226" s="9" t="n"/>
      <c r="I226" s="9" t="n"/>
      <c r="J226" s="9" t="n"/>
      <c r="K226" s="9" t="n"/>
      <c r="L226" s="19" t="n"/>
      <c r="M226" s="9" t="n"/>
      <c r="N226" s="9" t="n"/>
      <c r="O226">
        <f>IF($A226="","",IF($K226="No","",IF(AND($G226&lt;&gt;"",$G226&lt;TODAY()),"⚠ overdue",IF(AND($G226&lt;&gt;"",$G226&gt;=TODAY(),$G226-TODAY()&lt;=14),"⚠ due soon",IF($J226="","⚠ no responsible person",IF($I226="","⚠ missing payment account",IF(AND($L226&lt;&gt;"",TODAY()-$L226&gt;180),"⚠ not reviewed recently","")))))))</f>
        <v/>
      </c>
    </row>
    <row r="227">
      <c r="A227" s="9" t="n"/>
      <c r="B227" s="9" t="n"/>
      <c r="C227" s="9" t="n"/>
      <c r="D227" s="9" t="n"/>
      <c r="E227" s="10" t="n"/>
      <c r="F227" s="9" t="n"/>
      <c r="G227" s="19" t="n"/>
      <c r="H227" s="9" t="n"/>
      <c r="I227" s="9" t="n"/>
      <c r="J227" s="9" t="n"/>
      <c r="K227" s="9" t="n"/>
      <c r="L227" s="19" t="n"/>
      <c r="M227" s="9" t="n"/>
      <c r="N227" s="9" t="n"/>
      <c r="O227">
        <f>IF($A227="","",IF($K227="No","",IF(AND($G227&lt;&gt;"",$G227&lt;TODAY()),"⚠ overdue",IF(AND($G227&lt;&gt;"",$G227&gt;=TODAY(),$G227-TODAY()&lt;=14),"⚠ due soon",IF($J227="","⚠ no responsible person",IF($I227="","⚠ missing payment account",IF(AND($L227&lt;&gt;"",TODAY()-$L227&gt;180),"⚠ not reviewed recently","")))))))</f>
        <v/>
      </c>
    </row>
    <row r="228">
      <c r="A228" s="9" t="n"/>
      <c r="B228" s="9" t="n"/>
      <c r="C228" s="9" t="n"/>
      <c r="D228" s="9" t="n"/>
      <c r="E228" s="10" t="n"/>
      <c r="F228" s="9" t="n"/>
      <c r="G228" s="19" t="n"/>
      <c r="H228" s="9" t="n"/>
      <c r="I228" s="9" t="n"/>
      <c r="J228" s="9" t="n"/>
      <c r="K228" s="9" t="n"/>
      <c r="L228" s="19" t="n"/>
      <c r="M228" s="9" t="n"/>
      <c r="N228" s="9" t="n"/>
      <c r="O228">
        <f>IF($A228="","",IF($K228="No","",IF(AND($G228&lt;&gt;"",$G228&lt;TODAY()),"⚠ overdue",IF(AND($G228&lt;&gt;"",$G228&gt;=TODAY(),$G228-TODAY()&lt;=14),"⚠ due soon",IF($J228="","⚠ no responsible person",IF($I228="","⚠ missing payment account",IF(AND($L228&lt;&gt;"",TODAY()-$L228&gt;180),"⚠ not reviewed recently","")))))))</f>
        <v/>
      </c>
    </row>
    <row r="229">
      <c r="A229" s="9" t="n"/>
      <c r="B229" s="9" t="n"/>
      <c r="C229" s="9" t="n"/>
      <c r="D229" s="9" t="n"/>
      <c r="E229" s="10" t="n"/>
      <c r="F229" s="9" t="n"/>
      <c r="G229" s="19" t="n"/>
      <c r="H229" s="9" t="n"/>
      <c r="I229" s="9" t="n"/>
      <c r="J229" s="9" t="n"/>
      <c r="K229" s="9" t="n"/>
      <c r="L229" s="19" t="n"/>
      <c r="M229" s="9" t="n"/>
      <c r="N229" s="9" t="n"/>
      <c r="O229">
        <f>IF($A229="","",IF($K229="No","",IF(AND($G229&lt;&gt;"",$G229&lt;TODAY()),"⚠ overdue",IF(AND($G229&lt;&gt;"",$G229&gt;=TODAY(),$G229-TODAY()&lt;=14),"⚠ due soon",IF($J229="","⚠ no responsible person",IF($I229="","⚠ missing payment account",IF(AND($L229&lt;&gt;"",TODAY()-$L229&gt;180),"⚠ not reviewed recently","")))))))</f>
        <v/>
      </c>
    </row>
    <row r="230">
      <c r="A230" s="9" t="n"/>
      <c r="B230" s="9" t="n"/>
      <c r="C230" s="9" t="n"/>
      <c r="D230" s="9" t="n"/>
      <c r="E230" s="10" t="n"/>
      <c r="F230" s="9" t="n"/>
      <c r="G230" s="19" t="n"/>
      <c r="H230" s="9" t="n"/>
      <c r="I230" s="9" t="n"/>
      <c r="J230" s="9" t="n"/>
      <c r="K230" s="9" t="n"/>
      <c r="L230" s="19" t="n"/>
      <c r="M230" s="9" t="n"/>
      <c r="N230" s="9" t="n"/>
      <c r="O230">
        <f>IF($A230="","",IF($K230="No","",IF(AND($G230&lt;&gt;"",$G230&lt;TODAY()),"⚠ overdue",IF(AND($G230&lt;&gt;"",$G230&gt;=TODAY(),$G230-TODAY()&lt;=14),"⚠ due soon",IF($J230="","⚠ no responsible person",IF($I230="","⚠ missing payment account",IF(AND($L230&lt;&gt;"",TODAY()-$L230&gt;180),"⚠ not reviewed recently","")))))))</f>
        <v/>
      </c>
    </row>
    <row r="231">
      <c r="A231" s="9" t="n"/>
      <c r="B231" s="9" t="n"/>
      <c r="C231" s="9" t="n"/>
      <c r="D231" s="9" t="n"/>
      <c r="E231" s="10" t="n"/>
      <c r="F231" s="9" t="n"/>
      <c r="G231" s="19" t="n"/>
      <c r="H231" s="9" t="n"/>
      <c r="I231" s="9" t="n"/>
      <c r="J231" s="9" t="n"/>
      <c r="K231" s="9" t="n"/>
      <c r="L231" s="19" t="n"/>
      <c r="M231" s="9" t="n"/>
      <c r="N231" s="9" t="n"/>
      <c r="O231">
        <f>IF($A231="","",IF($K231="No","",IF(AND($G231&lt;&gt;"",$G231&lt;TODAY()),"⚠ overdue",IF(AND($G231&lt;&gt;"",$G231&gt;=TODAY(),$G231-TODAY()&lt;=14),"⚠ due soon",IF($J231="","⚠ no responsible person",IF($I231="","⚠ missing payment account",IF(AND($L231&lt;&gt;"",TODAY()-$L231&gt;180),"⚠ not reviewed recently","")))))))</f>
        <v/>
      </c>
    </row>
    <row r="232">
      <c r="A232" s="9" t="n"/>
      <c r="B232" s="9" t="n"/>
      <c r="C232" s="9" t="n"/>
      <c r="D232" s="9" t="n"/>
      <c r="E232" s="10" t="n"/>
      <c r="F232" s="9" t="n"/>
      <c r="G232" s="19" t="n"/>
      <c r="H232" s="9" t="n"/>
      <c r="I232" s="9" t="n"/>
      <c r="J232" s="9" t="n"/>
      <c r="K232" s="9" t="n"/>
      <c r="L232" s="19" t="n"/>
      <c r="M232" s="9" t="n"/>
      <c r="N232" s="9" t="n"/>
      <c r="O232">
        <f>IF($A232="","",IF($K232="No","",IF(AND($G232&lt;&gt;"",$G232&lt;TODAY()),"⚠ overdue",IF(AND($G232&lt;&gt;"",$G232&gt;=TODAY(),$G232-TODAY()&lt;=14),"⚠ due soon",IF($J232="","⚠ no responsible person",IF($I232="","⚠ missing payment account",IF(AND($L232&lt;&gt;"",TODAY()-$L232&gt;180),"⚠ not reviewed recently","")))))))</f>
        <v/>
      </c>
    </row>
    <row r="233">
      <c r="A233" s="9" t="n"/>
      <c r="B233" s="9" t="n"/>
      <c r="C233" s="9" t="n"/>
      <c r="D233" s="9" t="n"/>
      <c r="E233" s="10" t="n"/>
      <c r="F233" s="9" t="n"/>
      <c r="G233" s="19" t="n"/>
      <c r="H233" s="9" t="n"/>
      <c r="I233" s="9" t="n"/>
      <c r="J233" s="9" t="n"/>
      <c r="K233" s="9" t="n"/>
      <c r="L233" s="19" t="n"/>
      <c r="M233" s="9" t="n"/>
      <c r="N233" s="9" t="n"/>
      <c r="O233">
        <f>IF($A233="","",IF($K233="No","",IF(AND($G233&lt;&gt;"",$G233&lt;TODAY()),"⚠ overdue",IF(AND($G233&lt;&gt;"",$G233&gt;=TODAY(),$G233-TODAY()&lt;=14),"⚠ due soon",IF($J233="","⚠ no responsible person",IF($I233="","⚠ missing payment account",IF(AND($L233&lt;&gt;"",TODAY()-$L233&gt;180),"⚠ not reviewed recently","")))))))</f>
        <v/>
      </c>
    </row>
    <row r="234">
      <c r="A234" s="9" t="n"/>
      <c r="B234" s="9" t="n"/>
      <c r="C234" s="9" t="n"/>
      <c r="D234" s="9" t="n"/>
      <c r="E234" s="10" t="n"/>
      <c r="F234" s="9" t="n"/>
      <c r="G234" s="19" t="n"/>
      <c r="H234" s="9" t="n"/>
      <c r="I234" s="9" t="n"/>
      <c r="J234" s="9" t="n"/>
      <c r="K234" s="9" t="n"/>
      <c r="L234" s="19" t="n"/>
      <c r="M234" s="9" t="n"/>
      <c r="N234" s="9" t="n"/>
      <c r="O234">
        <f>IF($A234="","",IF($K234="No","",IF(AND($G234&lt;&gt;"",$G234&lt;TODAY()),"⚠ overdue",IF(AND($G234&lt;&gt;"",$G234&gt;=TODAY(),$G234-TODAY()&lt;=14),"⚠ due soon",IF($J234="","⚠ no responsible person",IF($I234="","⚠ missing payment account",IF(AND($L234&lt;&gt;"",TODAY()-$L234&gt;180),"⚠ not reviewed recently","")))))))</f>
        <v/>
      </c>
    </row>
    <row r="235">
      <c r="A235" s="9" t="n"/>
      <c r="B235" s="9" t="n"/>
      <c r="C235" s="9" t="n"/>
      <c r="D235" s="9" t="n"/>
      <c r="E235" s="10" t="n"/>
      <c r="F235" s="9" t="n"/>
      <c r="G235" s="19" t="n"/>
      <c r="H235" s="9" t="n"/>
      <c r="I235" s="9" t="n"/>
      <c r="J235" s="9" t="n"/>
      <c r="K235" s="9" t="n"/>
      <c r="L235" s="19" t="n"/>
      <c r="M235" s="9" t="n"/>
      <c r="N235" s="9" t="n"/>
      <c r="O235">
        <f>IF($A235="","",IF($K235="No","",IF(AND($G235&lt;&gt;"",$G235&lt;TODAY()),"⚠ overdue",IF(AND($G235&lt;&gt;"",$G235&gt;=TODAY(),$G235-TODAY()&lt;=14),"⚠ due soon",IF($J235="","⚠ no responsible person",IF($I235="","⚠ missing payment account",IF(AND($L235&lt;&gt;"",TODAY()-$L235&gt;180),"⚠ not reviewed recently","")))))))</f>
        <v/>
      </c>
    </row>
    <row r="236">
      <c r="A236" s="9" t="n"/>
      <c r="B236" s="9" t="n"/>
      <c r="C236" s="9" t="n"/>
      <c r="D236" s="9" t="n"/>
      <c r="E236" s="10" t="n"/>
      <c r="F236" s="9" t="n"/>
      <c r="G236" s="19" t="n"/>
      <c r="H236" s="9" t="n"/>
      <c r="I236" s="9" t="n"/>
      <c r="J236" s="9" t="n"/>
      <c r="K236" s="9" t="n"/>
      <c r="L236" s="19" t="n"/>
      <c r="M236" s="9" t="n"/>
      <c r="N236" s="9" t="n"/>
      <c r="O236">
        <f>IF($A236="","",IF($K236="No","",IF(AND($G236&lt;&gt;"",$G236&lt;TODAY()),"⚠ overdue",IF(AND($G236&lt;&gt;"",$G236&gt;=TODAY(),$G236-TODAY()&lt;=14),"⚠ due soon",IF($J236="","⚠ no responsible person",IF($I236="","⚠ missing payment account",IF(AND($L236&lt;&gt;"",TODAY()-$L236&gt;180),"⚠ not reviewed recently","")))))))</f>
        <v/>
      </c>
    </row>
    <row r="237">
      <c r="A237" s="9" t="n"/>
      <c r="B237" s="9" t="n"/>
      <c r="C237" s="9" t="n"/>
      <c r="D237" s="9" t="n"/>
      <c r="E237" s="10" t="n"/>
      <c r="F237" s="9" t="n"/>
      <c r="G237" s="19" t="n"/>
      <c r="H237" s="9" t="n"/>
      <c r="I237" s="9" t="n"/>
      <c r="J237" s="9" t="n"/>
      <c r="K237" s="9" t="n"/>
      <c r="L237" s="19" t="n"/>
      <c r="M237" s="9" t="n"/>
      <c r="N237" s="9" t="n"/>
      <c r="O237">
        <f>IF($A237="","",IF($K237="No","",IF(AND($G237&lt;&gt;"",$G237&lt;TODAY()),"⚠ overdue",IF(AND($G237&lt;&gt;"",$G237&gt;=TODAY(),$G237-TODAY()&lt;=14),"⚠ due soon",IF($J237="","⚠ no responsible person",IF($I237="","⚠ missing payment account",IF(AND($L237&lt;&gt;"",TODAY()-$L237&gt;180),"⚠ not reviewed recently","")))))))</f>
        <v/>
      </c>
    </row>
    <row r="238">
      <c r="A238" s="9" t="n"/>
      <c r="B238" s="9" t="n"/>
      <c r="C238" s="9" t="n"/>
      <c r="D238" s="9" t="n"/>
      <c r="E238" s="10" t="n"/>
      <c r="F238" s="9" t="n"/>
      <c r="G238" s="19" t="n"/>
      <c r="H238" s="9" t="n"/>
      <c r="I238" s="9" t="n"/>
      <c r="J238" s="9" t="n"/>
      <c r="K238" s="9" t="n"/>
      <c r="L238" s="19" t="n"/>
      <c r="M238" s="9" t="n"/>
      <c r="N238" s="9" t="n"/>
      <c r="O238">
        <f>IF($A238="","",IF($K238="No","",IF(AND($G238&lt;&gt;"",$G238&lt;TODAY()),"⚠ overdue",IF(AND($G238&lt;&gt;"",$G238&gt;=TODAY(),$G238-TODAY()&lt;=14),"⚠ due soon",IF($J238="","⚠ no responsible person",IF($I238="","⚠ missing payment account",IF(AND($L238&lt;&gt;"",TODAY()-$L238&gt;180),"⚠ not reviewed recently","")))))))</f>
        <v/>
      </c>
    </row>
    <row r="239">
      <c r="A239" s="9" t="n"/>
      <c r="B239" s="9" t="n"/>
      <c r="C239" s="9" t="n"/>
      <c r="D239" s="9" t="n"/>
      <c r="E239" s="10" t="n"/>
      <c r="F239" s="9" t="n"/>
      <c r="G239" s="19" t="n"/>
      <c r="H239" s="9" t="n"/>
      <c r="I239" s="9" t="n"/>
      <c r="J239" s="9" t="n"/>
      <c r="K239" s="9" t="n"/>
      <c r="L239" s="19" t="n"/>
      <c r="M239" s="9" t="n"/>
      <c r="N239" s="9" t="n"/>
      <c r="O239">
        <f>IF($A239="","",IF($K239="No","",IF(AND($G239&lt;&gt;"",$G239&lt;TODAY()),"⚠ overdue",IF(AND($G239&lt;&gt;"",$G239&gt;=TODAY(),$G239-TODAY()&lt;=14),"⚠ due soon",IF($J239="","⚠ no responsible person",IF($I239="","⚠ missing payment account",IF(AND($L239&lt;&gt;"",TODAY()-$L239&gt;180),"⚠ not reviewed recently","")))))))</f>
        <v/>
      </c>
    </row>
    <row r="240">
      <c r="A240" s="9" t="n"/>
      <c r="B240" s="9" t="n"/>
      <c r="C240" s="9" t="n"/>
      <c r="D240" s="9" t="n"/>
      <c r="E240" s="10" t="n"/>
      <c r="F240" s="9" t="n"/>
      <c r="G240" s="19" t="n"/>
      <c r="H240" s="9" t="n"/>
      <c r="I240" s="9" t="n"/>
      <c r="J240" s="9" t="n"/>
      <c r="K240" s="9" t="n"/>
      <c r="L240" s="19" t="n"/>
      <c r="M240" s="9" t="n"/>
      <c r="N240" s="9" t="n"/>
      <c r="O240">
        <f>IF($A240="","",IF($K240="No","",IF(AND($G240&lt;&gt;"",$G240&lt;TODAY()),"⚠ overdue",IF(AND($G240&lt;&gt;"",$G240&gt;=TODAY(),$G240-TODAY()&lt;=14),"⚠ due soon",IF($J240="","⚠ no responsible person",IF($I240="","⚠ missing payment account",IF(AND($L240&lt;&gt;"",TODAY()-$L240&gt;180),"⚠ not reviewed recently","")))))))</f>
        <v/>
      </c>
    </row>
    <row r="241">
      <c r="A241" s="9" t="n"/>
      <c r="B241" s="9" t="n"/>
      <c r="C241" s="9" t="n"/>
      <c r="D241" s="9" t="n"/>
      <c r="E241" s="10" t="n"/>
      <c r="F241" s="9" t="n"/>
      <c r="G241" s="19" t="n"/>
      <c r="H241" s="9" t="n"/>
      <c r="I241" s="9" t="n"/>
      <c r="J241" s="9" t="n"/>
      <c r="K241" s="9" t="n"/>
      <c r="L241" s="19" t="n"/>
      <c r="M241" s="9" t="n"/>
      <c r="N241" s="9" t="n"/>
      <c r="O241">
        <f>IF($A241="","",IF($K241="No","",IF(AND($G241&lt;&gt;"",$G241&lt;TODAY()),"⚠ overdue",IF(AND($G241&lt;&gt;"",$G241&gt;=TODAY(),$G241-TODAY()&lt;=14),"⚠ due soon",IF($J241="","⚠ no responsible person",IF($I241="","⚠ missing payment account",IF(AND($L241&lt;&gt;"",TODAY()-$L241&gt;180),"⚠ not reviewed recently","")))))))</f>
        <v/>
      </c>
    </row>
    <row r="242">
      <c r="A242" s="9" t="n"/>
      <c r="B242" s="9" t="n"/>
      <c r="C242" s="9" t="n"/>
      <c r="D242" s="9" t="n"/>
      <c r="E242" s="10" t="n"/>
      <c r="F242" s="9" t="n"/>
      <c r="G242" s="19" t="n"/>
      <c r="H242" s="9" t="n"/>
      <c r="I242" s="9" t="n"/>
      <c r="J242" s="9" t="n"/>
      <c r="K242" s="9" t="n"/>
      <c r="L242" s="19" t="n"/>
      <c r="M242" s="9" t="n"/>
      <c r="N242" s="9" t="n"/>
      <c r="O242">
        <f>IF($A242="","",IF($K242="No","",IF(AND($G242&lt;&gt;"",$G242&lt;TODAY()),"⚠ overdue",IF(AND($G242&lt;&gt;"",$G242&gt;=TODAY(),$G242-TODAY()&lt;=14),"⚠ due soon",IF($J242="","⚠ no responsible person",IF($I242="","⚠ missing payment account",IF(AND($L242&lt;&gt;"",TODAY()-$L242&gt;180),"⚠ not reviewed recently","")))))))</f>
        <v/>
      </c>
    </row>
    <row r="243">
      <c r="A243" s="9" t="n"/>
      <c r="B243" s="9" t="n"/>
      <c r="C243" s="9" t="n"/>
      <c r="D243" s="9" t="n"/>
      <c r="E243" s="10" t="n"/>
      <c r="F243" s="9" t="n"/>
      <c r="G243" s="19" t="n"/>
      <c r="H243" s="9" t="n"/>
      <c r="I243" s="9" t="n"/>
      <c r="J243" s="9" t="n"/>
      <c r="K243" s="9" t="n"/>
      <c r="L243" s="19" t="n"/>
      <c r="M243" s="9" t="n"/>
      <c r="N243" s="9" t="n"/>
      <c r="O243">
        <f>IF($A243="","",IF($K243="No","",IF(AND($G243&lt;&gt;"",$G243&lt;TODAY()),"⚠ overdue",IF(AND($G243&lt;&gt;"",$G243&gt;=TODAY(),$G243-TODAY()&lt;=14),"⚠ due soon",IF($J243="","⚠ no responsible person",IF($I243="","⚠ missing payment account",IF(AND($L243&lt;&gt;"",TODAY()-$L243&gt;180),"⚠ not reviewed recently","")))))))</f>
        <v/>
      </c>
    </row>
    <row r="244">
      <c r="A244" s="9" t="n"/>
      <c r="B244" s="9" t="n"/>
      <c r="C244" s="9" t="n"/>
      <c r="D244" s="9" t="n"/>
      <c r="E244" s="10" t="n"/>
      <c r="F244" s="9" t="n"/>
      <c r="G244" s="19" t="n"/>
      <c r="H244" s="9" t="n"/>
      <c r="I244" s="9" t="n"/>
      <c r="J244" s="9" t="n"/>
      <c r="K244" s="9" t="n"/>
      <c r="L244" s="19" t="n"/>
      <c r="M244" s="9" t="n"/>
      <c r="N244" s="9" t="n"/>
      <c r="O244">
        <f>IF($A244="","",IF($K244="No","",IF(AND($G244&lt;&gt;"",$G244&lt;TODAY()),"⚠ overdue",IF(AND($G244&lt;&gt;"",$G244&gt;=TODAY(),$G244-TODAY()&lt;=14),"⚠ due soon",IF($J244="","⚠ no responsible person",IF($I244="","⚠ missing payment account",IF(AND($L244&lt;&gt;"",TODAY()-$L244&gt;180),"⚠ not reviewed recently","")))))))</f>
        <v/>
      </c>
    </row>
    <row r="245">
      <c r="A245" s="9" t="n"/>
      <c r="B245" s="9" t="n"/>
      <c r="C245" s="9" t="n"/>
      <c r="D245" s="9" t="n"/>
      <c r="E245" s="10" t="n"/>
      <c r="F245" s="9" t="n"/>
      <c r="G245" s="19" t="n"/>
      <c r="H245" s="9" t="n"/>
      <c r="I245" s="9" t="n"/>
      <c r="J245" s="9" t="n"/>
      <c r="K245" s="9" t="n"/>
      <c r="L245" s="19" t="n"/>
      <c r="M245" s="9" t="n"/>
      <c r="N245" s="9" t="n"/>
      <c r="O245">
        <f>IF($A245="","",IF($K245="No","",IF(AND($G245&lt;&gt;"",$G245&lt;TODAY()),"⚠ overdue",IF(AND($G245&lt;&gt;"",$G245&gt;=TODAY(),$G245-TODAY()&lt;=14),"⚠ due soon",IF($J245="","⚠ no responsible person",IF($I245="","⚠ missing payment account",IF(AND($L245&lt;&gt;"",TODAY()-$L245&gt;180),"⚠ not reviewed recently","")))))))</f>
        <v/>
      </c>
    </row>
    <row r="246">
      <c r="A246" s="9" t="n"/>
      <c r="B246" s="9" t="n"/>
      <c r="C246" s="9" t="n"/>
      <c r="D246" s="9" t="n"/>
      <c r="E246" s="10" t="n"/>
      <c r="F246" s="9" t="n"/>
      <c r="G246" s="19" t="n"/>
      <c r="H246" s="9" t="n"/>
      <c r="I246" s="9" t="n"/>
      <c r="J246" s="9" t="n"/>
      <c r="K246" s="9" t="n"/>
      <c r="L246" s="19" t="n"/>
      <c r="M246" s="9" t="n"/>
      <c r="N246" s="9" t="n"/>
      <c r="O246">
        <f>IF($A246="","",IF($K246="No","",IF(AND($G246&lt;&gt;"",$G246&lt;TODAY()),"⚠ overdue",IF(AND($G246&lt;&gt;"",$G246&gt;=TODAY(),$G246-TODAY()&lt;=14),"⚠ due soon",IF($J246="","⚠ no responsible person",IF($I246="","⚠ missing payment account",IF(AND($L246&lt;&gt;"",TODAY()-$L246&gt;180),"⚠ not reviewed recently","")))))))</f>
        <v/>
      </c>
    </row>
    <row r="247">
      <c r="A247" s="9" t="n"/>
      <c r="B247" s="9" t="n"/>
      <c r="C247" s="9" t="n"/>
      <c r="D247" s="9" t="n"/>
      <c r="E247" s="10" t="n"/>
      <c r="F247" s="9" t="n"/>
      <c r="G247" s="19" t="n"/>
      <c r="H247" s="9" t="n"/>
      <c r="I247" s="9" t="n"/>
      <c r="J247" s="9" t="n"/>
      <c r="K247" s="9" t="n"/>
      <c r="L247" s="19" t="n"/>
      <c r="M247" s="9" t="n"/>
      <c r="N247" s="9" t="n"/>
      <c r="O247">
        <f>IF($A247="","",IF($K247="No","",IF(AND($G247&lt;&gt;"",$G247&lt;TODAY()),"⚠ overdue",IF(AND($G247&lt;&gt;"",$G247&gt;=TODAY(),$G247-TODAY()&lt;=14),"⚠ due soon",IF($J247="","⚠ no responsible person",IF($I247="","⚠ missing payment account",IF(AND($L247&lt;&gt;"",TODAY()-$L247&gt;180),"⚠ not reviewed recently","")))))))</f>
        <v/>
      </c>
    </row>
    <row r="248">
      <c r="A248" s="9" t="n"/>
      <c r="B248" s="9" t="n"/>
      <c r="C248" s="9" t="n"/>
      <c r="D248" s="9" t="n"/>
      <c r="E248" s="10" t="n"/>
      <c r="F248" s="9" t="n"/>
      <c r="G248" s="19" t="n"/>
      <c r="H248" s="9" t="n"/>
      <c r="I248" s="9" t="n"/>
      <c r="J248" s="9" t="n"/>
      <c r="K248" s="9" t="n"/>
      <c r="L248" s="19" t="n"/>
      <c r="M248" s="9" t="n"/>
      <c r="N248" s="9" t="n"/>
      <c r="O248">
        <f>IF($A248="","",IF($K248="No","",IF(AND($G248&lt;&gt;"",$G248&lt;TODAY()),"⚠ overdue",IF(AND($G248&lt;&gt;"",$G248&gt;=TODAY(),$G248-TODAY()&lt;=14),"⚠ due soon",IF($J248="","⚠ no responsible person",IF($I248="","⚠ missing payment account",IF(AND($L248&lt;&gt;"",TODAY()-$L248&gt;180),"⚠ not reviewed recently","")))))))</f>
        <v/>
      </c>
    </row>
    <row r="249">
      <c r="A249" s="9" t="n"/>
      <c r="B249" s="9" t="n"/>
      <c r="C249" s="9" t="n"/>
      <c r="D249" s="9" t="n"/>
      <c r="E249" s="10" t="n"/>
      <c r="F249" s="9" t="n"/>
      <c r="G249" s="19" t="n"/>
      <c r="H249" s="9" t="n"/>
      <c r="I249" s="9" t="n"/>
      <c r="J249" s="9" t="n"/>
      <c r="K249" s="9" t="n"/>
      <c r="L249" s="19" t="n"/>
      <c r="M249" s="9" t="n"/>
      <c r="N249" s="9" t="n"/>
      <c r="O249">
        <f>IF($A249="","",IF($K249="No","",IF(AND($G249&lt;&gt;"",$G249&lt;TODAY()),"⚠ overdue",IF(AND($G249&lt;&gt;"",$G249&gt;=TODAY(),$G249-TODAY()&lt;=14),"⚠ due soon",IF($J249="","⚠ no responsible person",IF($I249="","⚠ missing payment account",IF(AND($L249&lt;&gt;"",TODAY()-$L249&gt;180),"⚠ not reviewed recently","")))))))</f>
        <v/>
      </c>
    </row>
    <row r="250">
      <c r="A250" s="9" t="n"/>
      <c r="B250" s="9" t="n"/>
      <c r="C250" s="9" t="n"/>
      <c r="D250" s="9" t="n"/>
      <c r="E250" s="10" t="n"/>
      <c r="F250" s="9" t="n"/>
      <c r="G250" s="19" t="n"/>
      <c r="H250" s="9" t="n"/>
      <c r="I250" s="9" t="n"/>
      <c r="J250" s="9" t="n"/>
      <c r="K250" s="9" t="n"/>
      <c r="L250" s="19" t="n"/>
      <c r="M250" s="9" t="n"/>
      <c r="N250" s="9" t="n"/>
      <c r="O250">
        <f>IF($A250="","",IF($K250="No","",IF(AND($G250&lt;&gt;"",$G250&lt;TODAY()),"⚠ overdue",IF(AND($G250&lt;&gt;"",$G250&gt;=TODAY(),$G250-TODAY()&lt;=14),"⚠ due soon",IF($J250="","⚠ no responsible person",IF($I250="","⚠ missing payment account",IF(AND($L250&lt;&gt;"",TODAY()-$L250&gt;180),"⚠ not reviewed recently","")))))))</f>
        <v/>
      </c>
    </row>
    <row r="251">
      <c r="A251" s="9" t="n"/>
      <c r="B251" s="9" t="n"/>
      <c r="C251" s="9" t="n"/>
      <c r="D251" s="9" t="n"/>
      <c r="E251" s="10" t="n"/>
      <c r="F251" s="9" t="n"/>
      <c r="G251" s="19" t="n"/>
      <c r="H251" s="9" t="n"/>
      <c r="I251" s="9" t="n"/>
      <c r="J251" s="9" t="n"/>
      <c r="K251" s="9" t="n"/>
      <c r="L251" s="19" t="n"/>
      <c r="M251" s="9" t="n"/>
      <c r="N251" s="9" t="n"/>
      <c r="O251">
        <f>IF($A251="","",IF($K251="No","",IF(AND($G251&lt;&gt;"",$G251&lt;TODAY()),"⚠ overdue",IF(AND($G251&lt;&gt;"",$G251&gt;=TODAY(),$G251-TODAY()&lt;=14),"⚠ due soon",IF($J251="","⚠ no responsible person",IF($I251="","⚠ missing payment account",IF(AND($L251&lt;&gt;"",TODAY()-$L251&gt;180),"⚠ not reviewed recently","")))))))</f>
        <v/>
      </c>
    </row>
    <row r="252">
      <c r="A252" s="9" t="n"/>
      <c r="B252" s="9" t="n"/>
      <c r="C252" s="9" t="n"/>
      <c r="D252" s="9" t="n"/>
      <c r="E252" s="10" t="n"/>
      <c r="F252" s="9" t="n"/>
      <c r="G252" s="19" t="n"/>
      <c r="H252" s="9" t="n"/>
      <c r="I252" s="9" t="n"/>
      <c r="J252" s="9" t="n"/>
      <c r="K252" s="9" t="n"/>
      <c r="L252" s="19" t="n"/>
      <c r="M252" s="9" t="n"/>
      <c r="N252" s="9" t="n"/>
      <c r="O252">
        <f>IF($A252="","",IF($K252="No","",IF(AND($G252&lt;&gt;"",$G252&lt;TODAY()),"⚠ overdue",IF(AND($G252&lt;&gt;"",$G252&gt;=TODAY(),$G252-TODAY()&lt;=14),"⚠ due soon",IF($J252="","⚠ no responsible person",IF($I252="","⚠ missing payment account",IF(AND($L252&lt;&gt;"",TODAY()-$L252&gt;180),"⚠ not reviewed recently","")))))))</f>
        <v/>
      </c>
    </row>
    <row r="253">
      <c r="A253" s="9" t="n"/>
      <c r="B253" s="9" t="n"/>
      <c r="C253" s="9" t="n"/>
      <c r="D253" s="9" t="n"/>
      <c r="E253" s="10" t="n"/>
      <c r="F253" s="9" t="n"/>
      <c r="G253" s="19" t="n"/>
      <c r="H253" s="9" t="n"/>
      <c r="I253" s="9" t="n"/>
      <c r="J253" s="9" t="n"/>
      <c r="K253" s="9" t="n"/>
      <c r="L253" s="19" t="n"/>
      <c r="M253" s="9" t="n"/>
      <c r="N253" s="9" t="n"/>
      <c r="O253">
        <f>IF($A253="","",IF($K253="No","",IF(AND($G253&lt;&gt;"",$G253&lt;TODAY()),"⚠ overdue",IF(AND($G253&lt;&gt;"",$G253&gt;=TODAY(),$G253-TODAY()&lt;=14),"⚠ due soon",IF($J253="","⚠ no responsible person",IF($I253="","⚠ missing payment account",IF(AND($L253&lt;&gt;"",TODAY()-$L253&gt;180),"⚠ not reviewed recently","")))))))</f>
        <v/>
      </c>
    </row>
    <row r="254">
      <c r="A254" s="9" t="n"/>
      <c r="B254" s="9" t="n"/>
      <c r="C254" s="9" t="n"/>
      <c r="D254" s="9" t="n"/>
      <c r="E254" s="10" t="n"/>
      <c r="F254" s="9" t="n"/>
      <c r="G254" s="19" t="n"/>
      <c r="H254" s="9" t="n"/>
      <c r="I254" s="9" t="n"/>
      <c r="J254" s="9" t="n"/>
      <c r="K254" s="9" t="n"/>
      <c r="L254" s="19" t="n"/>
      <c r="M254" s="9" t="n"/>
      <c r="N254" s="9" t="n"/>
      <c r="O254">
        <f>IF($A254="","",IF($K254="No","",IF(AND($G254&lt;&gt;"",$G254&lt;TODAY()),"⚠ overdue",IF(AND($G254&lt;&gt;"",$G254&gt;=TODAY(),$G254-TODAY()&lt;=14),"⚠ due soon",IF($J254="","⚠ no responsible person",IF($I254="","⚠ missing payment account",IF(AND($L254&lt;&gt;"",TODAY()-$L254&gt;180),"⚠ not reviewed recently","")))))))</f>
        <v/>
      </c>
    </row>
    <row r="255">
      <c r="A255" s="9" t="n"/>
      <c r="B255" s="9" t="n"/>
      <c r="C255" s="9" t="n"/>
      <c r="D255" s="9" t="n"/>
      <c r="E255" s="10" t="n"/>
      <c r="F255" s="9" t="n"/>
      <c r="G255" s="19" t="n"/>
      <c r="H255" s="9" t="n"/>
      <c r="I255" s="9" t="n"/>
      <c r="J255" s="9" t="n"/>
      <c r="K255" s="9" t="n"/>
      <c r="L255" s="19" t="n"/>
      <c r="M255" s="9" t="n"/>
      <c r="N255" s="9" t="n"/>
      <c r="O255">
        <f>IF($A255="","",IF($K255="No","",IF(AND($G255&lt;&gt;"",$G255&lt;TODAY()),"⚠ overdue",IF(AND($G255&lt;&gt;"",$G255&gt;=TODAY(),$G255-TODAY()&lt;=14),"⚠ due soon",IF($J255="","⚠ no responsible person",IF($I255="","⚠ missing payment account",IF(AND($L255&lt;&gt;"",TODAY()-$L255&gt;180),"⚠ not reviewed recently","")))))))</f>
        <v/>
      </c>
    </row>
    <row r="256">
      <c r="A256" s="9" t="n"/>
      <c r="B256" s="9" t="n"/>
      <c r="C256" s="9" t="n"/>
      <c r="D256" s="9" t="n"/>
      <c r="E256" s="10" t="n"/>
      <c r="F256" s="9" t="n"/>
      <c r="G256" s="19" t="n"/>
      <c r="H256" s="9" t="n"/>
      <c r="I256" s="9" t="n"/>
      <c r="J256" s="9" t="n"/>
      <c r="K256" s="9" t="n"/>
      <c r="L256" s="19" t="n"/>
      <c r="M256" s="9" t="n"/>
      <c r="N256" s="9" t="n"/>
      <c r="O256">
        <f>IF($A256="","",IF($K256="No","",IF(AND($G256&lt;&gt;"",$G256&lt;TODAY()),"⚠ overdue",IF(AND($G256&lt;&gt;"",$G256&gt;=TODAY(),$G256-TODAY()&lt;=14),"⚠ due soon",IF($J256="","⚠ no responsible person",IF($I256="","⚠ missing payment account",IF(AND($L256&lt;&gt;"",TODAY()-$L256&gt;180),"⚠ not reviewed recently","")))))))</f>
        <v/>
      </c>
    </row>
    <row r="257">
      <c r="A257" s="9" t="n"/>
      <c r="B257" s="9" t="n"/>
      <c r="C257" s="9" t="n"/>
      <c r="D257" s="9" t="n"/>
      <c r="E257" s="10" t="n"/>
      <c r="F257" s="9" t="n"/>
      <c r="G257" s="19" t="n"/>
      <c r="H257" s="9" t="n"/>
      <c r="I257" s="9" t="n"/>
      <c r="J257" s="9" t="n"/>
      <c r="K257" s="9" t="n"/>
      <c r="L257" s="19" t="n"/>
      <c r="M257" s="9" t="n"/>
      <c r="N257" s="9" t="n"/>
      <c r="O257">
        <f>IF($A257="","",IF($K257="No","",IF(AND($G257&lt;&gt;"",$G257&lt;TODAY()),"⚠ overdue",IF(AND($G257&lt;&gt;"",$G257&gt;=TODAY(),$G257-TODAY()&lt;=14),"⚠ due soon",IF($J257="","⚠ no responsible person",IF($I257="","⚠ missing payment account",IF(AND($L257&lt;&gt;"",TODAY()-$L257&gt;180),"⚠ not reviewed recently","")))))))</f>
        <v/>
      </c>
    </row>
    <row r="258">
      <c r="A258" s="9" t="n"/>
      <c r="B258" s="9" t="n"/>
      <c r="C258" s="9" t="n"/>
      <c r="D258" s="9" t="n"/>
      <c r="E258" s="10" t="n"/>
      <c r="F258" s="9" t="n"/>
      <c r="G258" s="19" t="n"/>
      <c r="H258" s="9" t="n"/>
      <c r="I258" s="9" t="n"/>
      <c r="J258" s="9" t="n"/>
      <c r="K258" s="9" t="n"/>
      <c r="L258" s="19" t="n"/>
      <c r="M258" s="9" t="n"/>
      <c r="N258" s="9" t="n"/>
      <c r="O258">
        <f>IF($A258="","",IF($K258="No","",IF(AND($G258&lt;&gt;"",$G258&lt;TODAY()),"⚠ overdue",IF(AND($G258&lt;&gt;"",$G258&gt;=TODAY(),$G258-TODAY()&lt;=14),"⚠ due soon",IF($J258="","⚠ no responsible person",IF($I258="","⚠ missing payment account",IF(AND($L258&lt;&gt;"",TODAY()-$L258&gt;180),"⚠ not reviewed recently","")))))))</f>
        <v/>
      </c>
    </row>
    <row r="259">
      <c r="A259" s="9" t="n"/>
      <c r="B259" s="9" t="n"/>
      <c r="C259" s="9" t="n"/>
      <c r="D259" s="9" t="n"/>
      <c r="E259" s="10" t="n"/>
      <c r="F259" s="9" t="n"/>
      <c r="G259" s="19" t="n"/>
      <c r="H259" s="9" t="n"/>
      <c r="I259" s="9" t="n"/>
      <c r="J259" s="9" t="n"/>
      <c r="K259" s="9" t="n"/>
      <c r="L259" s="19" t="n"/>
      <c r="M259" s="9" t="n"/>
      <c r="N259" s="9" t="n"/>
      <c r="O259">
        <f>IF($A259="","",IF($K259="No","",IF(AND($G259&lt;&gt;"",$G259&lt;TODAY()),"⚠ overdue",IF(AND($G259&lt;&gt;"",$G259&gt;=TODAY(),$G259-TODAY()&lt;=14),"⚠ due soon",IF($J259="","⚠ no responsible person",IF($I259="","⚠ missing payment account",IF(AND($L259&lt;&gt;"",TODAY()-$L259&gt;180),"⚠ not reviewed recently","")))))))</f>
        <v/>
      </c>
    </row>
    <row r="260">
      <c r="A260" s="9" t="n"/>
      <c r="B260" s="9" t="n"/>
      <c r="C260" s="9" t="n"/>
      <c r="D260" s="9" t="n"/>
      <c r="E260" s="10" t="n"/>
      <c r="F260" s="9" t="n"/>
      <c r="G260" s="19" t="n"/>
      <c r="H260" s="9" t="n"/>
      <c r="I260" s="9" t="n"/>
      <c r="J260" s="9" t="n"/>
      <c r="K260" s="9" t="n"/>
      <c r="L260" s="19" t="n"/>
      <c r="M260" s="9" t="n"/>
      <c r="N260" s="9" t="n"/>
      <c r="O260">
        <f>IF($A260="","",IF($K260="No","",IF(AND($G260&lt;&gt;"",$G260&lt;TODAY()),"⚠ overdue",IF(AND($G260&lt;&gt;"",$G260&gt;=TODAY(),$G260-TODAY()&lt;=14),"⚠ due soon",IF($J260="","⚠ no responsible person",IF($I260="","⚠ missing payment account",IF(AND($L260&lt;&gt;"",TODAY()-$L260&gt;180),"⚠ not reviewed recently","")))))))</f>
        <v/>
      </c>
    </row>
    <row r="261">
      <c r="A261" s="9" t="n"/>
      <c r="B261" s="9" t="n"/>
      <c r="C261" s="9" t="n"/>
      <c r="D261" s="9" t="n"/>
      <c r="E261" s="10" t="n"/>
      <c r="F261" s="9" t="n"/>
      <c r="G261" s="19" t="n"/>
      <c r="H261" s="9" t="n"/>
      <c r="I261" s="9" t="n"/>
      <c r="J261" s="9" t="n"/>
      <c r="K261" s="9" t="n"/>
      <c r="L261" s="19" t="n"/>
      <c r="M261" s="9" t="n"/>
      <c r="N261" s="9" t="n"/>
      <c r="O261">
        <f>IF($A261="","",IF($K261="No","",IF(AND($G261&lt;&gt;"",$G261&lt;TODAY()),"⚠ overdue",IF(AND($G261&lt;&gt;"",$G261&gt;=TODAY(),$G261-TODAY()&lt;=14),"⚠ due soon",IF($J261="","⚠ no responsible person",IF($I261="","⚠ missing payment account",IF(AND($L261&lt;&gt;"",TODAY()-$L261&gt;180),"⚠ not reviewed recently","")))))))</f>
        <v/>
      </c>
    </row>
    <row r="262">
      <c r="A262" s="9" t="n"/>
      <c r="B262" s="9" t="n"/>
      <c r="C262" s="9" t="n"/>
      <c r="D262" s="9" t="n"/>
      <c r="E262" s="10" t="n"/>
      <c r="F262" s="9" t="n"/>
      <c r="G262" s="19" t="n"/>
      <c r="H262" s="9" t="n"/>
      <c r="I262" s="9" t="n"/>
      <c r="J262" s="9" t="n"/>
      <c r="K262" s="9" t="n"/>
      <c r="L262" s="19" t="n"/>
      <c r="M262" s="9" t="n"/>
      <c r="N262" s="9" t="n"/>
      <c r="O262">
        <f>IF($A262="","",IF($K262="No","",IF(AND($G262&lt;&gt;"",$G262&lt;TODAY()),"⚠ overdue",IF(AND($G262&lt;&gt;"",$G262&gt;=TODAY(),$G262-TODAY()&lt;=14),"⚠ due soon",IF($J262="","⚠ no responsible person",IF($I262="","⚠ missing payment account",IF(AND($L262&lt;&gt;"",TODAY()-$L262&gt;180),"⚠ not reviewed recently","")))))))</f>
        <v/>
      </c>
    </row>
    <row r="263">
      <c r="A263" s="9" t="n"/>
      <c r="B263" s="9" t="n"/>
      <c r="C263" s="9" t="n"/>
      <c r="D263" s="9" t="n"/>
      <c r="E263" s="10" t="n"/>
      <c r="F263" s="9" t="n"/>
      <c r="G263" s="19" t="n"/>
      <c r="H263" s="9" t="n"/>
      <c r="I263" s="9" t="n"/>
      <c r="J263" s="9" t="n"/>
      <c r="K263" s="9" t="n"/>
      <c r="L263" s="19" t="n"/>
      <c r="M263" s="9" t="n"/>
      <c r="N263" s="9" t="n"/>
      <c r="O263">
        <f>IF($A263="","",IF($K263="No","",IF(AND($G263&lt;&gt;"",$G263&lt;TODAY()),"⚠ overdue",IF(AND($G263&lt;&gt;"",$G263&gt;=TODAY(),$G263-TODAY()&lt;=14),"⚠ due soon",IF($J263="","⚠ no responsible person",IF($I263="","⚠ missing payment account",IF(AND($L263&lt;&gt;"",TODAY()-$L263&gt;180),"⚠ not reviewed recently","")))))))</f>
        <v/>
      </c>
    </row>
    <row r="264">
      <c r="A264" s="9" t="n"/>
      <c r="B264" s="9" t="n"/>
      <c r="C264" s="9" t="n"/>
      <c r="D264" s="9" t="n"/>
      <c r="E264" s="10" t="n"/>
      <c r="F264" s="9" t="n"/>
      <c r="G264" s="19" t="n"/>
      <c r="H264" s="9" t="n"/>
      <c r="I264" s="9" t="n"/>
      <c r="J264" s="9" t="n"/>
      <c r="K264" s="9" t="n"/>
      <c r="L264" s="19" t="n"/>
      <c r="M264" s="9" t="n"/>
      <c r="N264" s="9" t="n"/>
      <c r="O264">
        <f>IF($A264="","",IF($K264="No","",IF(AND($G264&lt;&gt;"",$G264&lt;TODAY()),"⚠ overdue",IF(AND($G264&lt;&gt;"",$G264&gt;=TODAY(),$G264-TODAY()&lt;=14),"⚠ due soon",IF($J264="","⚠ no responsible person",IF($I264="","⚠ missing payment account",IF(AND($L264&lt;&gt;"",TODAY()-$L264&gt;180),"⚠ not reviewed recently","")))))))</f>
        <v/>
      </c>
    </row>
    <row r="265">
      <c r="A265" s="9" t="n"/>
      <c r="B265" s="9" t="n"/>
      <c r="C265" s="9" t="n"/>
      <c r="D265" s="9" t="n"/>
      <c r="E265" s="10" t="n"/>
      <c r="F265" s="9" t="n"/>
      <c r="G265" s="19" t="n"/>
      <c r="H265" s="9" t="n"/>
      <c r="I265" s="9" t="n"/>
      <c r="J265" s="9" t="n"/>
      <c r="K265" s="9" t="n"/>
      <c r="L265" s="19" t="n"/>
      <c r="M265" s="9" t="n"/>
      <c r="N265" s="9" t="n"/>
      <c r="O265">
        <f>IF($A265="","",IF($K265="No","",IF(AND($G265&lt;&gt;"",$G265&lt;TODAY()),"⚠ overdue",IF(AND($G265&lt;&gt;"",$G265&gt;=TODAY(),$G265-TODAY()&lt;=14),"⚠ due soon",IF($J265="","⚠ no responsible person",IF($I265="","⚠ missing payment account",IF(AND($L265&lt;&gt;"",TODAY()-$L265&gt;180),"⚠ not reviewed recently","")))))))</f>
        <v/>
      </c>
    </row>
    <row r="266">
      <c r="A266" s="9" t="n"/>
      <c r="B266" s="9" t="n"/>
      <c r="C266" s="9" t="n"/>
      <c r="D266" s="9" t="n"/>
      <c r="E266" s="10" t="n"/>
      <c r="F266" s="9" t="n"/>
      <c r="G266" s="19" t="n"/>
      <c r="H266" s="9" t="n"/>
      <c r="I266" s="9" t="n"/>
      <c r="J266" s="9" t="n"/>
      <c r="K266" s="9" t="n"/>
      <c r="L266" s="19" t="n"/>
      <c r="M266" s="9" t="n"/>
      <c r="N266" s="9" t="n"/>
      <c r="O266">
        <f>IF($A266="","",IF($K266="No","",IF(AND($G266&lt;&gt;"",$G266&lt;TODAY()),"⚠ overdue",IF(AND($G266&lt;&gt;"",$G266&gt;=TODAY(),$G266-TODAY()&lt;=14),"⚠ due soon",IF($J266="","⚠ no responsible person",IF($I266="","⚠ missing payment account",IF(AND($L266&lt;&gt;"",TODAY()-$L266&gt;180),"⚠ not reviewed recently","")))))))</f>
        <v/>
      </c>
    </row>
    <row r="267">
      <c r="A267" s="9" t="n"/>
      <c r="B267" s="9" t="n"/>
      <c r="C267" s="9" t="n"/>
      <c r="D267" s="9" t="n"/>
      <c r="E267" s="10" t="n"/>
      <c r="F267" s="9" t="n"/>
      <c r="G267" s="19" t="n"/>
      <c r="H267" s="9" t="n"/>
      <c r="I267" s="9" t="n"/>
      <c r="J267" s="9" t="n"/>
      <c r="K267" s="9" t="n"/>
      <c r="L267" s="19" t="n"/>
      <c r="M267" s="9" t="n"/>
      <c r="N267" s="9" t="n"/>
      <c r="O267">
        <f>IF($A267="","",IF($K267="No","",IF(AND($G267&lt;&gt;"",$G267&lt;TODAY()),"⚠ overdue",IF(AND($G267&lt;&gt;"",$G267&gt;=TODAY(),$G267-TODAY()&lt;=14),"⚠ due soon",IF($J267="","⚠ no responsible person",IF($I267="","⚠ missing payment account",IF(AND($L267&lt;&gt;"",TODAY()-$L267&gt;180),"⚠ not reviewed recently","")))))))</f>
        <v/>
      </c>
    </row>
    <row r="268">
      <c r="A268" s="9" t="n"/>
      <c r="B268" s="9" t="n"/>
      <c r="C268" s="9" t="n"/>
      <c r="D268" s="9" t="n"/>
      <c r="E268" s="10" t="n"/>
      <c r="F268" s="9" t="n"/>
      <c r="G268" s="19" t="n"/>
      <c r="H268" s="9" t="n"/>
      <c r="I268" s="9" t="n"/>
      <c r="J268" s="9" t="n"/>
      <c r="K268" s="9" t="n"/>
      <c r="L268" s="19" t="n"/>
      <c r="M268" s="9" t="n"/>
      <c r="N268" s="9" t="n"/>
      <c r="O268">
        <f>IF($A268="","",IF($K268="No","",IF(AND($G268&lt;&gt;"",$G268&lt;TODAY()),"⚠ overdue",IF(AND($G268&lt;&gt;"",$G268&gt;=TODAY(),$G268-TODAY()&lt;=14),"⚠ due soon",IF($J268="","⚠ no responsible person",IF($I268="","⚠ missing payment account",IF(AND($L268&lt;&gt;"",TODAY()-$L268&gt;180),"⚠ not reviewed recently","")))))))</f>
        <v/>
      </c>
    </row>
    <row r="269">
      <c r="A269" s="9" t="n"/>
      <c r="B269" s="9" t="n"/>
      <c r="C269" s="9" t="n"/>
      <c r="D269" s="9" t="n"/>
      <c r="E269" s="10" t="n"/>
      <c r="F269" s="9" t="n"/>
      <c r="G269" s="19" t="n"/>
      <c r="H269" s="9" t="n"/>
      <c r="I269" s="9" t="n"/>
      <c r="J269" s="9" t="n"/>
      <c r="K269" s="9" t="n"/>
      <c r="L269" s="19" t="n"/>
      <c r="M269" s="9" t="n"/>
      <c r="N269" s="9" t="n"/>
      <c r="O269">
        <f>IF($A269="","",IF($K269="No","",IF(AND($G269&lt;&gt;"",$G269&lt;TODAY()),"⚠ overdue",IF(AND($G269&lt;&gt;"",$G269&gt;=TODAY(),$G269-TODAY()&lt;=14),"⚠ due soon",IF($J269="","⚠ no responsible person",IF($I269="","⚠ missing payment account",IF(AND($L269&lt;&gt;"",TODAY()-$L269&gt;180),"⚠ not reviewed recently","")))))))</f>
        <v/>
      </c>
    </row>
    <row r="270">
      <c r="A270" s="9" t="n"/>
      <c r="B270" s="9" t="n"/>
      <c r="C270" s="9" t="n"/>
      <c r="D270" s="9" t="n"/>
      <c r="E270" s="10" t="n"/>
      <c r="F270" s="9" t="n"/>
      <c r="G270" s="19" t="n"/>
      <c r="H270" s="9" t="n"/>
      <c r="I270" s="9" t="n"/>
      <c r="J270" s="9" t="n"/>
      <c r="K270" s="9" t="n"/>
      <c r="L270" s="19" t="n"/>
      <c r="M270" s="9" t="n"/>
      <c r="N270" s="9" t="n"/>
      <c r="O270">
        <f>IF($A270="","",IF($K270="No","",IF(AND($G270&lt;&gt;"",$G270&lt;TODAY()),"⚠ overdue",IF(AND($G270&lt;&gt;"",$G270&gt;=TODAY(),$G270-TODAY()&lt;=14),"⚠ due soon",IF($J270="","⚠ no responsible person",IF($I270="","⚠ missing payment account",IF(AND($L270&lt;&gt;"",TODAY()-$L270&gt;180),"⚠ not reviewed recently","")))))))</f>
        <v/>
      </c>
    </row>
    <row r="271">
      <c r="A271" s="9" t="n"/>
      <c r="B271" s="9" t="n"/>
      <c r="C271" s="9" t="n"/>
      <c r="D271" s="9" t="n"/>
      <c r="E271" s="10" t="n"/>
      <c r="F271" s="9" t="n"/>
      <c r="G271" s="19" t="n"/>
      <c r="H271" s="9" t="n"/>
      <c r="I271" s="9" t="n"/>
      <c r="J271" s="9" t="n"/>
      <c r="K271" s="9" t="n"/>
      <c r="L271" s="19" t="n"/>
      <c r="M271" s="9" t="n"/>
      <c r="N271" s="9" t="n"/>
      <c r="O271">
        <f>IF($A271="","",IF($K271="No","",IF(AND($G271&lt;&gt;"",$G271&lt;TODAY()),"⚠ overdue",IF(AND($G271&lt;&gt;"",$G271&gt;=TODAY(),$G271-TODAY()&lt;=14),"⚠ due soon",IF($J271="","⚠ no responsible person",IF($I271="","⚠ missing payment account",IF(AND($L271&lt;&gt;"",TODAY()-$L271&gt;180),"⚠ not reviewed recently","")))))))</f>
        <v/>
      </c>
    </row>
    <row r="272">
      <c r="A272" s="9" t="n"/>
      <c r="B272" s="9" t="n"/>
      <c r="C272" s="9" t="n"/>
      <c r="D272" s="9" t="n"/>
      <c r="E272" s="10" t="n"/>
      <c r="F272" s="9" t="n"/>
      <c r="G272" s="19" t="n"/>
      <c r="H272" s="9" t="n"/>
      <c r="I272" s="9" t="n"/>
      <c r="J272" s="9" t="n"/>
      <c r="K272" s="9" t="n"/>
      <c r="L272" s="19" t="n"/>
      <c r="M272" s="9" t="n"/>
      <c r="N272" s="9" t="n"/>
      <c r="O272">
        <f>IF($A272="","",IF($K272="No","",IF(AND($G272&lt;&gt;"",$G272&lt;TODAY()),"⚠ overdue",IF(AND($G272&lt;&gt;"",$G272&gt;=TODAY(),$G272-TODAY()&lt;=14),"⚠ due soon",IF($J272="","⚠ no responsible person",IF($I272="","⚠ missing payment account",IF(AND($L272&lt;&gt;"",TODAY()-$L272&gt;180),"⚠ not reviewed recently","")))))))</f>
        <v/>
      </c>
    </row>
    <row r="273">
      <c r="A273" s="9" t="n"/>
      <c r="B273" s="9" t="n"/>
      <c r="C273" s="9" t="n"/>
      <c r="D273" s="9" t="n"/>
      <c r="E273" s="10" t="n"/>
      <c r="F273" s="9" t="n"/>
      <c r="G273" s="19" t="n"/>
      <c r="H273" s="9" t="n"/>
      <c r="I273" s="9" t="n"/>
      <c r="J273" s="9" t="n"/>
      <c r="K273" s="9" t="n"/>
      <c r="L273" s="19" t="n"/>
      <c r="M273" s="9" t="n"/>
      <c r="N273" s="9" t="n"/>
      <c r="O273">
        <f>IF($A273="","",IF($K273="No","",IF(AND($G273&lt;&gt;"",$G273&lt;TODAY()),"⚠ overdue",IF(AND($G273&lt;&gt;"",$G273&gt;=TODAY(),$G273-TODAY()&lt;=14),"⚠ due soon",IF($J273="","⚠ no responsible person",IF($I273="","⚠ missing payment account",IF(AND($L273&lt;&gt;"",TODAY()-$L273&gt;180),"⚠ not reviewed recently","")))))))</f>
        <v/>
      </c>
    </row>
    <row r="274">
      <c r="A274" s="9" t="n"/>
      <c r="B274" s="9" t="n"/>
      <c r="C274" s="9" t="n"/>
      <c r="D274" s="9" t="n"/>
      <c r="E274" s="10" t="n"/>
      <c r="F274" s="9" t="n"/>
      <c r="G274" s="19" t="n"/>
      <c r="H274" s="9" t="n"/>
      <c r="I274" s="9" t="n"/>
      <c r="J274" s="9" t="n"/>
      <c r="K274" s="9" t="n"/>
      <c r="L274" s="19" t="n"/>
      <c r="M274" s="9" t="n"/>
      <c r="N274" s="9" t="n"/>
      <c r="O274">
        <f>IF($A274="","",IF($K274="No","",IF(AND($G274&lt;&gt;"",$G274&lt;TODAY()),"⚠ overdue",IF(AND($G274&lt;&gt;"",$G274&gt;=TODAY(),$G274-TODAY()&lt;=14),"⚠ due soon",IF($J274="","⚠ no responsible person",IF($I274="","⚠ missing payment account",IF(AND($L274&lt;&gt;"",TODAY()-$L274&gt;180),"⚠ not reviewed recently","")))))))</f>
        <v/>
      </c>
    </row>
    <row r="275">
      <c r="A275" s="9" t="n"/>
      <c r="B275" s="9" t="n"/>
      <c r="C275" s="9" t="n"/>
      <c r="D275" s="9" t="n"/>
      <c r="E275" s="10" t="n"/>
      <c r="F275" s="9" t="n"/>
      <c r="G275" s="19" t="n"/>
      <c r="H275" s="9" t="n"/>
      <c r="I275" s="9" t="n"/>
      <c r="J275" s="9" t="n"/>
      <c r="K275" s="9" t="n"/>
      <c r="L275" s="19" t="n"/>
      <c r="M275" s="9" t="n"/>
      <c r="N275" s="9" t="n"/>
      <c r="O275">
        <f>IF($A275="","",IF($K275="No","",IF(AND($G275&lt;&gt;"",$G275&lt;TODAY()),"⚠ overdue",IF(AND($G275&lt;&gt;"",$G275&gt;=TODAY(),$G275-TODAY()&lt;=14),"⚠ due soon",IF($J275="","⚠ no responsible person",IF($I275="","⚠ missing payment account",IF(AND($L275&lt;&gt;"",TODAY()-$L275&gt;180),"⚠ not reviewed recently","")))))))</f>
        <v/>
      </c>
    </row>
    <row r="276">
      <c r="A276" s="9" t="n"/>
      <c r="B276" s="9" t="n"/>
      <c r="C276" s="9" t="n"/>
      <c r="D276" s="9" t="n"/>
      <c r="E276" s="10" t="n"/>
      <c r="F276" s="9" t="n"/>
      <c r="G276" s="19" t="n"/>
      <c r="H276" s="9" t="n"/>
      <c r="I276" s="9" t="n"/>
      <c r="J276" s="9" t="n"/>
      <c r="K276" s="9" t="n"/>
      <c r="L276" s="19" t="n"/>
      <c r="M276" s="9" t="n"/>
      <c r="N276" s="9" t="n"/>
      <c r="O276">
        <f>IF($A276="","",IF($K276="No","",IF(AND($G276&lt;&gt;"",$G276&lt;TODAY()),"⚠ overdue",IF(AND($G276&lt;&gt;"",$G276&gt;=TODAY(),$G276-TODAY()&lt;=14),"⚠ due soon",IF($J276="","⚠ no responsible person",IF($I276="","⚠ missing payment account",IF(AND($L276&lt;&gt;"",TODAY()-$L276&gt;180),"⚠ not reviewed recently","")))))))</f>
        <v/>
      </c>
    </row>
    <row r="277">
      <c r="A277" s="9" t="n"/>
      <c r="B277" s="9" t="n"/>
      <c r="C277" s="9" t="n"/>
      <c r="D277" s="9" t="n"/>
      <c r="E277" s="10" t="n"/>
      <c r="F277" s="9" t="n"/>
      <c r="G277" s="19" t="n"/>
      <c r="H277" s="9" t="n"/>
      <c r="I277" s="9" t="n"/>
      <c r="J277" s="9" t="n"/>
      <c r="K277" s="9" t="n"/>
      <c r="L277" s="19" t="n"/>
      <c r="M277" s="9" t="n"/>
      <c r="N277" s="9" t="n"/>
      <c r="O277">
        <f>IF($A277="","",IF($K277="No","",IF(AND($G277&lt;&gt;"",$G277&lt;TODAY()),"⚠ overdue",IF(AND($G277&lt;&gt;"",$G277&gt;=TODAY(),$G277-TODAY()&lt;=14),"⚠ due soon",IF($J277="","⚠ no responsible person",IF($I277="","⚠ missing payment account",IF(AND($L277&lt;&gt;"",TODAY()-$L277&gt;180),"⚠ not reviewed recently","")))))))</f>
        <v/>
      </c>
    </row>
    <row r="278">
      <c r="A278" s="9" t="n"/>
      <c r="B278" s="9" t="n"/>
      <c r="C278" s="9" t="n"/>
      <c r="D278" s="9" t="n"/>
      <c r="E278" s="10" t="n"/>
      <c r="F278" s="9" t="n"/>
      <c r="G278" s="19" t="n"/>
      <c r="H278" s="9" t="n"/>
      <c r="I278" s="9" t="n"/>
      <c r="J278" s="9" t="n"/>
      <c r="K278" s="9" t="n"/>
      <c r="L278" s="19" t="n"/>
      <c r="M278" s="9" t="n"/>
      <c r="N278" s="9" t="n"/>
      <c r="O278">
        <f>IF($A278="","",IF($K278="No","",IF(AND($G278&lt;&gt;"",$G278&lt;TODAY()),"⚠ overdue",IF(AND($G278&lt;&gt;"",$G278&gt;=TODAY(),$G278-TODAY()&lt;=14),"⚠ due soon",IF($J278="","⚠ no responsible person",IF($I278="","⚠ missing payment account",IF(AND($L278&lt;&gt;"",TODAY()-$L278&gt;180),"⚠ not reviewed recently","")))))))</f>
        <v/>
      </c>
    </row>
    <row r="279">
      <c r="A279" s="9" t="n"/>
      <c r="B279" s="9" t="n"/>
      <c r="C279" s="9" t="n"/>
      <c r="D279" s="9" t="n"/>
      <c r="E279" s="10" t="n"/>
      <c r="F279" s="9" t="n"/>
      <c r="G279" s="19" t="n"/>
      <c r="H279" s="9" t="n"/>
      <c r="I279" s="9" t="n"/>
      <c r="J279" s="9" t="n"/>
      <c r="K279" s="9" t="n"/>
      <c r="L279" s="19" t="n"/>
      <c r="M279" s="9" t="n"/>
      <c r="N279" s="9" t="n"/>
      <c r="O279">
        <f>IF($A279="","",IF($K279="No","",IF(AND($G279&lt;&gt;"",$G279&lt;TODAY()),"⚠ overdue",IF(AND($G279&lt;&gt;"",$G279&gt;=TODAY(),$G279-TODAY()&lt;=14),"⚠ due soon",IF($J279="","⚠ no responsible person",IF($I279="","⚠ missing payment account",IF(AND($L279&lt;&gt;"",TODAY()-$L279&gt;180),"⚠ not reviewed recently","")))))))</f>
        <v/>
      </c>
    </row>
    <row r="280">
      <c r="A280" s="9" t="n"/>
      <c r="B280" s="9" t="n"/>
      <c r="C280" s="9" t="n"/>
      <c r="D280" s="9" t="n"/>
      <c r="E280" s="10" t="n"/>
      <c r="F280" s="9" t="n"/>
      <c r="G280" s="19" t="n"/>
      <c r="H280" s="9" t="n"/>
      <c r="I280" s="9" t="n"/>
      <c r="J280" s="9" t="n"/>
      <c r="K280" s="9" t="n"/>
      <c r="L280" s="19" t="n"/>
      <c r="M280" s="9" t="n"/>
      <c r="N280" s="9" t="n"/>
      <c r="O280">
        <f>IF($A280="","",IF($K280="No","",IF(AND($G280&lt;&gt;"",$G280&lt;TODAY()),"⚠ overdue",IF(AND($G280&lt;&gt;"",$G280&gt;=TODAY(),$G280-TODAY()&lt;=14),"⚠ due soon",IF($J280="","⚠ no responsible person",IF($I280="","⚠ missing payment account",IF(AND($L280&lt;&gt;"",TODAY()-$L280&gt;180),"⚠ not reviewed recently","")))))))</f>
        <v/>
      </c>
    </row>
    <row r="281">
      <c r="A281" s="9" t="n"/>
      <c r="B281" s="9" t="n"/>
      <c r="C281" s="9" t="n"/>
      <c r="D281" s="9" t="n"/>
      <c r="E281" s="10" t="n"/>
      <c r="F281" s="9" t="n"/>
      <c r="G281" s="19" t="n"/>
      <c r="H281" s="9" t="n"/>
      <c r="I281" s="9" t="n"/>
      <c r="J281" s="9" t="n"/>
      <c r="K281" s="9" t="n"/>
      <c r="L281" s="19" t="n"/>
      <c r="M281" s="9" t="n"/>
      <c r="N281" s="9" t="n"/>
      <c r="O281">
        <f>IF($A281="","",IF($K281="No","",IF(AND($G281&lt;&gt;"",$G281&lt;TODAY()),"⚠ overdue",IF(AND($G281&lt;&gt;"",$G281&gt;=TODAY(),$G281-TODAY()&lt;=14),"⚠ due soon",IF($J281="","⚠ no responsible person",IF($I281="","⚠ missing payment account",IF(AND($L281&lt;&gt;"",TODAY()-$L281&gt;180),"⚠ not reviewed recently","")))))))</f>
        <v/>
      </c>
    </row>
    <row r="282">
      <c r="A282" s="9" t="n"/>
      <c r="B282" s="9" t="n"/>
      <c r="C282" s="9" t="n"/>
      <c r="D282" s="9" t="n"/>
      <c r="E282" s="10" t="n"/>
      <c r="F282" s="9" t="n"/>
      <c r="G282" s="19" t="n"/>
      <c r="H282" s="9" t="n"/>
      <c r="I282" s="9" t="n"/>
      <c r="J282" s="9" t="n"/>
      <c r="K282" s="9" t="n"/>
      <c r="L282" s="19" t="n"/>
      <c r="M282" s="9" t="n"/>
      <c r="N282" s="9" t="n"/>
      <c r="O282">
        <f>IF($A282="","",IF($K282="No","",IF(AND($G282&lt;&gt;"",$G282&lt;TODAY()),"⚠ overdue",IF(AND($G282&lt;&gt;"",$G282&gt;=TODAY(),$G282-TODAY()&lt;=14),"⚠ due soon",IF($J282="","⚠ no responsible person",IF($I282="","⚠ missing payment account",IF(AND($L282&lt;&gt;"",TODAY()-$L282&gt;180),"⚠ not reviewed recently","")))))))</f>
        <v/>
      </c>
    </row>
    <row r="283">
      <c r="A283" s="9" t="n"/>
      <c r="B283" s="9" t="n"/>
      <c r="C283" s="9" t="n"/>
      <c r="D283" s="9" t="n"/>
      <c r="E283" s="10" t="n"/>
      <c r="F283" s="9" t="n"/>
      <c r="G283" s="19" t="n"/>
      <c r="H283" s="9" t="n"/>
      <c r="I283" s="9" t="n"/>
      <c r="J283" s="9" t="n"/>
      <c r="K283" s="9" t="n"/>
      <c r="L283" s="19" t="n"/>
      <c r="M283" s="9" t="n"/>
      <c r="N283" s="9" t="n"/>
      <c r="O283">
        <f>IF($A283="","",IF($K283="No","",IF(AND($G283&lt;&gt;"",$G283&lt;TODAY()),"⚠ overdue",IF(AND($G283&lt;&gt;"",$G283&gt;=TODAY(),$G283-TODAY()&lt;=14),"⚠ due soon",IF($J283="","⚠ no responsible person",IF($I283="","⚠ missing payment account",IF(AND($L283&lt;&gt;"",TODAY()-$L283&gt;180),"⚠ not reviewed recently","")))))))</f>
        <v/>
      </c>
    </row>
    <row r="284">
      <c r="A284" s="9" t="n"/>
      <c r="B284" s="9" t="n"/>
      <c r="C284" s="9" t="n"/>
      <c r="D284" s="9" t="n"/>
      <c r="E284" s="10" t="n"/>
      <c r="F284" s="9" t="n"/>
      <c r="G284" s="19" t="n"/>
      <c r="H284" s="9" t="n"/>
      <c r="I284" s="9" t="n"/>
      <c r="J284" s="9" t="n"/>
      <c r="K284" s="9" t="n"/>
      <c r="L284" s="19" t="n"/>
      <c r="M284" s="9" t="n"/>
      <c r="N284" s="9" t="n"/>
      <c r="O284">
        <f>IF($A284="","",IF($K284="No","",IF(AND($G284&lt;&gt;"",$G284&lt;TODAY()),"⚠ overdue",IF(AND($G284&lt;&gt;"",$G284&gt;=TODAY(),$G284-TODAY()&lt;=14),"⚠ due soon",IF($J284="","⚠ no responsible person",IF($I284="","⚠ missing payment account",IF(AND($L284&lt;&gt;"",TODAY()-$L284&gt;180),"⚠ not reviewed recently","")))))))</f>
        <v/>
      </c>
    </row>
    <row r="285">
      <c r="A285" s="9" t="n"/>
      <c r="B285" s="9" t="n"/>
      <c r="C285" s="9" t="n"/>
      <c r="D285" s="9" t="n"/>
      <c r="E285" s="10" t="n"/>
      <c r="F285" s="9" t="n"/>
      <c r="G285" s="19" t="n"/>
      <c r="H285" s="9" t="n"/>
      <c r="I285" s="9" t="n"/>
      <c r="J285" s="9" t="n"/>
      <c r="K285" s="9" t="n"/>
      <c r="L285" s="19" t="n"/>
      <c r="M285" s="9" t="n"/>
      <c r="N285" s="9" t="n"/>
      <c r="O285">
        <f>IF($A285="","",IF($K285="No","",IF(AND($G285&lt;&gt;"",$G285&lt;TODAY()),"⚠ overdue",IF(AND($G285&lt;&gt;"",$G285&gt;=TODAY(),$G285-TODAY()&lt;=14),"⚠ due soon",IF($J285="","⚠ no responsible person",IF($I285="","⚠ missing payment account",IF(AND($L285&lt;&gt;"",TODAY()-$L285&gt;180),"⚠ not reviewed recently","")))))))</f>
        <v/>
      </c>
    </row>
    <row r="286">
      <c r="A286" s="9" t="n"/>
      <c r="B286" s="9" t="n"/>
      <c r="C286" s="9" t="n"/>
      <c r="D286" s="9" t="n"/>
      <c r="E286" s="10" t="n"/>
      <c r="F286" s="9" t="n"/>
      <c r="G286" s="19" t="n"/>
      <c r="H286" s="9" t="n"/>
      <c r="I286" s="9" t="n"/>
      <c r="J286" s="9" t="n"/>
      <c r="K286" s="9" t="n"/>
      <c r="L286" s="19" t="n"/>
      <c r="M286" s="9" t="n"/>
      <c r="N286" s="9" t="n"/>
      <c r="O286">
        <f>IF($A286="","",IF($K286="No","",IF(AND($G286&lt;&gt;"",$G286&lt;TODAY()),"⚠ overdue",IF(AND($G286&lt;&gt;"",$G286&gt;=TODAY(),$G286-TODAY()&lt;=14),"⚠ due soon",IF($J286="","⚠ no responsible person",IF($I286="","⚠ missing payment account",IF(AND($L286&lt;&gt;"",TODAY()-$L286&gt;180),"⚠ not reviewed recently","")))))))</f>
        <v/>
      </c>
    </row>
    <row r="287">
      <c r="A287" s="9" t="n"/>
      <c r="B287" s="9" t="n"/>
      <c r="C287" s="9" t="n"/>
      <c r="D287" s="9" t="n"/>
      <c r="E287" s="10" t="n"/>
      <c r="F287" s="9" t="n"/>
      <c r="G287" s="19" t="n"/>
      <c r="H287" s="9" t="n"/>
      <c r="I287" s="9" t="n"/>
      <c r="J287" s="9" t="n"/>
      <c r="K287" s="9" t="n"/>
      <c r="L287" s="19" t="n"/>
      <c r="M287" s="9" t="n"/>
      <c r="N287" s="9" t="n"/>
      <c r="O287">
        <f>IF($A287="","",IF($K287="No","",IF(AND($G287&lt;&gt;"",$G287&lt;TODAY()),"⚠ overdue",IF(AND($G287&lt;&gt;"",$G287&gt;=TODAY(),$G287-TODAY()&lt;=14),"⚠ due soon",IF($J287="","⚠ no responsible person",IF($I287="","⚠ missing payment account",IF(AND($L287&lt;&gt;"",TODAY()-$L287&gt;180),"⚠ not reviewed recently","")))))))</f>
        <v/>
      </c>
    </row>
    <row r="288">
      <c r="A288" s="9" t="n"/>
      <c r="B288" s="9" t="n"/>
      <c r="C288" s="9" t="n"/>
      <c r="D288" s="9" t="n"/>
      <c r="E288" s="10" t="n"/>
      <c r="F288" s="9" t="n"/>
      <c r="G288" s="19" t="n"/>
      <c r="H288" s="9" t="n"/>
      <c r="I288" s="9" t="n"/>
      <c r="J288" s="9" t="n"/>
      <c r="K288" s="9" t="n"/>
      <c r="L288" s="19" t="n"/>
      <c r="M288" s="9" t="n"/>
      <c r="N288" s="9" t="n"/>
      <c r="O288">
        <f>IF($A288="","",IF($K288="No","",IF(AND($G288&lt;&gt;"",$G288&lt;TODAY()),"⚠ overdue",IF(AND($G288&lt;&gt;"",$G288&gt;=TODAY(),$G288-TODAY()&lt;=14),"⚠ due soon",IF($J288="","⚠ no responsible person",IF($I288="","⚠ missing payment account",IF(AND($L288&lt;&gt;"",TODAY()-$L288&gt;180),"⚠ not reviewed recently","")))))))</f>
        <v/>
      </c>
    </row>
    <row r="289">
      <c r="A289" s="9" t="n"/>
      <c r="B289" s="9" t="n"/>
      <c r="C289" s="9" t="n"/>
      <c r="D289" s="9" t="n"/>
      <c r="E289" s="10" t="n"/>
      <c r="F289" s="9" t="n"/>
      <c r="G289" s="19" t="n"/>
      <c r="H289" s="9" t="n"/>
      <c r="I289" s="9" t="n"/>
      <c r="J289" s="9" t="n"/>
      <c r="K289" s="9" t="n"/>
      <c r="L289" s="19" t="n"/>
      <c r="M289" s="9" t="n"/>
      <c r="N289" s="9" t="n"/>
      <c r="O289">
        <f>IF($A289="","",IF($K289="No","",IF(AND($G289&lt;&gt;"",$G289&lt;TODAY()),"⚠ overdue",IF(AND($G289&lt;&gt;"",$G289&gt;=TODAY(),$G289-TODAY()&lt;=14),"⚠ due soon",IF($J289="","⚠ no responsible person",IF($I289="","⚠ missing payment account",IF(AND($L289&lt;&gt;"",TODAY()-$L289&gt;180),"⚠ not reviewed recently","")))))))</f>
        <v/>
      </c>
    </row>
    <row r="290">
      <c r="A290" s="9" t="n"/>
      <c r="B290" s="9" t="n"/>
      <c r="C290" s="9" t="n"/>
      <c r="D290" s="9" t="n"/>
      <c r="E290" s="10" t="n"/>
      <c r="F290" s="9" t="n"/>
      <c r="G290" s="19" t="n"/>
      <c r="H290" s="9" t="n"/>
      <c r="I290" s="9" t="n"/>
      <c r="J290" s="9" t="n"/>
      <c r="K290" s="9" t="n"/>
      <c r="L290" s="19" t="n"/>
      <c r="M290" s="9" t="n"/>
      <c r="N290" s="9" t="n"/>
      <c r="O290">
        <f>IF($A290="","",IF($K290="No","",IF(AND($G290&lt;&gt;"",$G290&lt;TODAY()),"⚠ overdue",IF(AND($G290&lt;&gt;"",$G290&gt;=TODAY(),$G290-TODAY()&lt;=14),"⚠ due soon",IF($J290="","⚠ no responsible person",IF($I290="","⚠ missing payment account",IF(AND($L290&lt;&gt;"",TODAY()-$L290&gt;180),"⚠ not reviewed recently","")))))))</f>
        <v/>
      </c>
    </row>
    <row r="291">
      <c r="A291" s="9" t="n"/>
      <c r="B291" s="9" t="n"/>
      <c r="C291" s="9" t="n"/>
      <c r="D291" s="9" t="n"/>
      <c r="E291" s="10" t="n"/>
      <c r="F291" s="9" t="n"/>
      <c r="G291" s="19" t="n"/>
      <c r="H291" s="9" t="n"/>
      <c r="I291" s="9" t="n"/>
      <c r="J291" s="9" t="n"/>
      <c r="K291" s="9" t="n"/>
      <c r="L291" s="19" t="n"/>
      <c r="M291" s="9" t="n"/>
      <c r="N291" s="9" t="n"/>
      <c r="O291">
        <f>IF($A291="","",IF($K291="No","",IF(AND($G291&lt;&gt;"",$G291&lt;TODAY()),"⚠ overdue",IF(AND($G291&lt;&gt;"",$G291&gt;=TODAY(),$G291-TODAY()&lt;=14),"⚠ due soon",IF($J291="","⚠ no responsible person",IF($I291="","⚠ missing payment account",IF(AND($L291&lt;&gt;"",TODAY()-$L291&gt;180),"⚠ not reviewed recently","")))))))</f>
        <v/>
      </c>
    </row>
    <row r="292">
      <c r="A292" s="9" t="n"/>
      <c r="B292" s="9" t="n"/>
      <c r="C292" s="9" t="n"/>
      <c r="D292" s="9" t="n"/>
      <c r="E292" s="10" t="n"/>
      <c r="F292" s="9" t="n"/>
      <c r="G292" s="19" t="n"/>
      <c r="H292" s="9" t="n"/>
      <c r="I292" s="9" t="n"/>
      <c r="J292" s="9" t="n"/>
      <c r="K292" s="9" t="n"/>
      <c r="L292" s="19" t="n"/>
      <c r="M292" s="9" t="n"/>
      <c r="N292" s="9" t="n"/>
      <c r="O292">
        <f>IF($A292="","",IF($K292="No","",IF(AND($G292&lt;&gt;"",$G292&lt;TODAY()),"⚠ overdue",IF(AND($G292&lt;&gt;"",$G292&gt;=TODAY(),$G292-TODAY()&lt;=14),"⚠ due soon",IF($J292="","⚠ no responsible person",IF($I292="","⚠ missing payment account",IF(AND($L292&lt;&gt;"",TODAY()-$L292&gt;180),"⚠ not reviewed recently","")))))))</f>
        <v/>
      </c>
    </row>
    <row r="293">
      <c r="A293" s="9" t="n"/>
      <c r="B293" s="9" t="n"/>
      <c r="C293" s="9" t="n"/>
      <c r="D293" s="9" t="n"/>
      <c r="E293" s="10" t="n"/>
      <c r="F293" s="9" t="n"/>
      <c r="G293" s="19" t="n"/>
      <c r="H293" s="9" t="n"/>
      <c r="I293" s="9" t="n"/>
      <c r="J293" s="9" t="n"/>
      <c r="K293" s="9" t="n"/>
      <c r="L293" s="19" t="n"/>
      <c r="M293" s="9" t="n"/>
      <c r="N293" s="9" t="n"/>
      <c r="O293">
        <f>IF($A293="","",IF($K293="No","",IF(AND($G293&lt;&gt;"",$G293&lt;TODAY()),"⚠ overdue",IF(AND($G293&lt;&gt;"",$G293&gt;=TODAY(),$G293-TODAY()&lt;=14),"⚠ due soon",IF($J293="","⚠ no responsible person",IF($I293="","⚠ missing payment account",IF(AND($L293&lt;&gt;"",TODAY()-$L293&gt;180),"⚠ not reviewed recently","")))))))</f>
        <v/>
      </c>
    </row>
    <row r="294">
      <c r="A294" s="9" t="n"/>
      <c r="B294" s="9" t="n"/>
      <c r="C294" s="9" t="n"/>
      <c r="D294" s="9" t="n"/>
      <c r="E294" s="10" t="n"/>
      <c r="F294" s="9" t="n"/>
      <c r="G294" s="19" t="n"/>
      <c r="H294" s="9" t="n"/>
      <c r="I294" s="9" t="n"/>
      <c r="J294" s="9" t="n"/>
      <c r="K294" s="9" t="n"/>
      <c r="L294" s="19" t="n"/>
      <c r="M294" s="9" t="n"/>
      <c r="N294" s="9" t="n"/>
      <c r="O294">
        <f>IF($A294="","",IF($K294="No","",IF(AND($G294&lt;&gt;"",$G294&lt;TODAY()),"⚠ overdue",IF(AND($G294&lt;&gt;"",$G294&gt;=TODAY(),$G294-TODAY()&lt;=14),"⚠ due soon",IF($J294="","⚠ no responsible person",IF($I294="","⚠ missing payment account",IF(AND($L294&lt;&gt;"",TODAY()-$L294&gt;180),"⚠ not reviewed recently","")))))))</f>
        <v/>
      </c>
    </row>
    <row r="295">
      <c r="A295" s="9" t="n"/>
      <c r="B295" s="9" t="n"/>
      <c r="C295" s="9" t="n"/>
      <c r="D295" s="9" t="n"/>
      <c r="E295" s="10" t="n"/>
      <c r="F295" s="9" t="n"/>
      <c r="G295" s="19" t="n"/>
      <c r="H295" s="9" t="n"/>
      <c r="I295" s="9" t="n"/>
      <c r="J295" s="9" t="n"/>
      <c r="K295" s="9" t="n"/>
      <c r="L295" s="19" t="n"/>
      <c r="M295" s="9" t="n"/>
      <c r="N295" s="9" t="n"/>
      <c r="O295">
        <f>IF($A295="","",IF($K295="No","",IF(AND($G295&lt;&gt;"",$G295&lt;TODAY()),"⚠ overdue",IF(AND($G295&lt;&gt;"",$G295&gt;=TODAY(),$G295-TODAY()&lt;=14),"⚠ due soon",IF($J295="","⚠ no responsible person",IF($I295="","⚠ missing payment account",IF(AND($L295&lt;&gt;"",TODAY()-$L295&gt;180),"⚠ not reviewed recently","")))))))</f>
        <v/>
      </c>
    </row>
    <row r="296">
      <c r="A296" s="9" t="n"/>
      <c r="B296" s="9" t="n"/>
      <c r="C296" s="9" t="n"/>
      <c r="D296" s="9" t="n"/>
      <c r="E296" s="10" t="n"/>
      <c r="F296" s="9" t="n"/>
      <c r="G296" s="19" t="n"/>
      <c r="H296" s="9" t="n"/>
      <c r="I296" s="9" t="n"/>
      <c r="J296" s="9" t="n"/>
      <c r="K296" s="9" t="n"/>
      <c r="L296" s="19" t="n"/>
      <c r="M296" s="9" t="n"/>
      <c r="N296" s="9" t="n"/>
      <c r="O296">
        <f>IF($A296="","",IF($K296="No","",IF(AND($G296&lt;&gt;"",$G296&lt;TODAY()),"⚠ overdue",IF(AND($G296&lt;&gt;"",$G296&gt;=TODAY(),$G296-TODAY()&lt;=14),"⚠ due soon",IF($J296="","⚠ no responsible person",IF($I296="","⚠ missing payment account",IF(AND($L296&lt;&gt;"",TODAY()-$L296&gt;180),"⚠ not reviewed recently","")))))))</f>
        <v/>
      </c>
    </row>
    <row r="297">
      <c r="A297" s="9" t="n"/>
      <c r="B297" s="9" t="n"/>
      <c r="C297" s="9" t="n"/>
      <c r="D297" s="9" t="n"/>
      <c r="E297" s="10" t="n"/>
      <c r="F297" s="9" t="n"/>
      <c r="G297" s="19" t="n"/>
      <c r="H297" s="9" t="n"/>
      <c r="I297" s="9" t="n"/>
      <c r="J297" s="9" t="n"/>
      <c r="K297" s="9" t="n"/>
      <c r="L297" s="19" t="n"/>
      <c r="M297" s="9" t="n"/>
      <c r="N297" s="9" t="n"/>
      <c r="O297">
        <f>IF($A297="","",IF($K297="No","",IF(AND($G297&lt;&gt;"",$G297&lt;TODAY()),"⚠ overdue",IF(AND($G297&lt;&gt;"",$G297&gt;=TODAY(),$G297-TODAY()&lt;=14),"⚠ due soon",IF($J297="","⚠ no responsible person",IF($I297="","⚠ missing payment account",IF(AND($L297&lt;&gt;"",TODAY()-$L297&gt;180),"⚠ not reviewed recently","")))))))</f>
        <v/>
      </c>
    </row>
    <row r="298">
      <c r="A298" s="9" t="n"/>
      <c r="B298" s="9" t="n"/>
      <c r="C298" s="9" t="n"/>
      <c r="D298" s="9" t="n"/>
      <c r="E298" s="10" t="n"/>
      <c r="F298" s="9" t="n"/>
      <c r="G298" s="19" t="n"/>
      <c r="H298" s="9" t="n"/>
      <c r="I298" s="9" t="n"/>
      <c r="J298" s="9" t="n"/>
      <c r="K298" s="9" t="n"/>
      <c r="L298" s="19" t="n"/>
      <c r="M298" s="9" t="n"/>
      <c r="N298" s="9" t="n"/>
      <c r="O298">
        <f>IF($A298="","",IF($K298="No","",IF(AND($G298&lt;&gt;"",$G298&lt;TODAY()),"⚠ overdue",IF(AND($G298&lt;&gt;"",$G298&gt;=TODAY(),$G298-TODAY()&lt;=14),"⚠ due soon",IF($J298="","⚠ no responsible person",IF($I298="","⚠ missing payment account",IF(AND($L298&lt;&gt;"",TODAY()-$L298&gt;180),"⚠ not reviewed recently","")))))))</f>
        <v/>
      </c>
    </row>
    <row r="299">
      <c r="A299" s="9" t="n"/>
      <c r="B299" s="9" t="n"/>
      <c r="C299" s="9" t="n"/>
      <c r="D299" s="9" t="n"/>
      <c r="E299" s="10" t="n"/>
      <c r="F299" s="9" t="n"/>
      <c r="G299" s="19" t="n"/>
      <c r="H299" s="9" t="n"/>
      <c r="I299" s="9" t="n"/>
      <c r="J299" s="9" t="n"/>
      <c r="K299" s="9" t="n"/>
      <c r="L299" s="19" t="n"/>
      <c r="M299" s="9" t="n"/>
      <c r="N299" s="9" t="n"/>
      <c r="O299">
        <f>IF($A299="","",IF($K299="No","",IF(AND($G299&lt;&gt;"",$G299&lt;TODAY()),"⚠ overdue",IF(AND($G299&lt;&gt;"",$G299&gt;=TODAY(),$G299-TODAY()&lt;=14),"⚠ due soon",IF($J299="","⚠ no responsible person",IF($I299="","⚠ missing payment account",IF(AND($L299&lt;&gt;"",TODAY()-$L299&gt;180),"⚠ not reviewed recently","")))))))</f>
        <v/>
      </c>
    </row>
    <row r="300">
      <c r="A300" s="9" t="n"/>
      <c r="B300" s="9" t="n"/>
      <c r="C300" s="9" t="n"/>
      <c r="D300" s="9" t="n"/>
      <c r="E300" s="10" t="n"/>
      <c r="F300" s="9" t="n"/>
      <c r="G300" s="19" t="n"/>
      <c r="H300" s="9" t="n"/>
      <c r="I300" s="9" t="n"/>
      <c r="J300" s="9" t="n"/>
      <c r="K300" s="9" t="n"/>
      <c r="L300" s="19" t="n"/>
      <c r="M300" s="9" t="n"/>
      <c r="N300" s="9" t="n"/>
      <c r="O300">
        <f>IF($A300="","",IF($K300="No","",IF(AND($G300&lt;&gt;"",$G300&lt;TODAY()),"⚠ overdue",IF(AND($G300&lt;&gt;"",$G300&gt;=TODAY(),$G300-TODAY()&lt;=14),"⚠ due soon",IF($J300="","⚠ no responsible person",IF($I300="","⚠ missing payment account",IF(AND($L300&lt;&gt;"",TODAY()-$L300&gt;180),"⚠ not reviewed recently","")))))))</f>
        <v/>
      </c>
    </row>
    <row r="301">
      <c r="A301" s="9" t="n"/>
      <c r="B301" s="9" t="n"/>
      <c r="C301" s="9" t="n"/>
      <c r="D301" s="9" t="n"/>
      <c r="E301" s="10" t="n"/>
      <c r="F301" s="9" t="n"/>
      <c r="G301" s="19" t="n"/>
      <c r="H301" s="9" t="n"/>
      <c r="I301" s="9" t="n"/>
      <c r="J301" s="9" t="n"/>
      <c r="K301" s="9" t="n"/>
      <c r="L301" s="19" t="n"/>
      <c r="M301" s="9" t="n"/>
      <c r="N301" s="9" t="n"/>
      <c r="O301">
        <f>IF($A301="","",IF($K301="No","",IF(AND($G301&lt;&gt;"",$G301&lt;TODAY()),"⚠ overdue",IF(AND($G301&lt;&gt;"",$G301&gt;=TODAY(),$G301-TODAY()&lt;=14),"⚠ due soon",IF($J301="","⚠ no responsible person",IF($I301="","⚠ missing payment account",IF(AND($L301&lt;&gt;"",TODAY()-$L301&gt;180),"⚠ not reviewed recently","")))))))</f>
        <v/>
      </c>
    </row>
    <row r="302">
      <c r="A302" s="9" t="n"/>
      <c r="B302" s="9" t="n"/>
      <c r="C302" s="9" t="n"/>
      <c r="D302" s="9" t="n"/>
      <c r="E302" s="10" t="n"/>
      <c r="F302" s="9" t="n"/>
      <c r="G302" s="19" t="n"/>
      <c r="H302" s="9" t="n"/>
      <c r="I302" s="9" t="n"/>
      <c r="J302" s="9" t="n"/>
      <c r="K302" s="9" t="n"/>
      <c r="L302" s="19" t="n"/>
      <c r="M302" s="9" t="n"/>
      <c r="N302" s="9" t="n"/>
      <c r="O302">
        <f>IF($A302="","",IF($K302="No","",IF(AND($G302&lt;&gt;"",$G302&lt;TODAY()),"⚠ overdue",IF(AND($G302&lt;&gt;"",$G302&gt;=TODAY(),$G302-TODAY()&lt;=14),"⚠ due soon",IF($J302="","⚠ no responsible person",IF($I302="","⚠ missing payment account",IF(AND($L302&lt;&gt;"",TODAY()-$L302&gt;180),"⚠ not reviewed recently","")))))))</f>
        <v/>
      </c>
    </row>
    <row r="303">
      <c r="A303" s="9" t="n"/>
      <c r="B303" s="9" t="n"/>
      <c r="C303" s="9" t="n"/>
      <c r="D303" s="9" t="n"/>
      <c r="E303" s="10" t="n"/>
      <c r="F303" s="9" t="n"/>
      <c r="G303" s="19" t="n"/>
      <c r="H303" s="9" t="n"/>
      <c r="I303" s="9" t="n"/>
      <c r="J303" s="9" t="n"/>
      <c r="K303" s="9" t="n"/>
      <c r="L303" s="19" t="n"/>
      <c r="M303" s="9" t="n"/>
      <c r="N303" s="9" t="n"/>
      <c r="O303">
        <f>IF($A303="","",IF($K303="No","",IF(AND($G303&lt;&gt;"",$G303&lt;TODAY()),"⚠ overdue",IF(AND($G303&lt;&gt;"",$G303&gt;=TODAY(),$G303-TODAY()&lt;=14),"⚠ due soon",IF($J303="","⚠ no responsible person",IF($I303="","⚠ missing payment account",IF(AND($L303&lt;&gt;"",TODAY()-$L303&gt;180),"⚠ not reviewed recently","")))))))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O4:O303">
    <cfRule type="cellIs" priority="1" operator="equal" dxfId="0">
      <formula>"⚠ overdue"</formula>
    </cfRule>
  </conditionalFormatting>
  <dataValidations count="4">
    <dataValidation sqref="B4:B303" showDropDown="0" showInputMessage="0" showErrorMessage="0" allowBlank="1" type="list">
      <formula1>"Housing,Utilities,Insurance,Medical,Pharmacy,Care Services,Transportation,Phone/Internet,Subscriptions,Debt,Taxes/Fees,Other"</formula1>
    </dataValidation>
    <dataValidation sqref="F4:F303" showDropDown="0" showInputMessage="0" showErrorMessage="0" allowBlank="1" type="list">
      <formula1>"Monthly,Annual,Weekly,Quarterly"</formula1>
    </dataValidation>
    <dataValidation sqref="H4:H303" showDropDown="0" showInputMessage="0" showErrorMessage="0" allowBlank="1" type="list">
      <formula1>"Yes,No"</formula1>
    </dataValidation>
    <dataValidation sqref="K4:K30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100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37" customWidth="1" min="4" max="4"/>
    <col width="16" customWidth="1" min="5" max="5"/>
    <col width="19" customWidth="1" min="6" max="6"/>
    <col width="11" customWidth="1" min="7" max="7"/>
    <col width="19" customWidth="1" min="8" max="8"/>
    <col width="17" customWidth="1" min="9" max="9"/>
    <col width="20" customWidth="1" min="10" max="10"/>
    <col width="25" customWidth="1" min="11" max="11"/>
    <col width="31" customWidth="1" min="12" max="12"/>
    <col width="29" customWidth="1" min="13" max="13"/>
    <col width="35" customWidth="1" min="14" max="14"/>
    <col width="26" customWidth="1" min="15" max="15"/>
    <col width="19" customWidth="1" min="16" max="16"/>
  </cols>
  <sheetData>
    <row r="1">
      <c r="A1" s="8" t="inlineStr">
        <is>
          <t>EXPENSES &amp; RECEIPTS</t>
        </is>
      </c>
    </row>
    <row r="2">
      <c r="A2" s="2" t="inlineStr">
        <is>
          <t>Log every caregiving expense as it happens. Reimbursement Status, Reimbursed Amount, and Remaining Reimbursement update automatically once you record payments on the Family Contributions tab.</t>
        </is>
      </c>
    </row>
    <row r="3">
      <c r="A3" s="20" t="inlineStr">
        <is>
          <t>Expense ID</t>
        </is>
      </c>
      <c r="B3" s="20" t="inlineStr">
        <is>
          <t>Date</t>
        </is>
      </c>
      <c r="C3" s="20" t="inlineStr">
        <is>
          <t>Category</t>
        </is>
      </c>
      <c r="D3" s="20" t="inlineStr">
        <is>
          <t>Description</t>
        </is>
      </c>
      <c r="E3" s="20" t="inlineStr">
        <is>
          <t>Paid By</t>
        </is>
      </c>
      <c r="F3" s="20" t="inlineStr">
        <is>
          <t>Payment Method</t>
        </is>
      </c>
      <c r="G3" s="20" t="inlineStr">
        <is>
          <t>Amount</t>
        </is>
      </c>
      <c r="H3" s="20" t="inlineStr">
        <is>
          <t>Parent Expense?</t>
        </is>
      </c>
      <c r="I3" s="20" t="inlineStr">
        <is>
          <t>Reimbursable?</t>
        </is>
      </c>
      <c r="J3" s="20" t="inlineStr">
        <is>
          <t>Receipt Available?</t>
        </is>
      </c>
      <c r="K3" s="20" t="inlineStr">
        <is>
          <t>Receipt/Document Link</t>
        </is>
      </c>
      <c r="L3" s="20" t="inlineStr">
        <is>
          <t>Reimbursement Status (auto)</t>
        </is>
      </c>
      <c r="M3" s="20" t="inlineStr">
        <is>
          <t>Reimbursed Amount (auto)</t>
        </is>
      </c>
      <c r="N3" s="20" t="inlineStr">
        <is>
          <t>Remaining Reimbursement (auto)</t>
        </is>
      </c>
      <c r="O3" s="1" t="inlineStr">
        <is>
          <t>Notes</t>
        </is>
      </c>
      <c r="P3" s="1" t="inlineStr">
        <is>
          <t>Flag as Disputed?</t>
        </is>
      </c>
    </row>
    <row r="4">
      <c r="A4" s="9" t="inlineStr">
        <is>
          <t>E1</t>
        </is>
      </c>
      <c r="B4" s="19" t="n">
        <v>46268</v>
      </c>
      <c r="C4" s="9" t="inlineStr">
        <is>
          <t>Home Repair</t>
        </is>
      </c>
      <c r="D4" s="9" t="inlineStr">
        <is>
          <t>Emergency plumber call, kitchen leak</t>
        </is>
      </c>
      <c r="E4" s="9" t="inlineStr">
        <is>
          <t>Sarah Chen</t>
        </is>
      </c>
      <c r="F4" s="9" t="inlineStr">
        <is>
          <t>Card</t>
        </is>
      </c>
      <c r="G4" s="10" t="n">
        <v>600</v>
      </c>
      <c r="H4" s="9" t="inlineStr">
        <is>
          <t>Yes</t>
        </is>
      </c>
      <c r="I4" s="9" t="inlineStr">
        <is>
          <t>Yes</t>
        </is>
      </c>
      <c r="J4" s="9" t="inlineStr">
        <is>
          <t>Yes</t>
        </is>
      </c>
      <c r="K4" s="9" t="inlineStr"/>
      <c r="L4">
        <f>IF($A4="","",IF($P4="Yes","Disputed / Review",IF($I4&lt;&gt;"Yes","Not Reimbursable",IF($M4&lt;=0.004,"Pending",IF($N4&lt;=0.004,"Reimbursed","Partially Reimbursed")))))</f>
        <v/>
      </c>
      <c r="M4" s="12">
        <f>IF($A4="",0,SUMIF('Family Contributions'!$I$4:$I$1003,$A4,'Family Contributions'!$G$4:$G$1003))</f>
        <v/>
      </c>
      <c r="N4" s="12">
        <f>IF($A4="",0,IF($I4="Yes",IF(ISNUMBER($G4),$G4,0)-$M4,0))</f>
        <v/>
      </c>
      <c r="O4" s="9" t="inlineStr"/>
      <c r="P4" s="9" t="inlineStr">
        <is>
          <t>No</t>
        </is>
      </c>
    </row>
    <row r="5">
      <c r="A5" s="9" t="inlineStr">
        <is>
          <t>E2</t>
        </is>
      </c>
      <c r="B5" s="19" t="n">
        <v>46274</v>
      </c>
      <c r="C5" s="9" t="inlineStr">
        <is>
          <t>Pharmacy</t>
        </is>
      </c>
      <c r="D5" s="9" t="inlineStr">
        <is>
          <t>Prescription not covered by insurance</t>
        </is>
      </c>
      <c r="E5" s="9" t="inlineStr">
        <is>
          <t>Sarah Chen</t>
        </is>
      </c>
      <c r="F5" s="9" t="inlineStr">
        <is>
          <t>Card</t>
        </is>
      </c>
      <c r="G5" s="10" t="n">
        <v>180</v>
      </c>
      <c r="H5" s="9" t="inlineStr">
        <is>
          <t>Yes</t>
        </is>
      </c>
      <c r="I5" s="9" t="inlineStr">
        <is>
          <t>Yes</t>
        </is>
      </c>
      <c r="J5" s="9" t="inlineStr">
        <is>
          <t>Yes</t>
        </is>
      </c>
      <c r="K5" s="9" t="inlineStr"/>
      <c r="L5">
        <f>IF($A5="","",IF($P5="Yes","Disputed / Review",IF($I5&lt;&gt;"Yes","Not Reimbursable",IF($M5&lt;=0.004,"Pending",IF($N5&lt;=0.004,"Reimbursed","Partially Reimbursed")))))</f>
        <v/>
      </c>
      <c r="M5" s="12">
        <f>IF($A5="",0,SUMIF('Family Contributions'!$I$4:$I$1003,$A5,'Family Contributions'!$G$4:$G$1003))</f>
        <v/>
      </c>
      <c r="N5" s="12">
        <f>IF($A5="",0,IF($I5="Yes",IF(ISNUMBER($G5),$G5,0)-$M5,0))</f>
        <v/>
      </c>
      <c r="O5" s="9" t="inlineStr"/>
      <c r="P5" s="9" t="inlineStr">
        <is>
          <t>No</t>
        </is>
      </c>
    </row>
    <row r="6">
      <c r="A6" s="9" t="inlineStr">
        <is>
          <t>E3</t>
        </is>
      </c>
      <c r="B6" s="19" t="n">
        <v>46277</v>
      </c>
      <c r="C6" s="9" t="inlineStr">
        <is>
          <t>Medical</t>
        </is>
      </c>
      <c r="D6" s="9" t="inlineStr">
        <is>
          <t>Specialist copay (Dr. visit)</t>
        </is>
      </c>
      <c r="E6" s="9" t="inlineStr">
        <is>
          <t>Rachel Brooks</t>
        </is>
      </c>
      <c r="F6" s="9" t="inlineStr">
        <is>
          <t>Card</t>
        </is>
      </c>
      <c r="G6" s="10" t="n">
        <v>50</v>
      </c>
      <c r="H6" s="9" t="inlineStr">
        <is>
          <t>Yes</t>
        </is>
      </c>
      <c r="I6" s="9" t="inlineStr">
        <is>
          <t>Yes</t>
        </is>
      </c>
      <c r="J6" s="9" t="inlineStr">
        <is>
          <t>Yes</t>
        </is>
      </c>
      <c r="K6" s="9" t="inlineStr"/>
      <c r="L6">
        <f>IF($A6="","",IF($P6="Yes","Disputed / Review",IF($I6&lt;&gt;"Yes","Not Reimbursable",IF($M6&lt;=0.004,"Pending",IF($N6&lt;=0.004,"Reimbursed","Partially Reimbursed")))))</f>
        <v/>
      </c>
      <c r="M6" s="12">
        <f>IF($A6="",0,SUMIF('Family Contributions'!$I$4:$I$1003,$A6,'Family Contributions'!$G$4:$G$1003))</f>
        <v/>
      </c>
      <c r="N6" s="12">
        <f>IF($A6="",0,IF($I6="Yes",IF(ISNUMBER($G6),$G6,0)-$M6,0))</f>
        <v/>
      </c>
      <c r="O6" s="9" t="inlineStr"/>
      <c r="P6" s="9" t="inlineStr">
        <is>
          <t>No</t>
        </is>
      </c>
    </row>
    <row r="7">
      <c r="A7" s="9" t="inlineStr">
        <is>
          <t>E4</t>
        </is>
      </c>
      <c r="B7" s="19" t="n">
        <v>46279</v>
      </c>
      <c r="C7" s="9" t="inlineStr">
        <is>
          <t>Care Services</t>
        </is>
      </c>
      <c r="D7" s="9" t="inlineStr">
        <is>
          <t>Extra weekend home aide shift</t>
        </is>
      </c>
      <c r="E7" s="9" t="inlineStr">
        <is>
          <t>Michael Brooks</t>
        </is>
      </c>
      <c r="F7" s="9" t="inlineStr">
        <is>
          <t>Bank Transfer</t>
        </is>
      </c>
      <c r="G7" s="10" t="n">
        <v>160</v>
      </c>
      <c r="H7" s="9" t="inlineStr">
        <is>
          <t>Yes</t>
        </is>
      </c>
      <c r="I7" s="9" t="inlineStr">
        <is>
          <t>Yes</t>
        </is>
      </c>
      <c r="J7" s="9" t="inlineStr">
        <is>
          <t>Yes</t>
        </is>
      </c>
      <c r="K7" s="9" t="inlineStr"/>
      <c r="L7">
        <f>IF($A7="","",IF($P7="Yes","Disputed / Review",IF($I7&lt;&gt;"Yes","Not Reimbursable",IF($M7&lt;=0.004,"Pending",IF($N7&lt;=0.004,"Reimbursed","Partially Reimbursed")))))</f>
        <v/>
      </c>
      <c r="M7" s="12">
        <f>IF($A7="",0,SUMIF('Family Contributions'!$I$4:$I$1003,$A7,'Family Contributions'!$G$4:$G$1003))</f>
        <v/>
      </c>
      <c r="N7" s="12">
        <f>IF($A7="",0,IF($I7="Yes",IF(ISNUMBER($G7),$G7,0)-$M7,0))</f>
        <v/>
      </c>
      <c r="O7" s="9" t="inlineStr"/>
      <c r="P7" s="9" t="inlineStr">
        <is>
          <t>Yes</t>
        </is>
      </c>
    </row>
    <row r="8">
      <c r="A8" s="9" t="inlineStr">
        <is>
          <t>E5</t>
        </is>
      </c>
      <c r="B8" s="19" t="n">
        <v>46281</v>
      </c>
      <c r="C8" s="9" t="inlineStr">
        <is>
          <t>Transportation</t>
        </is>
      </c>
      <c r="D8" s="9" t="inlineStr">
        <is>
          <t>One-off rideshare to hospital</t>
        </is>
      </c>
      <c r="E8" s="9" t="inlineStr">
        <is>
          <t>Sarah Chen</t>
        </is>
      </c>
      <c r="F8" s="9" t="inlineStr">
        <is>
          <t>Card</t>
        </is>
      </c>
      <c r="G8" s="10" t="n">
        <v>34.5</v>
      </c>
      <c r="H8" s="9" t="inlineStr">
        <is>
          <t>Yes</t>
        </is>
      </c>
      <c r="I8" s="9" t="inlineStr">
        <is>
          <t>Yes</t>
        </is>
      </c>
      <c r="J8" s="9" t="inlineStr">
        <is>
          <t>No</t>
        </is>
      </c>
      <c r="K8" s="9" t="inlineStr"/>
      <c r="L8">
        <f>IF($A8="","",IF($P8="Yes","Disputed / Review",IF($I8&lt;&gt;"Yes","Not Reimbursable",IF($M8&lt;=0.004,"Pending",IF($N8&lt;=0.004,"Reimbursed","Partially Reimbursed")))))</f>
        <v/>
      </c>
      <c r="M8" s="12">
        <f>IF($A8="",0,SUMIF('Family Contributions'!$I$4:$I$1003,$A8,'Family Contributions'!$G$4:$G$1003))</f>
        <v/>
      </c>
      <c r="N8" s="12">
        <f>IF($A8="",0,IF($I8="Yes",IF(ISNUMBER($G8),$G8,0)-$M8,0))</f>
        <v/>
      </c>
      <c r="O8" s="9" t="inlineStr"/>
      <c r="P8" s="9" t="inlineStr">
        <is>
          <t>No</t>
        </is>
      </c>
    </row>
    <row r="9">
      <c r="A9" s="9" t="inlineStr">
        <is>
          <t>E6</t>
        </is>
      </c>
      <c r="B9" s="19" t="n">
        <v>46272</v>
      </c>
      <c r="C9" s="9" t="inlineStr">
        <is>
          <t>Groceries</t>
        </is>
      </c>
      <c r="D9" s="9" t="inlineStr">
        <is>
          <t>Weekly grocery run, Eleanor's own card</t>
        </is>
      </c>
      <c r="E9" s="9" t="inlineStr">
        <is>
          <t>Parent Account</t>
        </is>
      </c>
      <c r="F9" s="9" t="inlineStr">
        <is>
          <t>Card</t>
        </is>
      </c>
      <c r="G9" s="10" t="n">
        <v>92</v>
      </c>
      <c r="H9" s="9" t="inlineStr">
        <is>
          <t>Yes</t>
        </is>
      </c>
      <c r="I9" s="9" t="inlineStr">
        <is>
          <t>No</t>
        </is>
      </c>
      <c r="J9" s="9" t="inlineStr">
        <is>
          <t>Yes</t>
        </is>
      </c>
      <c r="K9" s="9" t="inlineStr"/>
      <c r="L9">
        <f>IF($A9="","",IF($P9="Yes","Disputed / Review",IF($I9&lt;&gt;"Yes","Not Reimbursable",IF($M9&lt;=0.004,"Pending",IF($N9&lt;=0.004,"Reimbursed","Partially Reimbursed")))))</f>
        <v/>
      </c>
      <c r="M9" s="12">
        <f>IF($A9="",0,SUMIF('Family Contributions'!$I$4:$I$1003,$A9,'Family Contributions'!$G$4:$G$1003))</f>
        <v/>
      </c>
      <c r="N9" s="12">
        <f>IF($A9="",0,IF($I9="Yes",IF(ISNUMBER($G9),$G9,0)-$M9,0))</f>
        <v/>
      </c>
      <c r="O9" s="9" t="inlineStr"/>
      <c r="P9" s="9" t="inlineStr">
        <is>
          <t>No</t>
        </is>
      </c>
    </row>
    <row r="10">
      <c r="A10" s="9" t="inlineStr">
        <is>
          <t>E7</t>
        </is>
      </c>
      <c r="B10" s="19" t="n">
        <v>46284</v>
      </c>
      <c r="C10" s="9" t="inlineStr">
        <is>
          <t>Medical</t>
        </is>
      </c>
      <c r="D10" s="9" t="inlineStr">
        <is>
          <t>Dental copay</t>
        </is>
      </c>
      <c r="E10" s="9" t="inlineStr">
        <is>
          <t>Michael Brooks</t>
        </is>
      </c>
      <c r="F10" s="9" t="inlineStr">
        <is>
          <t>Card</t>
        </is>
      </c>
      <c r="G10" s="10" t="n">
        <v>40</v>
      </c>
      <c r="H10" s="9" t="inlineStr">
        <is>
          <t>Yes</t>
        </is>
      </c>
      <c r="I10" s="9" t="inlineStr">
        <is>
          <t>Yes</t>
        </is>
      </c>
      <c r="J10" s="9" t="inlineStr">
        <is>
          <t>Yes</t>
        </is>
      </c>
      <c r="K10" s="9" t="inlineStr"/>
      <c r="L10">
        <f>IF($A10="","",IF($P10="Yes","Disputed / Review",IF($I10&lt;&gt;"Yes","Not Reimbursable",IF($M10&lt;=0.004,"Pending",IF($N10&lt;=0.004,"Reimbursed","Partially Reimbursed")))))</f>
        <v/>
      </c>
      <c r="M10" s="12">
        <f>IF($A10="",0,SUMIF('Family Contributions'!$I$4:$I$1003,$A10,'Family Contributions'!$G$4:$G$1003))</f>
        <v/>
      </c>
      <c r="N10" s="12">
        <f>IF($A10="",0,IF($I10="Yes",IF(ISNUMBER($G10),$G10,0)-$M10,0))</f>
        <v/>
      </c>
      <c r="O10" s="9" t="inlineStr"/>
      <c r="P10" s="9" t="inlineStr">
        <is>
          <t>No</t>
        </is>
      </c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>
        <f>IF($A11="","",IF($P11="Yes","Disputed / Review",IF($I11&lt;&gt;"Yes","Not Reimbursable",IF($M11&lt;=0.004,"Pending",IF($N11&lt;=0.004,"Reimbursed","Partially Reimbursed")))))</f>
        <v/>
      </c>
      <c r="M11" s="10">
        <f>IF($A11="",0,SUMIF('Family Contributions'!$I$4:$I$1003,$A11,'Family Contributions'!$G$4:$G$1003))</f>
        <v/>
      </c>
      <c r="N11" s="10">
        <f>IF($A11="",0,IF($I11="Yes",IF(ISNUMBER($G11),$G11,0)-$M11,0))</f>
        <v/>
      </c>
      <c r="O11" s="9" t="n"/>
      <c r="P11" s="9" t="n"/>
    </row>
    <row r="12">
      <c r="A12" s="9" t="n"/>
      <c r="B12" s="19" t="n"/>
      <c r="C12" s="9" t="n"/>
      <c r="D12" s="9" t="n"/>
      <c r="E12" s="9" t="n"/>
      <c r="F12" s="9" t="n"/>
      <c r="G12" s="10" t="n"/>
      <c r="H12" s="9" t="n"/>
      <c r="I12" s="9" t="n"/>
      <c r="J12" s="9" t="n"/>
      <c r="K12" s="9" t="n"/>
      <c r="L12">
        <f>IF($A12="","",IF($P12="Yes","Disputed / Review",IF($I12&lt;&gt;"Yes","Not Reimbursable",IF($M12&lt;=0.004,"Pending",IF($N12&lt;=0.004,"Reimbursed","Partially Reimbursed")))))</f>
        <v/>
      </c>
      <c r="M12" s="12">
        <f>IF($A12="",0,SUMIF('Family Contributions'!$I$4:$I$1003,$A12,'Family Contributions'!$G$4:$G$1003))</f>
        <v/>
      </c>
      <c r="N12" s="12">
        <f>IF($A12="",0,IF($I12="Yes",IF(ISNUMBER($G12),$G12,0)-$M12,0))</f>
        <v/>
      </c>
      <c r="O12" s="9" t="n"/>
      <c r="P12" s="9" t="n"/>
    </row>
    <row r="13">
      <c r="A13" s="9" t="n"/>
      <c r="B13" s="19" t="n"/>
      <c r="C13" s="9" t="n"/>
      <c r="D13" s="9" t="n"/>
      <c r="E13" s="9" t="n"/>
      <c r="F13" s="9" t="n"/>
      <c r="G13" s="10" t="n"/>
      <c r="H13" s="9" t="n"/>
      <c r="I13" s="9" t="n"/>
      <c r="J13" s="9" t="n"/>
      <c r="K13" s="9" t="n"/>
      <c r="L13">
        <f>IF($A13="","",IF($P13="Yes","Disputed / Review",IF($I13&lt;&gt;"Yes","Not Reimbursable",IF($M13&lt;=0.004,"Pending",IF($N13&lt;=0.004,"Reimbursed","Partially Reimbursed")))))</f>
        <v/>
      </c>
      <c r="M13" s="12">
        <f>IF($A13="",0,SUMIF('Family Contributions'!$I$4:$I$1003,$A13,'Family Contributions'!$G$4:$G$1003))</f>
        <v/>
      </c>
      <c r="N13" s="12">
        <f>IF($A13="",0,IF($I13="Yes",IF(ISNUMBER($G13),$G13,0)-$M13,0))</f>
        <v/>
      </c>
      <c r="O13" s="9" t="n"/>
      <c r="P13" s="9" t="n"/>
    </row>
    <row r="14">
      <c r="A14" s="9" t="n"/>
      <c r="B14" s="19" t="n"/>
      <c r="C14" s="9" t="n"/>
      <c r="D14" s="9" t="n"/>
      <c r="E14" s="9" t="n"/>
      <c r="F14" s="9" t="n"/>
      <c r="G14" s="10" t="n"/>
      <c r="H14" s="9" t="n"/>
      <c r="I14" s="9" t="n"/>
      <c r="J14" s="9" t="n"/>
      <c r="K14" s="9" t="n"/>
      <c r="L14">
        <f>IF($A14="","",IF($P14="Yes","Disputed / Review",IF($I14&lt;&gt;"Yes","Not Reimbursable",IF($M14&lt;=0.004,"Pending",IF($N14&lt;=0.004,"Reimbursed","Partially Reimbursed")))))</f>
        <v/>
      </c>
      <c r="M14" s="12">
        <f>IF($A14="",0,SUMIF('Family Contributions'!$I$4:$I$1003,$A14,'Family Contributions'!$G$4:$G$1003))</f>
        <v/>
      </c>
      <c r="N14" s="12">
        <f>IF($A14="",0,IF($I14="Yes",IF(ISNUMBER($G14),$G14,0)-$M14,0))</f>
        <v/>
      </c>
      <c r="O14" s="9" t="n"/>
      <c r="P14" s="9" t="n"/>
    </row>
    <row r="15">
      <c r="A15" s="9" t="n"/>
      <c r="B15" s="19" t="n"/>
      <c r="C15" s="9" t="n"/>
      <c r="D15" s="9" t="n"/>
      <c r="E15" s="9" t="n"/>
      <c r="F15" s="9" t="n"/>
      <c r="G15" s="10" t="n"/>
      <c r="H15" s="9" t="n"/>
      <c r="I15" s="9" t="n"/>
      <c r="J15" s="9" t="n"/>
      <c r="K15" s="9" t="n"/>
      <c r="L15">
        <f>IF($A15="","",IF($P15="Yes","Disputed / Review",IF($I15&lt;&gt;"Yes","Not Reimbursable",IF($M15&lt;=0.004,"Pending",IF($N15&lt;=0.004,"Reimbursed","Partially Reimbursed")))))</f>
        <v/>
      </c>
      <c r="M15" s="12">
        <f>IF($A15="",0,SUMIF('Family Contributions'!$I$4:$I$1003,$A15,'Family Contributions'!$G$4:$G$1003))</f>
        <v/>
      </c>
      <c r="N15" s="12">
        <f>IF($A15="",0,IF($I15="Yes",IF(ISNUMBER($G15),$G15,0)-$M15,0))</f>
        <v/>
      </c>
      <c r="O15" s="9" t="n"/>
      <c r="P15" s="9" t="n"/>
    </row>
    <row r="16">
      <c r="A16" s="9" t="n"/>
      <c r="B16" s="19" t="n"/>
      <c r="C16" s="9" t="n"/>
      <c r="D16" s="9" t="n"/>
      <c r="E16" s="9" t="n"/>
      <c r="F16" s="9" t="n"/>
      <c r="G16" s="10" t="n"/>
      <c r="H16" s="9" t="n"/>
      <c r="I16" s="9" t="n"/>
      <c r="J16" s="9" t="n"/>
      <c r="K16" s="9" t="n"/>
      <c r="L16">
        <f>IF($A16="","",IF($P16="Yes","Disputed / Review",IF($I16&lt;&gt;"Yes","Not Reimbursable",IF($M16&lt;=0.004,"Pending",IF($N16&lt;=0.004,"Reimbursed","Partially Reimbursed")))))</f>
        <v/>
      </c>
      <c r="M16" s="12">
        <f>IF($A16="",0,SUMIF('Family Contributions'!$I$4:$I$1003,$A16,'Family Contributions'!$G$4:$G$1003))</f>
        <v/>
      </c>
      <c r="N16" s="12">
        <f>IF($A16="",0,IF($I16="Yes",IF(ISNUMBER($G16),$G16,0)-$M16,0))</f>
        <v/>
      </c>
      <c r="O16" s="9" t="n"/>
      <c r="P16" s="9" t="n"/>
    </row>
    <row r="17">
      <c r="A17" s="9" t="n"/>
      <c r="B17" s="19" t="n"/>
      <c r="C17" s="9" t="n"/>
      <c r="D17" s="9" t="n"/>
      <c r="E17" s="9" t="n"/>
      <c r="F17" s="9" t="n"/>
      <c r="G17" s="10" t="n"/>
      <c r="H17" s="9" t="n"/>
      <c r="I17" s="9" t="n"/>
      <c r="J17" s="9" t="n"/>
      <c r="K17" s="9" t="n"/>
      <c r="L17">
        <f>IF($A17="","",IF($P17="Yes","Disputed / Review",IF($I17&lt;&gt;"Yes","Not Reimbursable",IF($M17&lt;=0.004,"Pending",IF($N17&lt;=0.004,"Reimbursed","Partially Reimbursed")))))</f>
        <v/>
      </c>
      <c r="M17" s="12">
        <f>IF($A17="",0,SUMIF('Family Contributions'!$I$4:$I$1003,$A17,'Family Contributions'!$G$4:$G$1003))</f>
        <v/>
      </c>
      <c r="N17" s="12">
        <f>IF($A17="",0,IF($I17="Yes",IF(ISNUMBER($G17),$G17,0)-$M17,0))</f>
        <v/>
      </c>
      <c r="O17" s="9" t="n"/>
      <c r="P17" s="9" t="n"/>
    </row>
    <row r="18">
      <c r="A18" s="9" t="n"/>
      <c r="B18" s="19" t="n"/>
      <c r="C18" s="9" t="n"/>
      <c r="D18" s="9" t="n"/>
      <c r="E18" s="9" t="n"/>
      <c r="F18" s="9" t="n"/>
      <c r="G18" s="10" t="n"/>
      <c r="H18" s="9" t="n"/>
      <c r="I18" s="9" t="n"/>
      <c r="J18" s="9" t="n"/>
      <c r="K18" s="9" t="n"/>
      <c r="L18">
        <f>IF($A18="","",IF($P18="Yes","Disputed / Review",IF($I18&lt;&gt;"Yes","Not Reimbursable",IF($M18&lt;=0.004,"Pending",IF($N18&lt;=0.004,"Reimbursed","Partially Reimbursed")))))</f>
        <v/>
      </c>
      <c r="M18" s="12">
        <f>IF($A18="",0,SUMIF('Family Contributions'!$I$4:$I$1003,$A18,'Family Contributions'!$G$4:$G$1003))</f>
        <v/>
      </c>
      <c r="N18" s="12">
        <f>IF($A18="",0,IF($I18="Yes",IF(ISNUMBER($G18),$G18,0)-$M18,0))</f>
        <v/>
      </c>
      <c r="O18" s="9" t="n"/>
      <c r="P18" s="9" t="n"/>
    </row>
    <row r="19">
      <c r="A19" s="9" t="n"/>
      <c r="B19" s="19" t="n"/>
      <c r="C19" s="9" t="n"/>
      <c r="D19" s="9" t="n"/>
      <c r="E19" s="9" t="n"/>
      <c r="F19" s="9" t="n"/>
      <c r="G19" s="10" t="n"/>
      <c r="H19" s="9" t="n"/>
      <c r="I19" s="9" t="n"/>
      <c r="J19" s="9" t="n"/>
      <c r="K19" s="9" t="n"/>
      <c r="L19">
        <f>IF($A19="","",IF($P19="Yes","Disputed / Review",IF($I19&lt;&gt;"Yes","Not Reimbursable",IF($M19&lt;=0.004,"Pending",IF($N19&lt;=0.004,"Reimbursed","Partially Reimbursed")))))</f>
        <v/>
      </c>
      <c r="M19" s="12">
        <f>IF($A19="",0,SUMIF('Family Contributions'!$I$4:$I$1003,$A19,'Family Contributions'!$G$4:$G$1003))</f>
        <v/>
      </c>
      <c r="N19" s="12">
        <f>IF($A19="",0,IF($I19="Yes",IF(ISNUMBER($G19),$G19,0)-$M19,0))</f>
        <v/>
      </c>
      <c r="O19" s="9" t="n"/>
      <c r="P19" s="9" t="n"/>
    </row>
    <row r="20">
      <c r="A20" s="9" t="n"/>
      <c r="B20" s="19" t="n"/>
      <c r="C20" s="9" t="n"/>
      <c r="D20" s="9" t="n"/>
      <c r="E20" s="9" t="n"/>
      <c r="F20" s="9" t="n"/>
      <c r="G20" s="10" t="n"/>
      <c r="H20" s="9" t="n"/>
      <c r="I20" s="9" t="n"/>
      <c r="J20" s="9" t="n"/>
      <c r="K20" s="9" t="n"/>
      <c r="L20">
        <f>IF($A20="","",IF($P20="Yes","Disputed / Review",IF($I20&lt;&gt;"Yes","Not Reimbursable",IF($M20&lt;=0.004,"Pending",IF($N20&lt;=0.004,"Reimbursed","Partially Reimbursed")))))</f>
        <v/>
      </c>
      <c r="M20" s="12">
        <f>IF($A20="",0,SUMIF('Family Contributions'!$I$4:$I$1003,$A20,'Family Contributions'!$G$4:$G$1003))</f>
        <v/>
      </c>
      <c r="N20" s="12">
        <f>IF($A20="",0,IF($I20="Yes",IF(ISNUMBER($G20),$G20,0)-$M20,0))</f>
        <v/>
      </c>
      <c r="O20" s="9" t="n"/>
      <c r="P20" s="9" t="n"/>
    </row>
    <row r="21">
      <c r="A21" s="9" t="n"/>
      <c r="B21" s="19" t="n"/>
      <c r="C21" s="9" t="n"/>
      <c r="D21" s="9" t="n"/>
      <c r="E21" s="9" t="n"/>
      <c r="F21" s="9" t="n"/>
      <c r="G21" s="10" t="n"/>
      <c r="H21" s="9" t="n"/>
      <c r="I21" s="9" t="n"/>
      <c r="J21" s="9" t="n"/>
      <c r="K21" s="9" t="n"/>
      <c r="L21">
        <f>IF($A21="","",IF($P21="Yes","Disputed / Review",IF($I21&lt;&gt;"Yes","Not Reimbursable",IF($M21&lt;=0.004,"Pending",IF($N21&lt;=0.004,"Reimbursed","Partially Reimbursed")))))</f>
        <v/>
      </c>
      <c r="M21" s="12">
        <f>IF($A21="",0,SUMIF('Family Contributions'!$I$4:$I$1003,$A21,'Family Contributions'!$G$4:$G$1003))</f>
        <v/>
      </c>
      <c r="N21" s="12">
        <f>IF($A21="",0,IF($I21="Yes",IF(ISNUMBER($G21),$G21,0)-$M21,0))</f>
        <v/>
      </c>
      <c r="O21" s="9" t="n"/>
      <c r="P21" s="9" t="n"/>
    </row>
    <row r="22">
      <c r="A22" s="9" t="n"/>
      <c r="B22" s="19" t="n"/>
      <c r="C22" s="9" t="n"/>
      <c r="D22" s="9" t="n"/>
      <c r="E22" s="9" t="n"/>
      <c r="F22" s="9" t="n"/>
      <c r="G22" s="10" t="n"/>
      <c r="H22" s="9" t="n"/>
      <c r="I22" s="9" t="n"/>
      <c r="J22" s="9" t="n"/>
      <c r="K22" s="9" t="n"/>
      <c r="L22">
        <f>IF($A22="","",IF($P22="Yes","Disputed / Review",IF($I22&lt;&gt;"Yes","Not Reimbursable",IF($M22&lt;=0.004,"Pending",IF($N22&lt;=0.004,"Reimbursed","Partially Reimbursed")))))</f>
        <v/>
      </c>
      <c r="M22" s="12">
        <f>IF($A22="",0,SUMIF('Family Contributions'!$I$4:$I$1003,$A22,'Family Contributions'!$G$4:$G$1003))</f>
        <v/>
      </c>
      <c r="N22" s="12">
        <f>IF($A22="",0,IF($I22="Yes",IF(ISNUMBER($G22),$G22,0)-$M22,0))</f>
        <v/>
      </c>
      <c r="O22" s="9" t="n"/>
      <c r="P22" s="9" t="n"/>
    </row>
    <row r="23">
      <c r="A23" s="9" t="n"/>
      <c r="B23" s="19" t="n"/>
      <c r="C23" s="9" t="n"/>
      <c r="D23" s="9" t="n"/>
      <c r="E23" s="9" t="n"/>
      <c r="F23" s="9" t="n"/>
      <c r="G23" s="10" t="n"/>
      <c r="H23" s="9" t="n"/>
      <c r="I23" s="9" t="n"/>
      <c r="J23" s="9" t="n"/>
      <c r="K23" s="9" t="n"/>
      <c r="L23">
        <f>IF($A23="","",IF($P23="Yes","Disputed / Review",IF($I23&lt;&gt;"Yes","Not Reimbursable",IF($M23&lt;=0.004,"Pending",IF($N23&lt;=0.004,"Reimbursed","Partially Reimbursed")))))</f>
        <v/>
      </c>
      <c r="M23" s="12">
        <f>IF($A23="",0,SUMIF('Family Contributions'!$I$4:$I$1003,$A23,'Family Contributions'!$G$4:$G$1003))</f>
        <v/>
      </c>
      <c r="N23" s="12">
        <f>IF($A23="",0,IF($I23="Yes",IF(ISNUMBER($G23),$G23,0)-$M23,0))</f>
        <v/>
      </c>
      <c r="O23" s="9" t="n"/>
      <c r="P23" s="9" t="n"/>
    </row>
    <row r="24">
      <c r="A24" s="9" t="n"/>
      <c r="B24" s="19" t="n"/>
      <c r="C24" s="9" t="n"/>
      <c r="D24" s="9" t="n"/>
      <c r="E24" s="9" t="n"/>
      <c r="F24" s="9" t="n"/>
      <c r="G24" s="10" t="n"/>
      <c r="H24" s="9" t="n"/>
      <c r="I24" s="9" t="n"/>
      <c r="J24" s="9" t="n"/>
      <c r="K24" s="9" t="n"/>
      <c r="L24">
        <f>IF($A24="","",IF($P24="Yes","Disputed / Review",IF($I24&lt;&gt;"Yes","Not Reimbursable",IF($M24&lt;=0.004,"Pending",IF($N24&lt;=0.004,"Reimbursed","Partially Reimbursed")))))</f>
        <v/>
      </c>
      <c r="M24" s="12">
        <f>IF($A24="",0,SUMIF('Family Contributions'!$I$4:$I$1003,$A24,'Family Contributions'!$G$4:$G$1003))</f>
        <v/>
      </c>
      <c r="N24" s="12">
        <f>IF($A24="",0,IF($I24="Yes",IF(ISNUMBER($G24),$G24,0)-$M24,0))</f>
        <v/>
      </c>
      <c r="O24" s="9" t="n"/>
      <c r="P24" s="9" t="n"/>
    </row>
    <row r="25">
      <c r="A25" s="9" t="n"/>
      <c r="B25" s="19" t="n"/>
      <c r="C25" s="9" t="n"/>
      <c r="D25" s="9" t="n"/>
      <c r="E25" s="9" t="n"/>
      <c r="F25" s="9" t="n"/>
      <c r="G25" s="10" t="n"/>
      <c r="H25" s="9" t="n"/>
      <c r="I25" s="9" t="n"/>
      <c r="J25" s="9" t="n"/>
      <c r="K25" s="9" t="n"/>
      <c r="L25">
        <f>IF($A25="","",IF($P25="Yes","Disputed / Review",IF($I25&lt;&gt;"Yes","Not Reimbursable",IF($M25&lt;=0.004,"Pending",IF($N25&lt;=0.004,"Reimbursed","Partially Reimbursed")))))</f>
        <v/>
      </c>
      <c r="M25" s="12">
        <f>IF($A25="",0,SUMIF('Family Contributions'!$I$4:$I$1003,$A25,'Family Contributions'!$G$4:$G$1003))</f>
        <v/>
      </c>
      <c r="N25" s="12">
        <f>IF($A25="",0,IF($I25="Yes",IF(ISNUMBER($G25),$G25,0)-$M25,0))</f>
        <v/>
      </c>
      <c r="O25" s="9" t="n"/>
      <c r="P25" s="9" t="n"/>
    </row>
    <row r="26">
      <c r="A26" s="9" t="n"/>
      <c r="B26" s="19" t="n"/>
      <c r="C26" s="9" t="n"/>
      <c r="D26" s="9" t="n"/>
      <c r="E26" s="9" t="n"/>
      <c r="F26" s="9" t="n"/>
      <c r="G26" s="10" t="n"/>
      <c r="H26" s="9" t="n"/>
      <c r="I26" s="9" t="n"/>
      <c r="J26" s="9" t="n"/>
      <c r="K26" s="9" t="n"/>
      <c r="L26">
        <f>IF($A26="","",IF($P26="Yes","Disputed / Review",IF($I26&lt;&gt;"Yes","Not Reimbursable",IF($M26&lt;=0.004,"Pending",IF($N26&lt;=0.004,"Reimbursed","Partially Reimbursed")))))</f>
        <v/>
      </c>
      <c r="M26" s="12">
        <f>IF($A26="",0,SUMIF('Family Contributions'!$I$4:$I$1003,$A26,'Family Contributions'!$G$4:$G$1003))</f>
        <v/>
      </c>
      <c r="N26" s="12">
        <f>IF($A26="",0,IF($I26="Yes",IF(ISNUMBER($G26),$G26,0)-$M26,0))</f>
        <v/>
      </c>
      <c r="O26" s="9" t="n"/>
      <c r="P26" s="9" t="n"/>
    </row>
    <row r="27">
      <c r="A27" s="9" t="n"/>
      <c r="B27" s="19" t="n"/>
      <c r="C27" s="9" t="n"/>
      <c r="D27" s="9" t="n"/>
      <c r="E27" s="9" t="n"/>
      <c r="F27" s="9" t="n"/>
      <c r="G27" s="10" t="n"/>
      <c r="H27" s="9" t="n"/>
      <c r="I27" s="9" t="n"/>
      <c r="J27" s="9" t="n"/>
      <c r="K27" s="9" t="n"/>
      <c r="L27">
        <f>IF($A27="","",IF($P27="Yes","Disputed / Review",IF($I27&lt;&gt;"Yes","Not Reimbursable",IF($M27&lt;=0.004,"Pending",IF($N27&lt;=0.004,"Reimbursed","Partially Reimbursed")))))</f>
        <v/>
      </c>
      <c r="M27" s="12">
        <f>IF($A27="",0,SUMIF('Family Contributions'!$I$4:$I$1003,$A27,'Family Contributions'!$G$4:$G$1003))</f>
        <v/>
      </c>
      <c r="N27" s="12">
        <f>IF($A27="",0,IF($I27="Yes",IF(ISNUMBER($G27),$G27,0)-$M27,0))</f>
        <v/>
      </c>
      <c r="O27" s="9" t="n"/>
      <c r="P27" s="9" t="n"/>
    </row>
    <row r="28">
      <c r="A28" s="9" t="n"/>
      <c r="B28" s="19" t="n"/>
      <c r="C28" s="9" t="n"/>
      <c r="D28" s="9" t="n"/>
      <c r="E28" s="9" t="n"/>
      <c r="F28" s="9" t="n"/>
      <c r="G28" s="10" t="n"/>
      <c r="H28" s="9" t="n"/>
      <c r="I28" s="9" t="n"/>
      <c r="J28" s="9" t="n"/>
      <c r="K28" s="9" t="n"/>
      <c r="L28">
        <f>IF($A28="","",IF($P28="Yes","Disputed / Review",IF($I28&lt;&gt;"Yes","Not Reimbursable",IF($M28&lt;=0.004,"Pending",IF($N28&lt;=0.004,"Reimbursed","Partially Reimbursed")))))</f>
        <v/>
      </c>
      <c r="M28" s="12">
        <f>IF($A28="",0,SUMIF('Family Contributions'!$I$4:$I$1003,$A28,'Family Contributions'!$G$4:$G$1003))</f>
        <v/>
      </c>
      <c r="N28" s="12">
        <f>IF($A28="",0,IF($I28="Yes",IF(ISNUMBER($G28),$G28,0)-$M28,0))</f>
        <v/>
      </c>
      <c r="O28" s="9" t="n"/>
      <c r="P28" s="9" t="n"/>
    </row>
    <row r="29">
      <c r="A29" s="9" t="n"/>
      <c r="B29" s="19" t="n"/>
      <c r="C29" s="9" t="n"/>
      <c r="D29" s="9" t="n"/>
      <c r="E29" s="9" t="n"/>
      <c r="F29" s="9" t="n"/>
      <c r="G29" s="10" t="n"/>
      <c r="H29" s="9" t="n"/>
      <c r="I29" s="9" t="n"/>
      <c r="J29" s="9" t="n"/>
      <c r="K29" s="9" t="n"/>
      <c r="L29">
        <f>IF($A29="","",IF($P29="Yes","Disputed / Review",IF($I29&lt;&gt;"Yes","Not Reimbursable",IF($M29&lt;=0.004,"Pending",IF($N29&lt;=0.004,"Reimbursed","Partially Reimbursed")))))</f>
        <v/>
      </c>
      <c r="M29" s="12">
        <f>IF($A29="",0,SUMIF('Family Contributions'!$I$4:$I$1003,$A29,'Family Contributions'!$G$4:$G$1003))</f>
        <v/>
      </c>
      <c r="N29" s="12">
        <f>IF($A29="",0,IF($I29="Yes",IF(ISNUMBER($G29),$G29,0)-$M29,0))</f>
        <v/>
      </c>
      <c r="O29" s="9" t="n"/>
      <c r="P29" s="9" t="n"/>
    </row>
    <row r="30">
      <c r="A30" s="9" t="n"/>
      <c r="B30" s="19" t="n"/>
      <c r="C30" s="9" t="n"/>
      <c r="D30" s="9" t="n"/>
      <c r="E30" s="9" t="n"/>
      <c r="F30" s="9" t="n"/>
      <c r="G30" s="10" t="n"/>
      <c r="H30" s="9" t="n"/>
      <c r="I30" s="9" t="n"/>
      <c r="J30" s="9" t="n"/>
      <c r="K30" s="9" t="n"/>
      <c r="L30">
        <f>IF($A30="","",IF($P30="Yes","Disputed / Review",IF($I30&lt;&gt;"Yes","Not Reimbursable",IF($M30&lt;=0.004,"Pending",IF($N30&lt;=0.004,"Reimbursed","Partially Reimbursed")))))</f>
        <v/>
      </c>
      <c r="M30" s="12">
        <f>IF($A30="",0,SUMIF('Family Contributions'!$I$4:$I$1003,$A30,'Family Contributions'!$G$4:$G$1003))</f>
        <v/>
      </c>
      <c r="N30" s="12">
        <f>IF($A30="",0,IF($I30="Yes",IF(ISNUMBER($G30),$G30,0)-$M30,0))</f>
        <v/>
      </c>
      <c r="O30" s="9" t="n"/>
      <c r="P30" s="9" t="n"/>
    </row>
    <row r="31">
      <c r="A31" s="9" t="n"/>
      <c r="B31" s="19" t="n"/>
      <c r="C31" s="9" t="n"/>
      <c r="D31" s="9" t="n"/>
      <c r="E31" s="9" t="n"/>
      <c r="F31" s="9" t="n"/>
      <c r="G31" s="10" t="n"/>
      <c r="H31" s="9" t="n"/>
      <c r="I31" s="9" t="n"/>
      <c r="J31" s="9" t="n"/>
      <c r="K31" s="9" t="n"/>
      <c r="L31">
        <f>IF($A31="","",IF($P31="Yes","Disputed / Review",IF($I31&lt;&gt;"Yes","Not Reimbursable",IF($M31&lt;=0.004,"Pending",IF($N31&lt;=0.004,"Reimbursed","Partially Reimbursed")))))</f>
        <v/>
      </c>
      <c r="M31" s="12">
        <f>IF($A31="",0,SUMIF('Family Contributions'!$I$4:$I$1003,$A31,'Family Contributions'!$G$4:$G$1003))</f>
        <v/>
      </c>
      <c r="N31" s="12">
        <f>IF($A31="",0,IF($I31="Yes",IF(ISNUMBER($G31),$G31,0)-$M31,0))</f>
        <v/>
      </c>
      <c r="O31" s="9" t="n"/>
      <c r="P31" s="9" t="n"/>
    </row>
    <row r="32">
      <c r="A32" s="9" t="n"/>
      <c r="B32" s="19" t="n"/>
      <c r="C32" s="9" t="n"/>
      <c r="D32" s="9" t="n"/>
      <c r="E32" s="9" t="n"/>
      <c r="F32" s="9" t="n"/>
      <c r="G32" s="10" t="n"/>
      <c r="H32" s="9" t="n"/>
      <c r="I32" s="9" t="n"/>
      <c r="J32" s="9" t="n"/>
      <c r="K32" s="9" t="n"/>
      <c r="L32">
        <f>IF($A32="","",IF($P32="Yes","Disputed / Review",IF($I32&lt;&gt;"Yes","Not Reimbursable",IF($M32&lt;=0.004,"Pending",IF($N32&lt;=0.004,"Reimbursed","Partially Reimbursed")))))</f>
        <v/>
      </c>
      <c r="M32" s="12">
        <f>IF($A32="",0,SUMIF('Family Contributions'!$I$4:$I$1003,$A32,'Family Contributions'!$G$4:$G$1003))</f>
        <v/>
      </c>
      <c r="N32" s="12">
        <f>IF($A32="",0,IF($I32="Yes",IF(ISNUMBER($G32),$G32,0)-$M32,0))</f>
        <v/>
      </c>
      <c r="O32" s="9" t="n"/>
      <c r="P32" s="9" t="n"/>
    </row>
    <row r="33">
      <c r="A33" s="9" t="n"/>
      <c r="B33" s="19" t="n"/>
      <c r="C33" s="9" t="n"/>
      <c r="D33" s="9" t="n"/>
      <c r="E33" s="9" t="n"/>
      <c r="F33" s="9" t="n"/>
      <c r="G33" s="10" t="n"/>
      <c r="H33" s="9" t="n"/>
      <c r="I33" s="9" t="n"/>
      <c r="J33" s="9" t="n"/>
      <c r="K33" s="9" t="n"/>
      <c r="L33">
        <f>IF($A33="","",IF($P33="Yes","Disputed / Review",IF($I33&lt;&gt;"Yes","Not Reimbursable",IF($M33&lt;=0.004,"Pending",IF($N33&lt;=0.004,"Reimbursed","Partially Reimbursed")))))</f>
        <v/>
      </c>
      <c r="M33" s="12">
        <f>IF($A33="",0,SUMIF('Family Contributions'!$I$4:$I$1003,$A33,'Family Contributions'!$G$4:$G$1003))</f>
        <v/>
      </c>
      <c r="N33" s="12">
        <f>IF($A33="",0,IF($I33="Yes",IF(ISNUMBER($G33),$G33,0)-$M33,0))</f>
        <v/>
      </c>
      <c r="O33" s="9" t="n"/>
      <c r="P33" s="9" t="n"/>
    </row>
    <row r="34">
      <c r="A34" s="9" t="n"/>
      <c r="B34" s="19" t="n"/>
      <c r="C34" s="9" t="n"/>
      <c r="D34" s="9" t="n"/>
      <c r="E34" s="9" t="n"/>
      <c r="F34" s="9" t="n"/>
      <c r="G34" s="10" t="n"/>
      <c r="H34" s="9" t="n"/>
      <c r="I34" s="9" t="n"/>
      <c r="J34" s="9" t="n"/>
      <c r="K34" s="9" t="n"/>
      <c r="L34">
        <f>IF($A34="","",IF($P34="Yes","Disputed / Review",IF($I34&lt;&gt;"Yes","Not Reimbursable",IF($M34&lt;=0.004,"Pending",IF($N34&lt;=0.004,"Reimbursed","Partially Reimbursed")))))</f>
        <v/>
      </c>
      <c r="M34" s="12">
        <f>IF($A34="",0,SUMIF('Family Contributions'!$I$4:$I$1003,$A34,'Family Contributions'!$G$4:$G$1003))</f>
        <v/>
      </c>
      <c r="N34" s="12">
        <f>IF($A34="",0,IF($I34="Yes",IF(ISNUMBER($G34),$G34,0)-$M34,0))</f>
        <v/>
      </c>
      <c r="O34" s="9" t="n"/>
      <c r="P34" s="9" t="n"/>
    </row>
    <row r="35">
      <c r="A35" s="9" t="n"/>
      <c r="B35" s="19" t="n"/>
      <c r="C35" s="9" t="n"/>
      <c r="D35" s="9" t="n"/>
      <c r="E35" s="9" t="n"/>
      <c r="F35" s="9" t="n"/>
      <c r="G35" s="10" t="n"/>
      <c r="H35" s="9" t="n"/>
      <c r="I35" s="9" t="n"/>
      <c r="J35" s="9" t="n"/>
      <c r="K35" s="9" t="n"/>
      <c r="L35">
        <f>IF($A35="","",IF($P35="Yes","Disputed / Review",IF($I35&lt;&gt;"Yes","Not Reimbursable",IF($M35&lt;=0.004,"Pending",IF($N35&lt;=0.004,"Reimbursed","Partially Reimbursed")))))</f>
        <v/>
      </c>
      <c r="M35" s="12">
        <f>IF($A35="",0,SUMIF('Family Contributions'!$I$4:$I$1003,$A35,'Family Contributions'!$G$4:$G$1003))</f>
        <v/>
      </c>
      <c r="N35" s="12">
        <f>IF($A35="",0,IF($I35="Yes",IF(ISNUMBER($G35),$G35,0)-$M35,0))</f>
        <v/>
      </c>
      <c r="O35" s="9" t="n"/>
      <c r="P35" s="9" t="n"/>
    </row>
    <row r="36">
      <c r="A36" s="9" t="n"/>
      <c r="B36" s="19" t="n"/>
      <c r="C36" s="9" t="n"/>
      <c r="D36" s="9" t="n"/>
      <c r="E36" s="9" t="n"/>
      <c r="F36" s="9" t="n"/>
      <c r="G36" s="10" t="n"/>
      <c r="H36" s="9" t="n"/>
      <c r="I36" s="9" t="n"/>
      <c r="J36" s="9" t="n"/>
      <c r="K36" s="9" t="n"/>
      <c r="L36">
        <f>IF($A36="","",IF($P36="Yes","Disputed / Review",IF($I36&lt;&gt;"Yes","Not Reimbursable",IF($M36&lt;=0.004,"Pending",IF($N36&lt;=0.004,"Reimbursed","Partially Reimbursed")))))</f>
        <v/>
      </c>
      <c r="M36" s="12">
        <f>IF($A36="",0,SUMIF('Family Contributions'!$I$4:$I$1003,$A36,'Family Contributions'!$G$4:$G$1003))</f>
        <v/>
      </c>
      <c r="N36" s="12">
        <f>IF($A36="",0,IF($I36="Yes",IF(ISNUMBER($G36),$G36,0)-$M36,0))</f>
        <v/>
      </c>
      <c r="O36" s="9" t="n"/>
      <c r="P36" s="9" t="n"/>
    </row>
    <row r="37">
      <c r="A37" s="9" t="n"/>
      <c r="B37" s="19" t="n"/>
      <c r="C37" s="9" t="n"/>
      <c r="D37" s="9" t="n"/>
      <c r="E37" s="9" t="n"/>
      <c r="F37" s="9" t="n"/>
      <c r="G37" s="10" t="n"/>
      <c r="H37" s="9" t="n"/>
      <c r="I37" s="9" t="n"/>
      <c r="J37" s="9" t="n"/>
      <c r="K37" s="9" t="n"/>
      <c r="L37">
        <f>IF($A37="","",IF($P37="Yes","Disputed / Review",IF($I37&lt;&gt;"Yes","Not Reimbursable",IF($M37&lt;=0.004,"Pending",IF($N37&lt;=0.004,"Reimbursed","Partially Reimbursed")))))</f>
        <v/>
      </c>
      <c r="M37" s="12">
        <f>IF($A37="",0,SUMIF('Family Contributions'!$I$4:$I$1003,$A37,'Family Contributions'!$G$4:$G$1003))</f>
        <v/>
      </c>
      <c r="N37" s="12">
        <f>IF($A37="",0,IF($I37="Yes",IF(ISNUMBER($G37),$G37,0)-$M37,0))</f>
        <v/>
      </c>
      <c r="O37" s="9" t="n"/>
      <c r="P37" s="9" t="n"/>
    </row>
    <row r="38">
      <c r="A38" s="9" t="n"/>
      <c r="B38" s="19" t="n"/>
      <c r="C38" s="9" t="n"/>
      <c r="D38" s="9" t="n"/>
      <c r="E38" s="9" t="n"/>
      <c r="F38" s="9" t="n"/>
      <c r="G38" s="10" t="n"/>
      <c r="H38" s="9" t="n"/>
      <c r="I38" s="9" t="n"/>
      <c r="J38" s="9" t="n"/>
      <c r="K38" s="9" t="n"/>
      <c r="L38">
        <f>IF($A38="","",IF($P38="Yes","Disputed / Review",IF($I38&lt;&gt;"Yes","Not Reimbursable",IF($M38&lt;=0.004,"Pending",IF($N38&lt;=0.004,"Reimbursed","Partially Reimbursed")))))</f>
        <v/>
      </c>
      <c r="M38" s="12">
        <f>IF($A38="",0,SUMIF('Family Contributions'!$I$4:$I$1003,$A38,'Family Contributions'!$G$4:$G$1003))</f>
        <v/>
      </c>
      <c r="N38" s="12">
        <f>IF($A38="",0,IF($I38="Yes",IF(ISNUMBER($G38),$G38,0)-$M38,0))</f>
        <v/>
      </c>
      <c r="O38" s="9" t="n"/>
      <c r="P38" s="9" t="n"/>
    </row>
    <row r="39">
      <c r="A39" s="9" t="n"/>
      <c r="B39" s="19" t="n"/>
      <c r="C39" s="9" t="n"/>
      <c r="D39" s="9" t="n"/>
      <c r="E39" s="9" t="n"/>
      <c r="F39" s="9" t="n"/>
      <c r="G39" s="10" t="n"/>
      <c r="H39" s="9" t="n"/>
      <c r="I39" s="9" t="n"/>
      <c r="J39" s="9" t="n"/>
      <c r="K39" s="9" t="n"/>
      <c r="L39">
        <f>IF($A39="","",IF($P39="Yes","Disputed / Review",IF($I39&lt;&gt;"Yes","Not Reimbursable",IF($M39&lt;=0.004,"Pending",IF($N39&lt;=0.004,"Reimbursed","Partially Reimbursed")))))</f>
        <v/>
      </c>
      <c r="M39" s="12">
        <f>IF($A39="",0,SUMIF('Family Contributions'!$I$4:$I$1003,$A39,'Family Contributions'!$G$4:$G$1003))</f>
        <v/>
      </c>
      <c r="N39" s="12">
        <f>IF($A39="",0,IF($I39="Yes",IF(ISNUMBER($G39),$G39,0)-$M39,0))</f>
        <v/>
      </c>
      <c r="O39" s="9" t="n"/>
      <c r="P39" s="9" t="n"/>
    </row>
    <row r="40">
      <c r="A40" s="9" t="n"/>
      <c r="B40" s="19" t="n"/>
      <c r="C40" s="9" t="n"/>
      <c r="D40" s="9" t="n"/>
      <c r="E40" s="9" t="n"/>
      <c r="F40" s="9" t="n"/>
      <c r="G40" s="10" t="n"/>
      <c r="H40" s="9" t="n"/>
      <c r="I40" s="9" t="n"/>
      <c r="J40" s="9" t="n"/>
      <c r="K40" s="9" t="n"/>
      <c r="L40">
        <f>IF($A40="","",IF($P40="Yes","Disputed / Review",IF($I40&lt;&gt;"Yes","Not Reimbursable",IF($M40&lt;=0.004,"Pending",IF($N40&lt;=0.004,"Reimbursed","Partially Reimbursed")))))</f>
        <v/>
      </c>
      <c r="M40" s="12">
        <f>IF($A40="",0,SUMIF('Family Contributions'!$I$4:$I$1003,$A40,'Family Contributions'!$G$4:$G$1003))</f>
        <v/>
      </c>
      <c r="N40" s="12">
        <f>IF($A40="",0,IF($I40="Yes",IF(ISNUMBER($G40),$G40,0)-$M40,0))</f>
        <v/>
      </c>
      <c r="O40" s="9" t="n"/>
      <c r="P40" s="9" t="n"/>
    </row>
    <row r="41">
      <c r="A41" s="9" t="n"/>
      <c r="B41" s="19" t="n"/>
      <c r="C41" s="9" t="n"/>
      <c r="D41" s="9" t="n"/>
      <c r="E41" s="9" t="n"/>
      <c r="F41" s="9" t="n"/>
      <c r="G41" s="10" t="n"/>
      <c r="H41" s="9" t="n"/>
      <c r="I41" s="9" t="n"/>
      <c r="J41" s="9" t="n"/>
      <c r="K41" s="9" t="n"/>
      <c r="L41">
        <f>IF($A41="","",IF($P41="Yes","Disputed / Review",IF($I41&lt;&gt;"Yes","Not Reimbursable",IF($M41&lt;=0.004,"Pending",IF($N41&lt;=0.004,"Reimbursed","Partially Reimbursed")))))</f>
        <v/>
      </c>
      <c r="M41" s="12">
        <f>IF($A41="",0,SUMIF('Family Contributions'!$I$4:$I$1003,$A41,'Family Contributions'!$G$4:$G$1003))</f>
        <v/>
      </c>
      <c r="N41" s="12">
        <f>IF($A41="",0,IF($I41="Yes",IF(ISNUMBER($G41),$G41,0)-$M41,0))</f>
        <v/>
      </c>
      <c r="O41" s="9" t="n"/>
      <c r="P41" s="9" t="n"/>
    </row>
    <row r="42">
      <c r="A42" s="9" t="n"/>
      <c r="B42" s="19" t="n"/>
      <c r="C42" s="9" t="n"/>
      <c r="D42" s="9" t="n"/>
      <c r="E42" s="9" t="n"/>
      <c r="F42" s="9" t="n"/>
      <c r="G42" s="10" t="n"/>
      <c r="H42" s="9" t="n"/>
      <c r="I42" s="9" t="n"/>
      <c r="J42" s="9" t="n"/>
      <c r="K42" s="9" t="n"/>
      <c r="L42">
        <f>IF($A42="","",IF($P42="Yes","Disputed / Review",IF($I42&lt;&gt;"Yes","Not Reimbursable",IF($M42&lt;=0.004,"Pending",IF($N42&lt;=0.004,"Reimbursed","Partially Reimbursed")))))</f>
        <v/>
      </c>
      <c r="M42" s="12">
        <f>IF($A42="",0,SUMIF('Family Contributions'!$I$4:$I$1003,$A42,'Family Contributions'!$G$4:$G$1003))</f>
        <v/>
      </c>
      <c r="N42" s="12">
        <f>IF($A42="",0,IF($I42="Yes",IF(ISNUMBER($G42),$G42,0)-$M42,0))</f>
        <v/>
      </c>
      <c r="O42" s="9" t="n"/>
      <c r="P42" s="9" t="n"/>
    </row>
    <row r="43">
      <c r="A43" s="9" t="n"/>
      <c r="B43" s="19" t="n"/>
      <c r="C43" s="9" t="n"/>
      <c r="D43" s="9" t="n"/>
      <c r="E43" s="9" t="n"/>
      <c r="F43" s="9" t="n"/>
      <c r="G43" s="10" t="n"/>
      <c r="H43" s="9" t="n"/>
      <c r="I43" s="9" t="n"/>
      <c r="J43" s="9" t="n"/>
      <c r="K43" s="9" t="n"/>
      <c r="L43">
        <f>IF($A43="","",IF($P43="Yes","Disputed / Review",IF($I43&lt;&gt;"Yes","Not Reimbursable",IF($M43&lt;=0.004,"Pending",IF($N43&lt;=0.004,"Reimbursed","Partially Reimbursed")))))</f>
        <v/>
      </c>
      <c r="M43" s="12">
        <f>IF($A43="",0,SUMIF('Family Contributions'!$I$4:$I$1003,$A43,'Family Contributions'!$G$4:$G$1003))</f>
        <v/>
      </c>
      <c r="N43" s="12">
        <f>IF($A43="",0,IF($I43="Yes",IF(ISNUMBER($G43),$G43,0)-$M43,0))</f>
        <v/>
      </c>
      <c r="O43" s="9" t="n"/>
      <c r="P43" s="9" t="n"/>
    </row>
    <row r="44">
      <c r="A44" s="9" t="n"/>
      <c r="B44" s="19" t="n"/>
      <c r="C44" s="9" t="n"/>
      <c r="D44" s="9" t="n"/>
      <c r="E44" s="9" t="n"/>
      <c r="F44" s="9" t="n"/>
      <c r="G44" s="10" t="n"/>
      <c r="H44" s="9" t="n"/>
      <c r="I44" s="9" t="n"/>
      <c r="J44" s="9" t="n"/>
      <c r="K44" s="9" t="n"/>
      <c r="L44">
        <f>IF($A44="","",IF($P44="Yes","Disputed / Review",IF($I44&lt;&gt;"Yes","Not Reimbursable",IF($M44&lt;=0.004,"Pending",IF($N44&lt;=0.004,"Reimbursed","Partially Reimbursed")))))</f>
        <v/>
      </c>
      <c r="M44" s="12">
        <f>IF($A44="",0,SUMIF('Family Contributions'!$I$4:$I$1003,$A44,'Family Contributions'!$G$4:$G$1003))</f>
        <v/>
      </c>
      <c r="N44" s="12">
        <f>IF($A44="",0,IF($I44="Yes",IF(ISNUMBER($G44),$G44,0)-$M44,0))</f>
        <v/>
      </c>
      <c r="O44" s="9" t="n"/>
      <c r="P44" s="9" t="n"/>
    </row>
    <row r="45">
      <c r="A45" s="9" t="n"/>
      <c r="B45" s="19" t="n"/>
      <c r="C45" s="9" t="n"/>
      <c r="D45" s="9" t="n"/>
      <c r="E45" s="9" t="n"/>
      <c r="F45" s="9" t="n"/>
      <c r="G45" s="10" t="n"/>
      <c r="H45" s="9" t="n"/>
      <c r="I45" s="9" t="n"/>
      <c r="J45" s="9" t="n"/>
      <c r="K45" s="9" t="n"/>
      <c r="L45">
        <f>IF($A45="","",IF($P45="Yes","Disputed / Review",IF($I45&lt;&gt;"Yes","Not Reimbursable",IF($M45&lt;=0.004,"Pending",IF($N45&lt;=0.004,"Reimbursed","Partially Reimbursed")))))</f>
        <v/>
      </c>
      <c r="M45" s="12">
        <f>IF($A45="",0,SUMIF('Family Contributions'!$I$4:$I$1003,$A45,'Family Contributions'!$G$4:$G$1003))</f>
        <v/>
      </c>
      <c r="N45" s="12">
        <f>IF($A45="",0,IF($I45="Yes",IF(ISNUMBER($G45),$G45,0)-$M45,0))</f>
        <v/>
      </c>
      <c r="O45" s="9" t="n"/>
      <c r="P45" s="9" t="n"/>
    </row>
    <row r="46">
      <c r="A46" s="9" t="n"/>
      <c r="B46" s="19" t="n"/>
      <c r="C46" s="9" t="n"/>
      <c r="D46" s="9" t="n"/>
      <c r="E46" s="9" t="n"/>
      <c r="F46" s="9" t="n"/>
      <c r="G46" s="10" t="n"/>
      <c r="H46" s="9" t="n"/>
      <c r="I46" s="9" t="n"/>
      <c r="J46" s="9" t="n"/>
      <c r="K46" s="9" t="n"/>
      <c r="L46">
        <f>IF($A46="","",IF($P46="Yes","Disputed / Review",IF($I46&lt;&gt;"Yes","Not Reimbursable",IF($M46&lt;=0.004,"Pending",IF($N46&lt;=0.004,"Reimbursed","Partially Reimbursed")))))</f>
        <v/>
      </c>
      <c r="M46" s="12">
        <f>IF($A46="",0,SUMIF('Family Contributions'!$I$4:$I$1003,$A46,'Family Contributions'!$G$4:$G$1003))</f>
        <v/>
      </c>
      <c r="N46" s="12">
        <f>IF($A46="",0,IF($I46="Yes",IF(ISNUMBER($G46),$G46,0)-$M46,0))</f>
        <v/>
      </c>
      <c r="O46" s="9" t="n"/>
      <c r="P46" s="9" t="n"/>
    </row>
    <row r="47">
      <c r="A47" s="9" t="n"/>
      <c r="B47" s="19" t="n"/>
      <c r="C47" s="9" t="n"/>
      <c r="D47" s="9" t="n"/>
      <c r="E47" s="9" t="n"/>
      <c r="F47" s="9" t="n"/>
      <c r="G47" s="10" t="n"/>
      <c r="H47" s="9" t="n"/>
      <c r="I47" s="9" t="n"/>
      <c r="J47" s="9" t="n"/>
      <c r="K47" s="9" t="n"/>
      <c r="L47">
        <f>IF($A47="","",IF($P47="Yes","Disputed / Review",IF($I47&lt;&gt;"Yes","Not Reimbursable",IF($M47&lt;=0.004,"Pending",IF($N47&lt;=0.004,"Reimbursed","Partially Reimbursed")))))</f>
        <v/>
      </c>
      <c r="M47" s="12">
        <f>IF($A47="",0,SUMIF('Family Contributions'!$I$4:$I$1003,$A47,'Family Contributions'!$G$4:$G$1003))</f>
        <v/>
      </c>
      <c r="N47" s="12">
        <f>IF($A47="",0,IF($I47="Yes",IF(ISNUMBER($G47),$G47,0)-$M47,0))</f>
        <v/>
      </c>
      <c r="O47" s="9" t="n"/>
      <c r="P47" s="9" t="n"/>
    </row>
    <row r="48">
      <c r="A48" s="9" t="n"/>
      <c r="B48" s="19" t="n"/>
      <c r="C48" s="9" t="n"/>
      <c r="D48" s="9" t="n"/>
      <c r="E48" s="9" t="n"/>
      <c r="F48" s="9" t="n"/>
      <c r="G48" s="10" t="n"/>
      <c r="H48" s="9" t="n"/>
      <c r="I48" s="9" t="n"/>
      <c r="J48" s="9" t="n"/>
      <c r="K48" s="9" t="n"/>
      <c r="L48">
        <f>IF($A48="","",IF($P48="Yes","Disputed / Review",IF($I48&lt;&gt;"Yes","Not Reimbursable",IF($M48&lt;=0.004,"Pending",IF($N48&lt;=0.004,"Reimbursed","Partially Reimbursed")))))</f>
        <v/>
      </c>
      <c r="M48" s="12">
        <f>IF($A48="",0,SUMIF('Family Contributions'!$I$4:$I$1003,$A48,'Family Contributions'!$G$4:$G$1003))</f>
        <v/>
      </c>
      <c r="N48" s="12">
        <f>IF($A48="",0,IF($I48="Yes",IF(ISNUMBER($G48),$G48,0)-$M48,0))</f>
        <v/>
      </c>
      <c r="O48" s="9" t="n"/>
      <c r="P48" s="9" t="n"/>
    </row>
    <row r="49">
      <c r="A49" s="9" t="n"/>
      <c r="B49" s="19" t="n"/>
      <c r="C49" s="9" t="n"/>
      <c r="D49" s="9" t="n"/>
      <c r="E49" s="9" t="n"/>
      <c r="F49" s="9" t="n"/>
      <c r="G49" s="10" t="n"/>
      <c r="H49" s="9" t="n"/>
      <c r="I49" s="9" t="n"/>
      <c r="J49" s="9" t="n"/>
      <c r="K49" s="9" t="n"/>
      <c r="L49">
        <f>IF($A49="","",IF($P49="Yes","Disputed / Review",IF($I49&lt;&gt;"Yes","Not Reimbursable",IF($M49&lt;=0.004,"Pending",IF($N49&lt;=0.004,"Reimbursed","Partially Reimbursed")))))</f>
        <v/>
      </c>
      <c r="M49" s="12">
        <f>IF($A49="",0,SUMIF('Family Contributions'!$I$4:$I$1003,$A49,'Family Contributions'!$G$4:$G$1003))</f>
        <v/>
      </c>
      <c r="N49" s="12">
        <f>IF($A49="",0,IF($I49="Yes",IF(ISNUMBER($G49),$G49,0)-$M49,0))</f>
        <v/>
      </c>
      <c r="O49" s="9" t="n"/>
      <c r="P49" s="9" t="n"/>
    </row>
    <row r="50">
      <c r="A50" s="9" t="n"/>
      <c r="B50" s="19" t="n"/>
      <c r="C50" s="9" t="n"/>
      <c r="D50" s="9" t="n"/>
      <c r="E50" s="9" t="n"/>
      <c r="F50" s="9" t="n"/>
      <c r="G50" s="10" t="n"/>
      <c r="H50" s="9" t="n"/>
      <c r="I50" s="9" t="n"/>
      <c r="J50" s="9" t="n"/>
      <c r="K50" s="9" t="n"/>
      <c r="L50">
        <f>IF($A50="","",IF($P50="Yes","Disputed / Review",IF($I50&lt;&gt;"Yes","Not Reimbursable",IF($M50&lt;=0.004,"Pending",IF($N50&lt;=0.004,"Reimbursed","Partially Reimbursed")))))</f>
        <v/>
      </c>
      <c r="M50" s="12">
        <f>IF($A50="",0,SUMIF('Family Contributions'!$I$4:$I$1003,$A50,'Family Contributions'!$G$4:$G$1003))</f>
        <v/>
      </c>
      <c r="N50" s="12">
        <f>IF($A50="",0,IF($I50="Yes",IF(ISNUMBER($G50),$G50,0)-$M50,0))</f>
        <v/>
      </c>
      <c r="O50" s="9" t="n"/>
      <c r="P50" s="9" t="n"/>
    </row>
    <row r="51">
      <c r="A51" s="9" t="n"/>
      <c r="B51" s="19" t="n"/>
      <c r="C51" s="9" t="n"/>
      <c r="D51" s="9" t="n"/>
      <c r="E51" s="9" t="n"/>
      <c r="F51" s="9" t="n"/>
      <c r="G51" s="10" t="n"/>
      <c r="H51" s="9" t="n"/>
      <c r="I51" s="9" t="n"/>
      <c r="J51" s="9" t="n"/>
      <c r="K51" s="9" t="n"/>
      <c r="L51">
        <f>IF($A51="","",IF($P51="Yes","Disputed / Review",IF($I51&lt;&gt;"Yes","Not Reimbursable",IF($M51&lt;=0.004,"Pending",IF($N51&lt;=0.004,"Reimbursed","Partially Reimbursed")))))</f>
        <v/>
      </c>
      <c r="M51" s="12">
        <f>IF($A51="",0,SUMIF('Family Contributions'!$I$4:$I$1003,$A51,'Family Contributions'!$G$4:$G$1003))</f>
        <v/>
      </c>
      <c r="N51" s="12">
        <f>IF($A51="",0,IF($I51="Yes",IF(ISNUMBER($G51),$G51,0)-$M51,0))</f>
        <v/>
      </c>
      <c r="O51" s="9" t="n"/>
      <c r="P51" s="9" t="n"/>
    </row>
    <row r="52">
      <c r="A52" s="9" t="n"/>
      <c r="B52" s="19" t="n"/>
      <c r="C52" s="9" t="n"/>
      <c r="D52" s="9" t="n"/>
      <c r="E52" s="9" t="n"/>
      <c r="F52" s="9" t="n"/>
      <c r="G52" s="10" t="n"/>
      <c r="H52" s="9" t="n"/>
      <c r="I52" s="9" t="n"/>
      <c r="J52" s="9" t="n"/>
      <c r="K52" s="9" t="n"/>
      <c r="L52">
        <f>IF($A52="","",IF($P52="Yes","Disputed / Review",IF($I52&lt;&gt;"Yes","Not Reimbursable",IF($M52&lt;=0.004,"Pending",IF($N52&lt;=0.004,"Reimbursed","Partially Reimbursed")))))</f>
        <v/>
      </c>
      <c r="M52" s="12">
        <f>IF($A52="",0,SUMIF('Family Contributions'!$I$4:$I$1003,$A52,'Family Contributions'!$G$4:$G$1003))</f>
        <v/>
      </c>
      <c r="N52" s="12">
        <f>IF($A52="",0,IF($I52="Yes",IF(ISNUMBER($G52),$G52,0)-$M52,0))</f>
        <v/>
      </c>
      <c r="O52" s="9" t="n"/>
      <c r="P52" s="9" t="n"/>
    </row>
    <row r="53">
      <c r="A53" s="9" t="n"/>
      <c r="B53" s="19" t="n"/>
      <c r="C53" s="9" t="n"/>
      <c r="D53" s="9" t="n"/>
      <c r="E53" s="9" t="n"/>
      <c r="F53" s="9" t="n"/>
      <c r="G53" s="10" t="n"/>
      <c r="H53" s="9" t="n"/>
      <c r="I53" s="9" t="n"/>
      <c r="J53" s="9" t="n"/>
      <c r="K53" s="9" t="n"/>
      <c r="L53">
        <f>IF($A53="","",IF($P53="Yes","Disputed / Review",IF($I53&lt;&gt;"Yes","Not Reimbursable",IF($M53&lt;=0.004,"Pending",IF($N53&lt;=0.004,"Reimbursed","Partially Reimbursed")))))</f>
        <v/>
      </c>
      <c r="M53" s="12">
        <f>IF($A53="",0,SUMIF('Family Contributions'!$I$4:$I$1003,$A53,'Family Contributions'!$G$4:$G$1003))</f>
        <v/>
      </c>
      <c r="N53" s="12">
        <f>IF($A53="",0,IF($I53="Yes",IF(ISNUMBER($G53),$G53,0)-$M53,0))</f>
        <v/>
      </c>
      <c r="O53" s="9" t="n"/>
      <c r="P53" s="9" t="n"/>
    </row>
    <row r="54">
      <c r="A54" s="9" t="n"/>
      <c r="B54" s="19" t="n"/>
      <c r="C54" s="9" t="n"/>
      <c r="D54" s="9" t="n"/>
      <c r="E54" s="9" t="n"/>
      <c r="F54" s="9" t="n"/>
      <c r="G54" s="10" t="n"/>
      <c r="H54" s="9" t="n"/>
      <c r="I54" s="9" t="n"/>
      <c r="J54" s="9" t="n"/>
      <c r="K54" s="9" t="n"/>
      <c r="L54">
        <f>IF($A54="","",IF($P54="Yes","Disputed / Review",IF($I54&lt;&gt;"Yes","Not Reimbursable",IF($M54&lt;=0.004,"Pending",IF($N54&lt;=0.004,"Reimbursed","Partially Reimbursed")))))</f>
        <v/>
      </c>
      <c r="M54" s="12">
        <f>IF($A54="",0,SUMIF('Family Contributions'!$I$4:$I$1003,$A54,'Family Contributions'!$G$4:$G$1003))</f>
        <v/>
      </c>
      <c r="N54" s="12">
        <f>IF($A54="",0,IF($I54="Yes",IF(ISNUMBER($G54),$G54,0)-$M54,0))</f>
        <v/>
      </c>
      <c r="O54" s="9" t="n"/>
      <c r="P54" s="9" t="n"/>
    </row>
    <row r="55">
      <c r="A55" s="9" t="n"/>
      <c r="B55" s="19" t="n"/>
      <c r="C55" s="9" t="n"/>
      <c r="D55" s="9" t="n"/>
      <c r="E55" s="9" t="n"/>
      <c r="F55" s="9" t="n"/>
      <c r="G55" s="10" t="n"/>
      <c r="H55" s="9" t="n"/>
      <c r="I55" s="9" t="n"/>
      <c r="J55" s="9" t="n"/>
      <c r="K55" s="9" t="n"/>
      <c r="L55">
        <f>IF($A55="","",IF($P55="Yes","Disputed / Review",IF($I55&lt;&gt;"Yes","Not Reimbursable",IF($M55&lt;=0.004,"Pending",IF($N55&lt;=0.004,"Reimbursed","Partially Reimbursed")))))</f>
        <v/>
      </c>
      <c r="M55" s="12">
        <f>IF($A55="",0,SUMIF('Family Contributions'!$I$4:$I$1003,$A55,'Family Contributions'!$G$4:$G$1003))</f>
        <v/>
      </c>
      <c r="N55" s="12">
        <f>IF($A55="",0,IF($I55="Yes",IF(ISNUMBER($G55),$G55,0)-$M55,0))</f>
        <v/>
      </c>
      <c r="O55" s="9" t="n"/>
      <c r="P55" s="9" t="n"/>
    </row>
    <row r="56">
      <c r="A56" s="9" t="n"/>
      <c r="B56" s="19" t="n"/>
      <c r="C56" s="9" t="n"/>
      <c r="D56" s="9" t="n"/>
      <c r="E56" s="9" t="n"/>
      <c r="F56" s="9" t="n"/>
      <c r="G56" s="10" t="n"/>
      <c r="H56" s="9" t="n"/>
      <c r="I56" s="9" t="n"/>
      <c r="J56" s="9" t="n"/>
      <c r="K56" s="9" t="n"/>
      <c r="L56">
        <f>IF($A56="","",IF($P56="Yes","Disputed / Review",IF($I56&lt;&gt;"Yes","Not Reimbursable",IF($M56&lt;=0.004,"Pending",IF($N56&lt;=0.004,"Reimbursed","Partially Reimbursed")))))</f>
        <v/>
      </c>
      <c r="M56" s="12">
        <f>IF($A56="",0,SUMIF('Family Contributions'!$I$4:$I$1003,$A56,'Family Contributions'!$G$4:$G$1003))</f>
        <v/>
      </c>
      <c r="N56" s="12">
        <f>IF($A56="",0,IF($I56="Yes",IF(ISNUMBER($G56),$G56,0)-$M56,0))</f>
        <v/>
      </c>
      <c r="O56" s="9" t="n"/>
      <c r="P56" s="9" t="n"/>
    </row>
    <row r="57">
      <c r="A57" s="9" t="n"/>
      <c r="B57" s="19" t="n"/>
      <c r="C57" s="9" t="n"/>
      <c r="D57" s="9" t="n"/>
      <c r="E57" s="9" t="n"/>
      <c r="F57" s="9" t="n"/>
      <c r="G57" s="10" t="n"/>
      <c r="H57" s="9" t="n"/>
      <c r="I57" s="9" t="n"/>
      <c r="J57" s="9" t="n"/>
      <c r="K57" s="9" t="n"/>
      <c r="L57">
        <f>IF($A57="","",IF($P57="Yes","Disputed / Review",IF($I57&lt;&gt;"Yes","Not Reimbursable",IF($M57&lt;=0.004,"Pending",IF($N57&lt;=0.004,"Reimbursed","Partially Reimbursed")))))</f>
        <v/>
      </c>
      <c r="M57" s="12">
        <f>IF($A57="",0,SUMIF('Family Contributions'!$I$4:$I$1003,$A57,'Family Contributions'!$G$4:$G$1003))</f>
        <v/>
      </c>
      <c r="N57" s="12">
        <f>IF($A57="",0,IF($I57="Yes",IF(ISNUMBER($G57),$G57,0)-$M57,0))</f>
        <v/>
      </c>
      <c r="O57" s="9" t="n"/>
      <c r="P57" s="9" t="n"/>
    </row>
    <row r="58">
      <c r="A58" s="9" t="n"/>
      <c r="B58" s="19" t="n"/>
      <c r="C58" s="9" t="n"/>
      <c r="D58" s="9" t="n"/>
      <c r="E58" s="9" t="n"/>
      <c r="F58" s="9" t="n"/>
      <c r="G58" s="10" t="n"/>
      <c r="H58" s="9" t="n"/>
      <c r="I58" s="9" t="n"/>
      <c r="J58" s="9" t="n"/>
      <c r="K58" s="9" t="n"/>
      <c r="L58">
        <f>IF($A58="","",IF($P58="Yes","Disputed / Review",IF($I58&lt;&gt;"Yes","Not Reimbursable",IF($M58&lt;=0.004,"Pending",IF($N58&lt;=0.004,"Reimbursed","Partially Reimbursed")))))</f>
        <v/>
      </c>
      <c r="M58" s="12">
        <f>IF($A58="",0,SUMIF('Family Contributions'!$I$4:$I$1003,$A58,'Family Contributions'!$G$4:$G$1003))</f>
        <v/>
      </c>
      <c r="N58" s="12">
        <f>IF($A58="",0,IF($I58="Yes",IF(ISNUMBER($G58),$G58,0)-$M58,0))</f>
        <v/>
      </c>
      <c r="O58" s="9" t="n"/>
      <c r="P58" s="9" t="n"/>
    </row>
    <row r="59">
      <c r="A59" s="9" t="n"/>
      <c r="B59" s="19" t="n"/>
      <c r="C59" s="9" t="n"/>
      <c r="D59" s="9" t="n"/>
      <c r="E59" s="9" t="n"/>
      <c r="F59" s="9" t="n"/>
      <c r="G59" s="10" t="n"/>
      <c r="H59" s="9" t="n"/>
      <c r="I59" s="9" t="n"/>
      <c r="J59" s="9" t="n"/>
      <c r="K59" s="9" t="n"/>
      <c r="L59">
        <f>IF($A59="","",IF($P59="Yes","Disputed / Review",IF($I59&lt;&gt;"Yes","Not Reimbursable",IF($M59&lt;=0.004,"Pending",IF($N59&lt;=0.004,"Reimbursed","Partially Reimbursed")))))</f>
        <v/>
      </c>
      <c r="M59" s="12">
        <f>IF($A59="",0,SUMIF('Family Contributions'!$I$4:$I$1003,$A59,'Family Contributions'!$G$4:$G$1003))</f>
        <v/>
      </c>
      <c r="N59" s="12">
        <f>IF($A59="",0,IF($I59="Yes",IF(ISNUMBER($G59),$G59,0)-$M59,0))</f>
        <v/>
      </c>
      <c r="O59" s="9" t="n"/>
      <c r="P59" s="9" t="n"/>
    </row>
    <row r="60">
      <c r="A60" s="9" t="n"/>
      <c r="B60" s="19" t="n"/>
      <c r="C60" s="9" t="n"/>
      <c r="D60" s="9" t="n"/>
      <c r="E60" s="9" t="n"/>
      <c r="F60" s="9" t="n"/>
      <c r="G60" s="10" t="n"/>
      <c r="H60" s="9" t="n"/>
      <c r="I60" s="9" t="n"/>
      <c r="J60" s="9" t="n"/>
      <c r="K60" s="9" t="n"/>
      <c r="L60">
        <f>IF($A60="","",IF($P60="Yes","Disputed / Review",IF($I60&lt;&gt;"Yes","Not Reimbursable",IF($M60&lt;=0.004,"Pending",IF($N60&lt;=0.004,"Reimbursed","Partially Reimbursed")))))</f>
        <v/>
      </c>
      <c r="M60" s="12">
        <f>IF($A60="",0,SUMIF('Family Contributions'!$I$4:$I$1003,$A60,'Family Contributions'!$G$4:$G$1003))</f>
        <v/>
      </c>
      <c r="N60" s="12">
        <f>IF($A60="",0,IF($I60="Yes",IF(ISNUMBER($G60),$G60,0)-$M60,0))</f>
        <v/>
      </c>
      <c r="O60" s="9" t="n"/>
      <c r="P60" s="9" t="n"/>
    </row>
    <row r="61">
      <c r="A61" s="9" t="n"/>
      <c r="B61" s="19" t="n"/>
      <c r="C61" s="9" t="n"/>
      <c r="D61" s="9" t="n"/>
      <c r="E61" s="9" t="n"/>
      <c r="F61" s="9" t="n"/>
      <c r="G61" s="10" t="n"/>
      <c r="H61" s="9" t="n"/>
      <c r="I61" s="9" t="n"/>
      <c r="J61" s="9" t="n"/>
      <c r="K61" s="9" t="n"/>
      <c r="L61">
        <f>IF($A61="","",IF($P61="Yes","Disputed / Review",IF($I61&lt;&gt;"Yes","Not Reimbursable",IF($M61&lt;=0.004,"Pending",IF($N61&lt;=0.004,"Reimbursed","Partially Reimbursed")))))</f>
        <v/>
      </c>
      <c r="M61" s="12">
        <f>IF($A61="",0,SUMIF('Family Contributions'!$I$4:$I$1003,$A61,'Family Contributions'!$G$4:$G$1003))</f>
        <v/>
      </c>
      <c r="N61" s="12">
        <f>IF($A61="",0,IF($I61="Yes",IF(ISNUMBER($G61),$G61,0)-$M61,0))</f>
        <v/>
      </c>
      <c r="O61" s="9" t="n"/>
      <c r="P61" s="9" t="n"/>
    </row>
    <row r="62">
      <c r="A62" s="9" t="n"/>
      <c r="B62" s="19" t="n"/>
      <c r="C62" s="9" t="n"/>
      <c r="D62" s="9" t="n"/>
      <c r="E62" s="9" t="n"/>
      <c r="F62" s="9" t="n"/>
      <c r="G62" s="10" t="n"/>
      <c r="H62" s="9" t="n"/>
      <c r="I62" s="9" t="n"/>
      <c r="J62" s="9" t="n"/>
      <c r="K62" s="9" t="n"/>
      <c r="L62">
        <f>IF($A62="","",IF($P62="Yes","Disputed / Review",IF($I62&lt;&gt;"Yes","Not Reimbursable",IF($M62&lt;=0.004,"Pending",IF($N62&lt;=0.004,"Reimbursed","Partially Reimbursed")))))</f>
        <v/>
      </c>
      <c r="M62" s="12">
        <f>IF($A62="",0,SUMIF('Family Contributions'!$I$4:$I$1003,$A62,'Family Contributions'!$G$4:$G$1003))</f>
        <v/>
      </c>
      <c r="N62" s="12">
        <f>IF($A62="",0,IF($I62="Yes",IF(ISNUMBER($G62),$G62,0)-$M62,0))</f>
        <v/>
      </c>
      <c r="O62" s="9" t="n"/>
      <c r="P62" s="9" t="n"/>
    </row>
    <row r="63">
      <c r="A63" s="9" t="n"/>
      <c r="B63" s="19" t="n"/>
      <c r="C63" s="9" t="n"/>
      <c r="D63" s="9" t="n"/>
      <c r="E63" s="9" t="n"/>
      <c r="F63" s="9" t="n"/>
      <c r="G63" s="10" t="n"/>
      <c r="H63" s="9" t="n"/>
      <c r="I63" s="9" t="n"/>
      <c r="J63" s="9" t="n"/>
      <c r="K63" s="9" t="n"/>
      <c r="L63">
        <f>IF($A63="","",IF($P63="Yes","Disputed / Review",IF($I63&lt;&gt;"Yes","Not Reimbursable",IF($M63&lt;=0.004,"Pending",IF($N63&lt;=0.004,"Reimbursed","Partially Reimbursed")))))</f>
        <v/>
      </c>
      <c r="M63" s="12">
        <f>IF($A63="",0,SUMIF('Family Contributions'!$I$4:$I$1003,$A63,'Family Contributions'!$G$4:$G$1003))</f>
        <v/>
      </c>
      <c r="N63" s="12">
        <f>IF($A63="",0,IF($I63="Yes",IF(ISNUMBER($G63),$G63,0)-$M63,0))</f>
        <v/>
      </c>
      <c r="O63" s="9" t="n"/>
      <c r="P63" s="9" t="n"/>
    </row>
    <row r="64">
      <c r="A64" s="9" t="n"/>
      <c r="B64" s="19" t="n"/>
      <c r="C64" s="9" t="n"/>
      <c r="D64" s="9" t="n"/>
      <c r="E64" s="9" t="n"/>
      <c r="F64" s="9" t="n"/>
      <c r="G64" s="10" t="n"/>
      <c r="H64" s="9" t="n"/>
      <c r="I64" s="9" t="n"/>
      <c r="J64" s="9" t="n"/>
      <c r="K64" s="9" t="n"/>
      <c r="L64">
        <f>IF($A64="","",IF($P64="Yes","Disputed / Review",IF($I64&lt;&gt;"Yes","Not Reimbursable",IF($M64&lt;=0.004,"Pending",IF($N64&lt;=0.004,"Reimbursed","Partially Reimbursed")))))</f>
        <v/>
      </c>
      <c r="M64" s="12">
        <f>IF($A64="",0,SUMIF('Family Contributions'!$I$4:$I$1003,$A64,'Family Contributions'!$G$4:$G$1003))</f>
        <v/>
      </c>
      <c r="N64" s="12">
        <f>IF($A64="",0,IF($I64="Yes",IF(ISNUMBER($G64),$G64,0)-$M64,0))</f>
        <v/>
      </c>
      <c r="O64" s="9" t="n"/>
      <c r="P64" s="9" t="n"/>
    </row>
    <row r="65">
      <c r="A65" s="9" t="n"/>
      <c r="B65" s="19" t="n"/>
      <c r="C65" s="9" t="n"/>
      <c r="D65" s="9" t="n"/>
      <c r="E65" s="9" t="n"/>
      <c r="F65" s="9" t="n"/>
      <c r="G65" s="10" t="n"/>
      <c r="H65" s="9" t="n"/>
      <c r="I65" s="9" t="n"/>
      <c r="J65" s="9" t="n"/>
      <c r="K65" s="9" t="n"/>
      <c r="L65">
        <f>IF($A65="","",IF($P65="Yes","Disputed / Review",IF($I65&lt;&gt;"Yes","Not Reimbursable",IF($M65&lt;=0.004,"Pending",IF($N65&lt;=0.004,"Reimbursed","Partially Reimbursed")))))</f>
        <v/>
      </c>
      <c r="M65" s="12">
        <f>IF($A65="",0,SUMIF('Family Contributions'!$I$4:$I$1003,$A65,'Family Contributions'!$G$4:$G$1003))</f>
        <v/>
      </c>
      <c r="N65" s="12">
        <f>IF($A65="",0,IF($I65="Yes",IF(ISNUMBER($G65),$G65,0)-$M65,0))</f>
        <v/>
      </c>
      <c r="O65" s="9" t="n"/>
      <c r="P65" s="9" t="n"/>
    </row>
    <row r="66">
      <c r="A66" s="9" t="n"/>
      <c r="B66" s="19" t="n"/>
      <c r="C66" s="9" t="n"/>
      <c r="D66" s="9" t="n"/>
      <c r="E66" s="9" t="n"/>
      <c r="F66" s="9" t="n"/>
      <c r="G66" s="10" t="n"/>
      <c r="H66" s="9" t="n"/>
      <c r="I66" s="9" t="n"/>
      <c r="J66" s="9" t="n"/>
      <c r="K66" s="9" t="n"/>
      <c r="L66">
        <f>IF($A66="","",IF($P66="Yes","Disputed / Review",IF($I66&lt;&gt;"Yes","Not Reimbursable",IF($M66&lt;=0.004,"Pending",IF($N66&lt;=0.004,"Reimbursed","Partially Reimbursed")))))</f>
        <v/>
      </c>
      <c r="M66" s="12">
        <f>IF($A66="",0,SUMIF('Family Contributions'!$I$4:$I$1003,$A66,'Family Contributions'!$G$4:$G$1003))</f>
        <v/>
      </c>
      <c r="N66" s="12">
        <f>IF($A66="",0,IF($I66="Yes",IF(ISNUMBER($G66),$G66,0)-$M66,0))</f>
        <v/>
      </c>
      <c r="O66" s="9" t="n"/>
      <c r="P66" s="9" t="n"/>
    </row>
    <row r="67">
      <c r="A67" s="9" t="n"/>
      <c r="B67" s="19" t="n"/>
      <c r="C67" s="9" t="n"/>
      <c r="D67" s="9" t="n"/>
      <c r="E67" s="9" t="n"/>
      <c r="F67" s="9" t="n"/>
      <c r="G67" s="10" t="n"/>
      <c r="H67" s="9" t="n"/>
      <c r="I67" s="9" t="n"/>
      <c r="J67" s="9" t="n"/>
      <c r="K67" s="9" t="n"/>
      <c r="L67">
        <f>IF($A67="","",IF($P67="Yes","Disputed / Review",IF($I67&lt;&gt;"Yes","Not Reimbursable",IF($M67&lt;=0.004,"Pending",IF($N67&lt;=0.004,"Reimbursed","Partially Reimbursed")))))</f>
        <v/>
      </c>
      <c r="M67" s="12">
        <f>IF($A67="",0,SUMIF('Family Contributions'!$I$4:$I$1003,$A67,'Family Contributions'!$G$4:$G$1003))</f>
        <v/>
      </c>
      <c r="N67" s="12">
        <f>IF($A67="",0,IF($I67="Yes",IF(ISNUMBER($G67),$G67,0)-$M67,0))</f>
        <v/>
      </c>
      <c r="O67" s="9" t="n"/>
      <c r="P67" s="9" t="n"/>
    </row>
    <row r="68">
      <c r="A68" s="9" t="n"/>
      <c r="B68" s="19" t="n"/>
      <c r="C68" s="9" t="n"/>
      <c r="D68" s="9" t="n"/>
      <c r="E68" s="9" t="n"/>
      <c r="F68" s="9" t="n"/>
      <c r="G68" s="10" t="n"/>
      <c r="H68" s="9" t="n"/>
      <c r="I68" s="9" t="n"/>
      <c r="J68" s="9" t="n"/>
      <c r="K68" s="9" t="n"/>
      <c r="L68">
        <f>IF($A68="","",IF($P68="Yes","Disputed / Review",IF($I68&lt;&gt;"Yes","Not Reimbursable",IF($M68&lt;=0.004,"Pending",IF($N68&lt;=0.004,"Reimbursed","Partially Reimbursed")))))</f>
        <v/>
      </c>
      <c r="M68" s="12">
        <f>IF($A68="",0,SUMIF('Family Contributions'!$I$4:$I$1003,$A68,'Family Contributions'!$G$4:$G$1003))</f>
        <v/>
      </c>
      <c r="N68" s="12">
        <f>IF($A68="",0,IF($I68="Yes",IF(ISNUMBER($G68),$G68,0)-$M68,0))</f>
        <v/>
      </c>
      <c r="O68" s="9" t="n"/>
      <c r="P68" s="9" t="n"/>
    </row>
    <row r="69">
      <c r="A69" s="9" t="n"/>
      <c r="B69" s="19" t="n"/>
      <c r="C69" s="9" t="n"/>
      <c r="D69" s="9" t="n"/>
      <c r="E69" s="9" t="n"/>
      <c r="F69" s="9" t="n"/>
      <c r="G69" s="10" t="n"/>
      <c r="H69" s="9" t="n"/>
      <c r="I69" s="9" t="n"/>
      <c r="J69" s="9" t="n"/>
      <c r="K69" s="9" t="n"/>
      <c r="L69">
        <f>IF($A69="","",IF($P69="Yes","Disputed / Review",IF($I69&lt;&gt;"Yes","Not Reimbursable",IF($M69&lt;=0.004,"Pending",IF($N69&lt;=0.004,"Reimbursed","Partially Reimbursed")))))</f>
        <v/>
      </c>
      <c r="M69" s="12">
        <f>IF($A69="",0,SUMIF('Family Contributions'!$I$4:$I$1003,$A69,'Family Contributions'!$G$4:$G$1003))</f>
        <v/>
      </c>
      <c r="N69" s="12">
        <f>IF($A69="",0,IF($I69="Yes",IF(ISNUMBER($G69),$G69,0)-$M69,0))</f>
        <v/>
      </c>
      <c r="O69" s="9" t="n"/>
      <c r="P69" s="9" t="n"/>
    </row>
    <row r="70">
      <c r="A70" s="9" t="n"/>
      <c r="B70" s="19" t="n"/>
      <c r="C70" s="9" t="n"/>
      <c r="D70" s="9" t="n"/>
      <c r="E70" s="9" t="n"/>
      <c r="F70" s="9" t="n"/>
      <c r="G70" s="10" t="n"/>
      <c r="H70" s="9" t="n"/>
      <c r="I70" s="9" t="n"/>
      <c r="J70" s="9" t="n"/>
      <c r="K70" s="9" t="n"/>
      <c r="L70">
        <f>IF($A70="","",IF($P70="Yes","Disputed / Review",IF($I70&lt;&gt;"Yes","Not Reimbursable",IF($M70&lt;=0.004,"Pending",IF($N70&lt;=0.004,"Reimbursed","Partially Reimbursed")))))</f>
        <v/>
      </c>
      <c r="M70" s="12">
        <f>IF($A70="",0,SUMIF('Family Contributions'!$I$4:$I$1003,$A70,'Family Contributions'!$G$4:$G$1003))</f>
        <v/>
      </c>
      <c r="N70" s="12">
        <f>IF($A70="",0,IF($I70="Yes",IF(ISNUMBER($G70),$G70,0)-$M70,0))</f>
        <v/>
      </c>
      <c r="O70" s="9" t="n"/>
      <c r="P70" s="9" t="n"/>
    </row>
    <row r="71">
      <c r="A71" s="9" t="n"/>
      <c r="B71" s="19" t="n"/>
      <c r="C71" s="9" t="n"/>
      <c r="D71" s="9" t="n"/>
      <c r="E71" s="9" t="n"/>
      <c r="F71" s="9" t="n"/>
      <c r="G71" s="10" t="n"/>
      <c r="H71" s="9" t="n"/>
      <c r="I71" s="9" t="n"/>
      <c r="J71" s="9" t="n"/>
      <c r="K71" s="9" t="n"/>
      <c r="L71">
        <f>IF($A71="","",IF($P71="Yes","Disputed / Review",IF($I71&lt;&gt;"Yes","Not Reimbursable",IF($M71&lt;=0.004,"Pending",IF($N71&lt;=0.004,"Reimbursed","Partially Reimbursed")))))</f>
        <v/>
      </c>
      <c r="M71" s="12">
        <f>IF($A71="",0,SUMIF('Family Contributions'!$I$4:$I$1003,$A71,'Family Contributions'!$G$4:$G$1003))</f>
        <v/>
      </c>
      <c r="N71" s="12">
        <f>IF($A71="",0,IF($I71="Yes",IF(ISNUMBER($G71),$G71,0)-$M71,0))</f>
        <v/>
      </c>
      <c r="O71" s="9" t="n"/>
      <c r="P71" s="9" t="n"/>
    </row>
    <row r="72">
      <c r="A72" s="9" t="n"/>
      <c r="B72" s="19" t="n"/>
      <c r="C72" s="9" t="n"/>
      <c r="D72" s="9" t="n"/>
      <c r="E72" s="9" t="n"/>
      <c r="F72" s="9" t="n"/>
      <c r="G72" s="10" t="n"/>
      <c r="H72" s="9" t="n"/>
      <c r="I72" s="9" t="n"/>
      <c r="J72" s="9" t="n"/>
      <c r="K72" s="9" t="n"/>
      <c r="L72">
        <f>IF($A72="","",IF($P72="Yes","Disputed / Review",IF($I72&lt;&gt;"Yes","Not Reimbursable",IF($M72&lt;=0.004,"Pending",IF($N72&lt;=0.004,"Reimbursed","Partially Reimbursed")))))</f>
        <v/>
      </c>
      <c r="M72" s="12">
        <f>IF($A72="",0,SUMIF('Family Contributions'!$I$4:$I$1003,$A72,'Family Contributions'!$G$4:$G$1003))</f>
        <v/>
      </c>
      <c r="N72" s="12">
        <f>IF($A72="",0,IF($I72="Yes",IF(ISNUMBER($G72),$G72,0)-$M72,0))</f>
        <v/>
      </c>
      <c r="O72" s="9" t="n"/>
      <c r="P72" s="9" t="n"/>
    </row>
    <row r="73">
      <c r="A73" s="9" t="n"/>
      <c r="B73" s="19" t="n"/>
      <c r="C73" s="9" t="n"/>
      <c r="D73" s="9" t="n"/>
      <c r="E73" s="9" t="n"/>
      <c r="F73" s="9" t="n"/>
      <c r="G73" s="10" t="n"/>
      <c r="H73" s="9" t="n"/>
      <c r="I73" s="9" t="n"/>
      <c r="J73" s="9" t="n"/>
      <c r="K73" s="9" t="n"/>
      <c r="L73">
        <f>IF($A73="","",IF($P73="Yes","Disputed / Review",IF($I73&lt;&gt;"Yes","Not Reimbursable",IF($M73&lt;=0.004,"Pending",IF($N73&lt;=0.004,"Reimbursed","Partially Reimbursed")))))</f>
        <v/>
      </c>
      <c r="M73" s="12">
        <f>IF($A73="",0,SUMIF('Family Contributions'!$I$4:$I$1003,$A73,'Family Contributions'!$G$4:$G$1003))</f>
        <v/>
      </c>
      <c r="N73" s="12">
        <f>IF($A73="",0,IF($I73="Yes",IF(ISNUMBER($G73),$G73,0)-$M73,0))</f>
        <v/>
      </c>
      <c r="O73" s="9" t="n"/>
      <c r="P73" s="9" t="n"/>
    </row>
    <row r="74">
      <c r="A74" s="9" t="n"/>
      <c r="B74" s="19" t="n"/>
      <c r="C74" s="9" t="n"/>
      <c r="D74" s="9" t="n"/>
      <c r="E74" s="9" t="n"/>
      <c r="F74" s="9" t="n"/>
      <c r="G74" s="10" t="n"/>
      <c r="H74" s="9" t="n"/>
      <c r="I74" s="9" t="n"/>
      <c r="J74" s="9" t="n"/>
      <c r="K74" s="9" t="n"/>
      <c r="L74">
        <f>IF($A74="","",IF($P74="Yes","Disputed / Review",IF($I74&lt;&gt;"Yes","Not Reimbursable",IF($M74&lt;=0.004,"Pending",IF($N74&lt;=0.004,"Reimbursed","Partially Reimbursed")))))</f>
        <v/>
      </c>
      <c r="M74" s="12">
        <f>IF($A74="",0,SUMIF('Family Contributions'!$I$4:$I$1003,$A74,'Family Contributions'!$G$4:$G$1003))</f>
        <v/>
      </c>
      <c r="N74" s="12">
        <f>IF($A74="",0,IF($I74="Yes",IF(ISNUMBER($G74),$G74,0)-$M74,0))</f>
        <v/>
      </c>
      <c r="O74" s="9" t="n"/>
      <c r="P74" s="9" t="n"/>
    </row>
    <row r="75">
      <c r="A75" s="9" t="n"/>
      <c r="B75" s="19" t="n"/>
      <c r="C75" s="9" t="n"/>
      <c r="D75" s="9" t="n"/>
      <c r="E75" s="9" t="n"/>
      <c r="F75" s="9" t="n"/>
      <c r="G75" s="10" t="n"/>
      <c r="H75" s="9" t="n"/>
      <c r="I75" s="9" t="n"/>
      <c r="J75" s="9" t="n"/>
      <c r="K75" s="9" t="n"/>
      <c r="L75">
        <f>IF($A75="","",IF($P75="Yes","Disputed / Review",IF($I75&lt;&gt;"Yes","Not Reimbursable",IF($M75&lt;=0.004,"Pending",IF($N75&lt;=0.004,"Reimbursed","Partially Reimbursed")))))</f>
        <v/>
      </c>
      <c r="M75" s="12">
        <f>IF($A75="",0,SUMIF('Family Contributions'!$I$4:$I$1003,$A75,'Family Contributions'!$G$4:$G$1003))</f>
        <v/>
      </c>
      <c r="N75" s="12">
        <f>IF($A75="",0,IF($I75="Yes",IF(ISNUMBER($G75),$G75,0)-$M75,0))</f>
        <v/>
      </c>
      <c r="O75" s="9" t="n"/>
      <c r="P75" s="9" t="n"/>
    </row>
    <row r="76">
      <c r="A76" s="9" t="n"/>
      <c r="B76" s="19" t="n"/>
      <c r="C76" s="9" t="n"/>
      <c r="D76" s="9" t="n"/>
      <c r="E76" s="9" t="n"/>
      <c r="F76" s="9" t="n"/>
      <c r="G76" s="10" t="n"/>
      <c r="H76" s="9" t="n"/>
      <c r="I76" s="9" t="n"/>
      <c r="J76" s="9" t="n"/>
      <c r="K76" s="9" t="n"/>
      <c r="L76">
        <f>IF($A76="","",IF($P76="Yes","Disputed / Review",IF($I76&lt;&gt;"Yes","Not Reimbursable",IF($M76&lt;=0.004,"Pending",IF($N76&lt;=0.004,"Reimbursed","Partially Reimbursed")))))</f>
        <v/>
      </c>
      <c r="M76" s="12">
        <f>IF($A76="",0,SUMIF('Family Contributions'!$I$4:$I$1003,$A76,'Family Contributions'!$G$4:$G$1003))</f>
        <v/>
      </c>
      <c r="N76" s="12">
        <f>IF($A76="",0,IF($I76="Yes",IF(ISNUMBER($G76),$G76,0)-$M76,0))</f>
        <v/>
      </c>
      <c r="O76" s="9" t="n"/>
      <c r="P76" s="9" t="n"/>
    </row>
    <row r="77">
      <c r="A77" s="9" t="n"/>
      <c r="B77" s="19" t="n"/>
      <c r="C77" s="9" t="n"/>
      <c r="D77" s="9" t="n"/>
      <c r="E77" s="9" t="n"/>
      <c r="F77" s="9" t="n"/>
      <c r="G77" s="10" t="n"/>
      <c r="H77" s="9" t="n"/>
      <c r="I77" s="9" t="n"/>
      <c r="J77" s="9" t="n"/>
      <c r="K77" s="9" t="n"/>
      <c r="L77">
        <f>IF($A77="","",IF($P77="Yes","Disputed / Review",IF($I77&lt;&gt;"Yes","Not Reimbursable",IF($M77&lt;=0.004,"Pending",IF($N77&lt;=0.004,"Reimbursed","Partially Reimbursed")))))</f>
        <v/>
      </c>
      <c r="M77" s="12">
        <f>IF($A77="",0,SUMIF('Family Contributions'!$I$4:$I$1003,$A77,'Family Contributions'!$G$4:$G$1003))</f>
        <v/>
      </c>
      <c r="N77" s="12">
        <f>IF($A77="",0,IF($I77="Yes",IF(ISNUMBER($G77),$G77,0)-$M77,0))</f>
        <v/>
      </c>
      <c r="O77" s="9" t="n"/>
      <c r="P77" s="9" t="n"/>
    </row>
    <row r="78">
      <c r="A78" s="9" t="n"/>
      <c r="B78" s="19" t="n"/>
      <c r="C78" s="9" t="n"/>
      <c r="D78" s="9" t="n"/>
      <c r="E78" s="9" t="n"/>
      <c r="F78" s="9" t="n"/>
      <c r="G78" s="10" t="n"/>
      <c r="H78" s="9" t="n"/>
      <c r="I78" s="9" t="n"/>
      <c r="J78" s="9" t="n"/>
      <c r="K78" s="9" t="n"/>
      <c r="L78">
        <f>IF($A78="","",IF($P78="Yes","Disputed / Review",IF($I78&lt;&gt;"Yes","Not Reimbursable",IF($M78&lt;=0.004,"Pending",IF($N78&lt;=0.004,"Reimbursed","Partially Reimbursed")))))</f>
        <v/>
      </c>
      <c r="M78" s="12">
        <f>IF($A78="",0,SUMIF('Family Contributions'!$I$4:$I$1003,$A78,'Family Contributions'!$G$4:$G$1003))</f>
        <v/>
      </c>
      <c r="N78" s="12">
        <f>IF($A78="",0,IF($I78="Yes",IF(ISNUMBER($G78),$G78,0)-$M78,0))</f>
        <v/>
      </c>
      <c r="O78" s="9" t="n"/>
      <c r="P78" s="9" t="n"/>
    </row>
    <row r="79">
      <c r="A79" s="9" t="n"/>
      <c r="B79" s="19" t="n"/>
      <c r="C79" s="9" t="n"/>
      <c r="D79" s="9" t="n"/>
      <c r="E79" s="9" t="n"/>
      <c r="F79" s="9" t="n"/>
      <c r="G79" s="10" t="n"/>
      <c r="H79" s="9" t="n"/>
      <c r="I79" s="9" t="n"/>
      <c r="J79" s="9" t="n"/>
      <c r="K79" s="9" t="n"/>
      <c r="L79">
        <f>IF($A79="","",IF($P79="Yes","Disputed / Review",IF($I79&lt;&gt;"Yes","Not Reimbursable",IF($M79&lt;=0.004,"Pending",IF($N79&lt;=0.004,"Reimbursed","Partially Reimbursed")))))</f>
        <v/>
      </c>
      <c r="M79" s="12">
        <f>IF($A79="",0,SUMIF('Family Contributions'!$I$4:$I$1003,$A79,'Family Contributions'!$G$4:$G$1003))</f>
        <v/>
      </c>
      <c r="N79" s="12">
        <f>IF($A79="",0,IF($I79="Yes",IF(ISNUMBER($G79),$G79,0)-$M79,0))</f>
        <v/>
      </c>
      <c r="O79" s="9" t="n"/>
      <c r="P79" s="9" t="n"/>
    </row>
    <row r="80">
      <c r="A80" s="9" t="n"/>
      <c r="B80" s="19" t="n"/>
      <c r="C80" s="9" t="n"/>
      <c r="D80" s="9" t="n"/>
      <c r="E80" s="9" t="n"/>
      <c r="F80" s="9" t="n"/>
      <c r="G80" s="10" t="n"/>
      <c r="H80" s="9" t="n"/>
      <c r="I80" s="9" t="n"/>
      <c r="J80" s="9" t="n"/>
      <c r="K80" s="9" t="n"/>
      <c r="L80">
        <f>IF($A80="","",IF($P80="Yes","Disputed / Review",IF($I80&lt;&gt;"Yes","Not Reimbursable",IF($M80&lt;=0.004,"Pending",IF($N80&lt;=0.004,"Reimbursed","Partially Reimbursed")))))</f>
        <v/>
      </c>
      <c r="M80" s="12">
        <f>IF($A80="",0,SUMIF('Family Contributions'!$I$4:$I$1003,$A80,'Family Contributions'!$G$4:$G$1003))</f>
        <v/>
      </c>
      <c r="N80" s="12">
        <f>IF($A80="",0,IF($I80="Yes",IF(ISNUMBER($G80),$G80,0)-$M80,0))</f>
        <v/>
      </c>
      <c r="O80" s="9" t="n"/>
      <c r="P80" s="9" t="n"/>
    </row>
    <row r="81">
      <c r="A81" s="9" t="n"/>
      <c r="B81" s="19" t="n"/>
      <c r="C81" s="9" t="n"/>
      <c r="D81" s="9" t="n"/>
      <c r="E81" s="9" t="n"/>
      <c r="F81" s="9" t="n"/>
      <c r="G81" s="10" t="n"/>
      <c r="H81" s="9" t="n"/>
      <c r="I81" s="9" t="n"/>
      <c r="J81" s="9" t="n"/>
      <c r="K81" s="9" t="n"/>
      <c r="L81">
        <f>IF($A81="","",IF($P81="Yes","Disputed / Review",IF($I81&lt;&gt;"Yes","Not Reimbursable",IF($M81&lt;=0.004,"Pending",IF($N81&lt;=0.004,"Reimbursed","Partially Reimbursed")))))</f>
        <v/>
      </c>
      <c r="M81" s="12">
        <f>IF($A81="",0,SUMIF('Family Contributions'!$I$4:$I$1003,$A81,'Family Contributions'!$G$4:$G$1003))</f>
        <v/>
      </c>
      <c r="N81" s="12">
        <f>IF($A81="",0,IF($I81="Yes",IF(ISNUMBER($G81),$G81,0)-$M81,0))</f>
        <v/>
      </c>
      <c r="O81" s="9" t="n"/>
      <c r="P81" s="9" t="n"/>
    </row>
    <row r="82">
      <c r="A82" s="9" t="n"/>
      <c r="B82" s="19" t="n"/>
      <c r="C82" s="9" t="n"/>
      <c r="D82" s="9" t="n"/>
      <c r="E82" s="9" t="n"/>
      <c r="F82" s="9" t="n"/>
      <c r="G82" s="10" t="n"/>
      <c r="H82" s="9" t="n"/>
      <c r="I82" s="9" t="n"/>
      <c r="J82" s="9" t="n"/>
      <c r="K82" s="9" t="n"/>
      <c r="L82">
        <f>IF($A82="","",IF($P82="Yes","Disputed / Review",IF($I82&lt;&gt;"Yes","Not Reimbursable",IF($M82&lt;=0.004,"Pending",IF($N82&lt;=0.004,"Reimbursed","Partially Reimbursed")))))</f>
        <v/>
      </c>
      <c r="M82" s="12">
        <f>IF($A82="",0,SUMIF('Family Contributions'!$I$4:$I$1003,$A82,'Family Contributions'!$G$4:$G$1003))</f>
        <v/>
      </c>
      <c r="N82" s="12">
        <f>IF($A82="",0,IF($I82="Yes",IF(ISNUMBER($G82),$G82,0)-$M82,0))</f>
        <v/>
      </c>
      <c r="O82" s="9" t="n"/>
      <c r="P82" s="9" t="n"/>
    </row>
    <row r="83">
      <c r="A83" s="9" t="n"/>
      <c r="B83" s="19" t="n"/>
      <c r="C83" s="9" t="n"/>
      <c r="D83" s="9" t="n"/>
      <c r="E83" s="9" t="n"/>
      <c r="F83" s="9" t="n"/>
      <c r="G83" s="10" t="n"/>
      <c r="H83" s="9" t="n"/>
      <c r="I83" s="9" t="n"/>
      <c r="J83" s="9" t="n"/>
      <c r="K83" s="9" t="n"/>
      <c r="L83">
        <f>IF($A83="","",IF($P83="Yes","Disputed / Review",IF($I83&lt;&gt;"Yes","Not Reimbursable",IF($M83&lt;=0.004,"Pending",IF($N83&lt;=0.004,"Reimbursed","Partially Reimbursed")))))</f>
        <v/>
      </c>
      <c r="M83" s="12">
        <f>IF($A83="",0,SUMIF('Family Contributions'!$I$4:$I$1003,$A83,'Family Contributions'!$G$4:$G$1003))</f>
        <v/>
      </c>
      <c r="N83" s="12">
        <f>IF($A83="",0,IF($I83="Yes",IF(ISNUMBER($G83),$G83,0)-$M83,0))</f>
        <v/>
      </c>
      <c r="O83" s="9" t="n"/>
      <c r="P83" s="9" t="n"/>
    </row>
    <row r="84">
      <c r="A84" s="9" t="n"/>
      <c r="B84" s="19" t="n"/>
      <c r="C84" s="9" t="n"/>
      <c r="D84" s="9" t="n"/>
      <c r="E84" s="9" t="n"/>
      <c r="F84" s="9" t="n"/>
      <c r="G84" s="10" t="n"/>
      <c r="H84" s="9" t="n"/>
      <c r="I84" s="9" t="n"/>
      <c r="J84" s="9" t="n"/>
      <c r="K84" s="9" t="n"/>
      <c r="L84">
        <f>IF($A84="","",IF($P84="Yes","Disputed / Review",IF($I84&lt;&gt;"Yes","Not Reimbursable",IF($M84&lt;=0.004,"Pending",IF($N84&lt;=0.004,"Reimbursed","Partially Reimbursed")))))</f>
        <v/>
      </c>
      <c r="M84" s="12">
        <f>IF($A84="",0,SUMIF('Family Contributions'!$I$4:$I$1003,$A84,'Family Contributions'!$G$4:$G$1003))</f>
        <v/>
      </c>
      <c r="N84" s="12">
        <f>IF($A84="",0,IF($I84="Yes",IF(ISNUMBER($G84),$G84,0)-$M84,0))</f>
        <v/>
      </c>
      <c r="O84" s="9" t="n"/>
      <c r="P84" s="9" t="n"/>
    </row>
    <row r="85">
      <c r="A85" s="9" t="n"/>
      <c r="B85" s="19" t="n"/>
      <c r="C85" s="9" t="n"/>
      <c r="D85" s="9" t="n"/>
      <c r="E85" s="9" t="n"/>
      <c r="F85" s="9" t="n"/>
      <c r="G85" s="10" t="n"/>
      <c r="H85" s="9" t="n"/>
      <c r="I85" s="9" t="n"/>
      <c r="J85" s="9" t="n"/>
      <c r="K85" s="9" t="n"/>
      <c r="L85">
        <f>IF($A85="","",IF($P85="Yes","Disputed / Review",IF($I85&lt;&gt;"Yes","Not Reimbursable",IF($M85&lt;=0.004,"Pending",IF($N85&lt;=0.004,"Reimbursed","Partially Reimbursed")))))</f>
        <v/>
      </c>
      <c r="M85" s="12">
        <f>IF($A85="",0,SUMIF('Family Contributions'!$I$4:$I$1003,$A85,'Family Contributions'!$G$4:$G$1003))</f>
        <v/>
      </c>
      <c r="N85" s="12">
        <f>IF($A85="",0,IF($I85="Yes",IF(ISNUMBER($G85),$G85,0)-$M85,0))</f>
        <v/>
      </c>
      <c r="O85" s="9" t="n"/>
      <c r="P85" s="9" t="n"/>
    </row>
    <row r="86">
      <c r="A86" s="9" t="n"/>
      <c r="B86" s="19" t="n"/>
      <c r="C86" s="9" t="n"/>
      <c r="D86" s="9" t="n"/>
      <c r="E86" s="9" t="n"/>
      <c r="F86" s="9" t="n"/>
      <c r="G86" s="10" t="n"/>
      <c r="H86" s="9" t="n"/>
      <c r="I86" s="9" t="n"/>
      <c r="J86" s="9" t="n"/>
      <c r="K86" s="9" t="n"/>
      <c r="L86">
        <f>IF($A86="","",IF($P86="Yes","Disputed / Review",IF($I86&lt;&gt;"Yes","Not Reimbursable",IF($M86&lt;=0.004,"Pending",IF($N86&lt;=0.004,"Reimbursed","Partially Reimbursed")))))</f>
        <v/>
      </c>
      <c r="M86" s="12">
        <f>IF($A86="",0,SUMIF('Family Contributions'!$I$4:$I$1003,$A86,'Family Contributions'!$G$4:$G$1003))</f>
        <v/>
      </c>
      <c r="N86" s="12">
        <f>IF($A86="",0,IF($I86="Yes",IF(ISNUMBER($G86),$G86,0)-$M86,0))</f>
        <v/>
      </c>
      <c r="O86" s="9" t="n"/>
      <c r="P86" s="9" t="n"/>
    </row>
    <row r="87">
      <c r="A87" s="9" t="n"/>
      <c r="B87" s="19" t="n"/>
      <c r="C87" s="9" t="n"/>
      <c r="D87" s="9" t="n"/>
      <c r="E87" s="9" t="n"/>
      <c r="F87" s="9" t="n"/>
      <c r="G87" s="10" t="n"/>
      <c r="H87" s="9" t="n"/>
      <c r="I87" s="9" t="n"/>
      <c r="J87" s="9" t="n"/>
      <c r="K87" s="9" t="n"/>
      <c r="L87">
        <f>IF($A87="","",IF($P87="Yes","Disputed / Review",IF($I87&lt;&gt;"Yes","Not Reimbursable",IF($M87&lt;=0.004,"Pending",IF($N87&lt;=0.004,"Reimbursed","Partially Reimbursed")))))</f>
        <v/>
      </c>
      <c r="M87" s="12">
        <f>IF($A87="",0,SUMIF('Family Contributions'!$I$4:$I$1003,$A87,'Family Contributions'!$G$4:$G$1003))</f>
        <v/>
      </c>
      <c r="N87" s="12">
        <f>IF($A87="",0,IF($I87="Yes",IF(ISNUMBER($G87),$G87,0)-$M87,0))</f>
        <v/>
      </c>
      <c r="O87" s="9" t="n"/>
      <c r="P87" s="9" t="n"/>
    </row>
    <row r="88">
      <c r="A88" s="9" t="n"/>
      <c r="B88" s="19" t="n"/>
      <c r="C88" s="9" t="n"/>
      <c r="D88" s="9" t="n"/>
      <c r="E88" s="9" t="n"/>
      <c r="F88" s="9" t="n"/>
      <c r="G88" s="10" t="n"/>
      <c r="H88" s="9" t="n"/>
      <c r="I88" s="9" t="n"/>
      <c r="J88" s="9" t="n"/>
      <c r="K88" s="9" t="n"/>
      <c r="L88">
        <f>IF($A88="","",IF($P88="Yes","Disputed / Review",IF($I88&lt;&gt;"Yes","Not Reimbursable",IF($M88&lt;=0.004,"Pending",IF($N88&lt;=0.004,"Reimbursed","Partially Reimbursed")))))</f>
        <v/>
      </c>
      <c r="M88" s="12">
        <f>IF($A88="",0,SUMIF('Family Contributions'!$I$4:$I$1003,$A88,'Family Contributions'!$G$4:$G$1003))</f>
        <v/>
      </c>
      <c r="N88" s="12">
        <f>IF($A88="",0,IF($I88="Yes",IF(ISNUMBER($G88),$G88,0)-$M88,0))</f>
        <v/>
      </c>
      <c r="O88" s="9" t="n"/>
      <c r="P88" s="9" t="n"/>
    </row>
    <row r="89">
      <c r="A89" s="9" t="n"/>
      <c r="B89" s="19" t="n"/>
      <c r="C89" s="9" t="n"/>
      <c r="D89" s="9" t="n"/>
      <c r="E89" s="9" t="n"/>
      <c r="F89" s="9" t="n"/>
      <c r="G89" s="10" t="n"/>
      <c r="H89" s="9" t="n"/>
      <c r="I89" s="9" t="n"/>
      <c r="J89" s="9" t="n"/>
      <c r="K89" s="9" t="n"/>
      <c r="L89">
        <f>IF($A89="","",IF($P89="Yes","Disputed / Review",IF($I89&lt;&gt;"Yes","Not Reimbursable",IF($M89&lt;=0.004,"Pending",IF($N89&lt;=0.004,"Reimbursed","Partially Reimbursed")))))</f>
        <v/>
      </c>
      <c r="M89" s="12">
        <f>IF($A89="",0,SUMIF('Family Contributions'!$I$4:$I$1003,$A89,'Family Contributions'!$G$4:$G$1003))</f>
        <v/>
      </c>
      <c r="N89" s="12">
        <f>IF($A89="",0,IF($I89="Yes",IF(ISNUMBER($G89),$G89,0)-$M89,0))</f>
        <v/>
      </c>
      <c r="O89" s="9" t="n"/>
      <c r="P89" s="9" t="n"/>
    </row>
    <row r="90">
      <c r="A90" s="9" t="n"/>
      <c r="B90" s="19" t="n"/>
      <c r="C90" s="9" t="n"/>
      <c r="D90" s="9" t="n"/>
      <c r="E90" s="9" t="n"/>
      <c r="F90" s="9" t="n"/>
      <c r="G90" s="10" t="n"/>
      <c r="H90" s="9" t="n"/>
      <c r="I90" s="9" t="n"/>
      <c r="J90" s="9" t="n"/>
      <c r="K90" s="9" t="n"/>
      <c r="L90">
        <f>IF($A90="","",IF($P90="Yes","Disputed / Review",IF($I90&lt;&gt;"Yes","Not Reimbursable",IF($M90&lt;=0.004,"Pending",IF($N90&lt;=0.004,"Reimbursed","Partially Reimbursed")))))</f>
        <v/>
      </c>
      <c r="M90" s="12">
        <f>IF($A90="",0,SUMIF('Family Contributions'!$I$4:$I$1003,$A90,'Family Contributions'!$G$4:$G$1003))</f>
        <v/>
      </c>
      <c r="N90" s="12">
        <f>IF($A90="",0,IF($I90="Yes",IF(ISNUMBER($G90),$G90,0)-$M90,0))</f>
        <v/>
      </c>
      <c r="O90" s="9" t="n"/>
      <c r="P90" s="9" t="n"/>
    </row>
    <row r="91">
      <c r="A91" s="9" t="n"/>
      <c r="B91" s="19" t="n"/>
      <c r="C91" s="9" t="n"/>
      <c r="D91" s="9" t="n"/>
      <c r="E91" s="9" t="n"/>
      <c r="F91" s="9" t="n"/>
      <c r="G91" s="10" t="n"/>
      <c r="H91" s="9" t="n"/>
      <c r="I91" s="9" t="n"/>
      <c r="J91" s="9" t="n"/>
      <c r="K91" s="9" t="n"/>
      <c r="L91">
        <f>IF($A91="","",IF($P91="Yes","Disputed / Review",IF($I91&lt;&gt;"Yes","Not Reimbursable",IF($M91&lt;=0.004,"Pending",IF($N91&lt;=0.004,"Reimbursed","Partially Reimbursed")))))</f>
        <v/>
      </c>
      <c r="M91" s="12">
        <f>IF($A91="",0,SUMIF('Family Contributions'!$I$4:$I$1003,$A91,'Family Contributions'!$G$4:$G$1003))</f>
        <v/>
      </c>
      <c r="N91" s="12">
        <f>IF($A91="",0,IF($I91="Yes",IF(ISNUMBER($G91),$G91,0)-$M91,0))</f>
        <v/>
      </c>
      <c r="O91" s="9" t="n"/>
      <c r="P91" s="9" t="n"/>
    </row>
    <row r="92">
      <c r="A92" s="9" t="n"/>
      <c r="B92" s="19" t="n"/>
      <c r="C92" s="9" t="n"/>
      <c r="D92" s="9" t="n"/>
      <c r="E92" s="9" t="n"/>
      <c r="F92" s="9" t="n"/>
      <c r="G92" s="10" t="n"/>
      <c r="H92" s="9" t="n"/>
      <c r="I92" s="9" t="n"/>
      <c r="J92" s="9" t="n"/>
      <c r="K92" s="9" t="n"/>
      <c r="L92">
        <f>IF($A92="","",IF($P92="Yes","Disputed / Review",IF($I92&lt;&gt;"Yes","Not Reimbursable",IF($M92&lt;=0.004,"Pending",IF($N92&lt;=0.004,"Reimbursed","Partially Reimbursed")))))</f>
        <v/>
      </c>
      <c r="M92" s="12">
        <f>IF($A92="",0,SUMIF('Family Contributions'!$I$4:$I$1003,$A92,'Family Contributions'!$G$4:$G$1003))</f>
        <v/>
      </c>
      <c r="N92" s="12">
        <f>IF($A92="",0,IF($I92="Yes",IF(ISNUMBER($G92),$G92,0)-$M92,0))</f>
        <v/>
      </c>
      <c r="O92" s="9" t="n"/>
      <c r="P92" s="9" t="n"/>
    </row>
    <row r="93">
      <c r="A93" s="9" t="n"/>
      <c r="B93" s="19" t="n"/>
      <c r="C93" s="9" t="n"/>
      <c r="D93" s="9" t="n"/>
      <c r="E93" s="9" t="n"/>
      <c r="F93" s="9" t="n"/>
      <c r="G93" s="10" t="n"/>
      <c r="H93" s="9" t="n"/>
      <c r="I93" s="9" t="n"/>
      <c r="J93" s="9" t="n"/>
      <c r="K93" s="9" t="n"/>
      <c r="L93">
        <f>IF($A93="","",IF($P93="Yes","Disputed / Review",IF($I93&lt;&gt;"Yes","Not Reimbursable",IF($M93&lt;=0.004,"Pending",IF($N93&lt;=0.004,"Reimbursed","Partially Reimbursed")))))</f>
        <v/>
      </c>
      <c r="M93" s="12">
        <f>IF($A93="",0,SUMIF('Family Contributions'!$I$4:$I$1003,$A93,'Family Contributions'!$G$4:$G$1003))</f>
        <v/>
      </c>
      <c r="N93" s="12">
        <f>IF($A93="",0,IF($I93="Yes",IF(ISNUMBER($G93),$G93,0)-$M93,0))</f>
        <v/>
      </c>
      <c r="O93" s="9" t="n"/>
      <c r="P93" s="9" t="n"/>
    </row>
    <row r="94">
      <c r="A94" s="9" t="n"/>
      <c r="B94" s="19" t="n"/>
      <c r="C94" s="9" t="n"/>
      <c r="D94" s="9" t="n"/>
      <c r="E94" s="9" t="n"/>
      <c r="F94" s="9" t="n"/>
      <c r="G94" s="10" t="n"/>
      <c r="H94" s="9" t="n"/>
      <c r="I94" s="9" t="n"/>
      <c r="J94" s="9" t="n"/>
      <c r="K94" s="9" t="n"/>
      <c r="L94">
        <f>IF($A94="","",IF($P94="Yes","Disputed / Review",IF($I94&lt;&gt;"Yes","Not Reimbursable",IF($M94&lt;=0.004,"Pending",IF($N94&lt;=0.004,"Reimbursed","Partially Reimbursed")))))</f>
        <v/>
      </c>
      <c r="M94" s="12">
        <f>IF($A94="",0,SUMIF('Family Contributions'!$I$4:$I$1003,$A94,'Family Contributions'!$G$4:$G$1003))</f>
        <v/>
      </c>
      <c r="N94" s="12">
        <f>IF($A94="",0,IF($I94="Yes",IF(ISNUMBER($G94),$G94,0)-$M94,0))</f>
        <v/>
      </c>
      <c r="O94" s="9" t="n"/>
      <c r="P94" s="9" t="n"/>
    </row>
    <row r="95">
      <c r="A95" s="9" t="n"/>
      <c r="B95" s="19" t="n"/>
      <c r="C95" s="9" t="n"/>
      <c r="D95" s="9" t="n"/>
      <c r="E95" s="9" t="n"/>
      <c r="F95" s="9" t="n"/>
      <c r="G95" s="10" t="n"/>
      <c r="H95" s="9" t="n"/>
      <c r="I95" s="9" t="n"/>
      <c r="J95" s="9" t="n"/>
      <c r="K95" s="9" t="n"/>
      <c r="L95">
        <f>IF($A95="","",IF($P95="Yes","Disputed / Review",IF($I95&lt;&gt;"Yes","Not Reimbursable",IF($M95&lt;=0.004,"Pending",IF($N95&lt;=0.004,"Reimbursed","Partially Reimbursed")))))</f>
        <v/>
      </c>
      <c r="M95" s="12">
        <f>IF($A95="",0,SUMIF('Family Contributions'!$I$4:$I$1003,$A95,'Family Contributions'!$G$4:$G$1003))</f>
        <v/>
      </c>
      <c r="N95" s="12">
        <f>IF($A95="",0,IF($I95="Yes",IF(ISNUMBER($G95),$G95,0)-$M95,0))</f>
        <v/>
      </c>
      <c r="O95" s="9" t="n"/>
      <c r="P95" s="9" t="n"/>
    </row>
    <row r="96">
      <c r="A96" s="9" t="n"/>
      <c r="B96" s="19" t="n"/>
      <c r="C96" s="9" t="n"/>
      <c r="D96" s="9" t="n"/>
      <c r="E96" s="9" t="n"/>
      <c r="F96" s="9" t="n"/>
      <c r="G96" s="10" t="n"/>
      <c r="H96" s="9" t="n"/>
      <c r="I96" s="9" t="n"/>
      <c r="J96" s="9" t="n"/>
      <c r="K96" s="9" t="n"/>
      <c r="L96">
        <f>IF($A96="","",IF($P96="Yes","Disputed / Review",IF($I96&lt;&gt;"Yes","Not Reimbursable",IF($M96&lt;=0.004,"Pending",IF($N96&lt;=0.004,"Reimbursed","Partially Reimbursed")))))</f>
        <v/>
      </c>
      <c r="M96" s="12">
        <f>IF($A96="",0,SUMIF('Family Contributions'!$I$4:$I$1003,$A96,'Family Contributions'!$G$4:$G$1003))</f>
        <v/>
      </c>
      <c r="N96" s="12">
        <f>IF($A96="",0,IF($I96="Yes",IF(ISNUMBER($G96),$G96,0)-$M96,0))</f>
        <v/>
      </c>
      <c r="O96" s="9" t="n"/>
      <c r="P96" s="9" t="n"/>
    </row>
    <row r="97">
      <c r="A97" s="9" t="n"/>
      <c r="B97" s="19" t="n"/>
      <c r="C97" s="9" t="n"/>
      <c r="D97" s="9" t="n"/>
      <c r="E97" s="9" t="n"/>
      <c r="F97" s="9" t="n"/>
      <c r="G97" s="10" t="n"/>
      <c r="H97" s="9" t="n"/>
      <c r="I97" s="9" t="n"/>
      <c r="J97" s="9" t="n"/>
      <c r="K97" s="9" t="n"/>
      <c r="L97">
        <f>IF($A97="","",IF($P97="Yes","Disputed / Review",IF($I97&lt;&gt;"Yes","Not Reimbursable",IF($M97&lt;=0.004,"Pending",IF($N97&lt;=0.004,"Reimbursed","Partially Reimbursed")))))</f>
        <v/>
      </c>
      <c r="M97" s="12">
        <f>IF($A97="",0,SUMIF('Family Contributions'!$I$4:$I$1003,$A97,'Family Contributions'!$G$4:$G$1003))</f>
        <v/>
      </c>
      <c r="N97" s="12">
        <f>IF($A97="",0,IF($I97="Yes",IF(ISNUMBER($G97),$G97,0)-$M97,0))</f>
        <v/>
      </c>
      <c r="O97" s="9" t="n"/>
      <c r="P97" s="9" t="n"/>
    </row>
    <row r="98">
      <c r="A98" s="9" t="n"/>
      <c r="B98" s="19" t="n"/>
      <c r="C98" s="9" t="n"/>
      <c r="D98" s="9" t="n"/>
      <c r="E98" s="9" t="n"/>
      <c r="F98" s="9" t="n"/>
      <c r="G98" s="10" t="n"/>
      <c r="H98" s="9" t="n"/>
      <c r="I98" s="9" t="n"/>
      <c r="J98" s="9" t="n"/>
      <c r="K98" s="9" t="n"/>
      <c r="L98">
        <f>IF($A98="","",IF($P98="Yes","Disputed / Review",IF($I98&lt;&gt;"Yes","Not Reimbursable",IF($M98&lt;=0.004,"Pending",IF($N98&lt;=0.004,"Reimbursed","Partially Reimbursed")))))</f>
        <v/>
      </c>
      <c r="M98" s="12">
        <f>IF($A98="",0,SUMIF('Family Contributions'!$I$4:$I$1003,$A98,'Family Contributions'!$G$4:$G$1003))</f>
        <v/>
      </c>
      <c r="N98" s="12">
        <f>IF($A98="",0,IF($I98="Yes",IF(ISNUMBER($G98),$G98,0)-$M98,0))</f>
        <v/>
      </c>
      <c r="O98" s="9" t="n"/>
      <c r="P98" s="9" t="n"/>
    </row>
    <row r="99">
      <c r="A99" s="9" t="n"/>
      <c r="B99" s="19" t="n"/>
      <c r="C99" s="9" t="n"/>
      <c r="D99" s="9" t="n"/>
      <c r="E99" s="9" t="n"/>
      <c r="F99" s="9" t="n"/>
      <c r="G99" s="10" t="n"/>
      <c r="H99" s="9" t="n"/>
      <c r="I99" s="9" t="n"/>
      <c r="J99" s="9" t="n"/>
      <c r="K99" s="9" t="n"/>
      <c r="L99">
        <f>IF($A99="","",IF($P99="Yes","Disputed / Review",IF($I99&lt;&gt;"Yes","Not Reimbursable",IF($M99&lt;=0.004,"Pending",IF($N99&lt;=0.004,"Reimbursed","Partially Reimbursed")))))</f>
        <v/>
      </c>
      <c r="M99" s="12">
        <f>IF($A99="",0,SUMIF('Family Contributions'!$I$4:$I$1003,$A99,'Family Contributions'!$G$4:$G$1003))</f>
        <v/>
      </c>
      <c r="N99" s="12">
        <f>IF($A99="",0,IF($I99="Yes",IF(ISNUMBER($G99),$G99,0)-$M99,0))</f>
        <v/>
      </c>
      <c r="O99" s="9" t="n"/>
      <c r="P99" s="9" t="n"/>
    </row>
    <row r="100">
      <c r="A100" s="9" t="n"/>
      <c r="B100" s="19" t="n"/>
      <c r="C100" s="9" t="n"/>
      <c r="D100" s="9" t="n"/>
      <c r="E100" s="9" t="n"/>
      <c r="F100" s="9" t="n"/>
      <c r="G100" s="10" t="n"/>
      <c r="H100" s="9" t="n"/>
      <c r="I100" s="9" t="n"/>
      <c r="J100" s="9" t="n"/>
      <c r="K100" s="9" t="n"/>
      <c r="L100">
        <f>IF($A100="","",IF($P100="Yes","Disputed / Review",IF($I100&lt;&gt;"Yes","Not Reimbursable",IF($M100&lt;=0.004,"Pending",IF($N100&lt;=0.004,"Reimbursed","Partially Reimbursed")))))</f>
        <v/>
      </c>
      <c r="M100" s="12">
        <f>IF($A100="",0,SUMIF('Family Contributions'!$I$4:$I$1003,$A100,'Family Contributions'!$G$4:$G$1003))</f>
        <v/>
      </c>
      <c r="N100" s="12">
        <f>IF($A100="",0,IF($I100="Yes",IF(ISNUMBER($G100),$G100,0)-$M100,0))</f>
        <v/>
      </c>
      <c r="O100" s="9" t="n"/>
      <c r="P100" s="9" t="n"/>
    </row>
    <row r="101">
      <c r="A101" s="9" t="n"/>
      <c r="B101" s="19" t="n"/>
      <c r="C101" s="9" t="n"/>
      <c r="D101" s="9" t="n"/>
      <c r="E101" s="9" t="n"/>
      <c r="F101" s="9" t="n"/>
      <c r="G101" s="10" t="n"/>
      <c r="H101" s="9" t="n"/>
      <c r="I101" s="9" t="n"/>
      <c r="J101" s="9" t="n"/>
      <c r="K101" s="9" t="n"/>
      <c r="L101">
        <f>IF($A101="","",IF($P101="Yes","Disputed / Review",IF($I101&lt;&gt;"Yes","Not Reimbursable",IF($M101&lt;=0.004,"Pending",IF($N101&lt;=0.004,"Reimbursed","Partially Reimbursed")))))</f>
        <v/>
      </c>
      <c r="M101" s="12">
        <f>IF($A101="",0,SUMIF('Family Contributions'!$I$4:$I$1003,$A101,'Family Contributions'!$G$4:$G$1003))</f>
        <v/>
      </c>
      <c r="N101" s="12">
        <f>IF($A101="",0,IF($I101="Yes",IF(ISNUMBER($G101),$G101,0)-$M101,0))</f>
        <v/>
      </c>
      <c r="O101" s="9" t="n"/>
      <c r="P101" s="9" t="n"/>
    </row>
    <row r="102">
      <c r="A102" s="9" t="n"/>
      <c r="B102" s="19" t="n"/>
      <c r="C102" s="9" t="n"/>
      <c r="D102" s="9" t="n"/>
      <c r="E102" s="9" t="n"/>
      <c r="F102" s="9" t="n"/>
      <c r="G102" s="10" t="n"/>
      <c r="H102" s="9" t="n"/>
      <c r="I102" s="9" t="n"/>
      <c r="J102" s="9" t="n"/>
      <c r="K102" s="9" t="n"/>
      <c r="L102">
        <f>IF($A102="","",IF($P102="Yes","Disputed / Review",IF($I102&lt;&gt;"Yes","Not Reimbursable",IF($M102&lt;=0.004,"Pending",IF($N102&lt;=0.004,"Reimbursed","Partially Reimbursed")))))</f>
        <v/>
      </c>
      <c r="M102" s="12">
        <f>IF($A102="",0,SUMIF('Family Contributions'!$I$4:$I$1003,$A102,'Family Contributions'!$G$4:$G$1003))</f>
        <v/>
      </c>
      <c r="N102" s="12">
        <f>IF($A102="",0,IF($I102="Yes",IF(ISNUMBER($G102),$G102,0)-$M102,0))</f>
        <v/>
      </c>
      <c r="O102" s="9" t="n"/>
      <c r="P102" s="9" t="n"/>
    </row>
    <row r="103">
      <c r="A103" s="9" t="n"/>
      <c r="B103" s="19" t="n"/>
      <c r="C103" s="9" t="n"/>
      <c r="D103" s="9" t="n"/>
      <c r="E103" s="9" t="n"/>
      <c r="F103" s="9" t="n"/>
      <c r="G103" s="10" t="n"/>
      <c r="H103" s="9" t="n"/>
      <c r="I103" s="9" t="n"/>
      <c r="J103" s="9" t="n"/>
      <c r="K103" s="9" t="n"/>
      <c r="L103">
        <f>IF($A103="","",IF($P103="Yes","Disputed / Review",IF($I103&lt;&gt;"Yes","Not Reimbursable",IF($M103&lt;=0.004,"Pending",IF($N103&lt;=0.004,"Reimbursed","Partially Reimbursed")))))</f>
        <v/>
      </c>
      <c r="M103" s="12">
        <f>IF($A103="",0,SUMIF('Family Contributions'!$I$4:$I$1003,$A103,'Family Contributions'!$G$4:$G$1003))</f>
        <v/>
      </c>
      <c r="N103" s="12">
        <f>IF($A103="",0,IF($I103="Yes",IF(ISNUMBER($G103),$G103,0)-$M103,0))</f>
        <v/>
      </c>
      <c r="O103" s="9" t="n"/>
      <c r="P103" s="9" t="n"/>
    </row>
    <row r="104">
      <c r="A104" s="9" t="n"/>
      <c r="B104" s="19" t="n"/>
      <c r="C104" s="9" t="n"/>
      <c r="D104" s="9" t="n"/>
      <c r="E104" s="9" t="n"/>
      <c r="F104" s="9" t="n"/>
      <c r="G104" s="10" t="n"/>
      <c r="H104" s="9" t="n"/>
      <c r="I104" s="9" t="n"/>
      <c r="J104" s="9" t="n"/>
      <c r="K104" s="9" t="n"/>
      <c r="L104">
        <f>IF($A104="","",IF($P104="Yes","Disputed / Review",IF($I104&lt;&gt;"Yes","Not Reimbursable",IF($M104&lt;=0.004,"Pending",IF($N104&lt;=0.004,"Reimbursed","Partially Reimbursed")))))</f>
        <v/>
      </c>
      <c r="M104" s="12">
        <f>IF($A104="",0,SUMIF('Family Contributions'!$I$4:$I$1003,$A104,'Family Contributions'!$G$4:$G$1003))</f>
        <v/>
      </c>
      <c r="N104" s="12">
        <f>IF($A104="",0,IF($I104="Yes",IF(ISNUMBER($G104),$G104,0)-$M104,0))</f>
        <v/>
      </c>
      <c r="O104" s="9" t="n"/>
      <c r="P104" s="9" t="n"/>
    </row>
    <row r="105">
      <c r="A105" s="9" t="n"/>
      <c r="B105" s="19" t="n"/>
      <c r="C105" s="9" t="n"/>
      <c r="D105" s="9" t="n"/>
      <c r="E105" s="9" t="n"/>
      <c r="F105" s="9" t="n"/>
      <c r="G105" s="10" t="n"/>
      <c r="H105" s="9" t="n"/>
      <c r="I105" s="9" t="n"/>
      <c r="J105" s="9" t="n"/>
      <c r="K105" s="9" t="n"/>
      <c r="L105">
        <f>IF($A105="","",IF($P105="Yes","Disputed / Review",IF($I105&lt;&gt;"Yes","Not Reimbursable",IF($M105&lt;=0.004,"Pending",IF($N105&lt;=0.004,"Reimbursed","Partially Reimbursed")))))</f>
        <v/>
      </c>
      <c r="M105" s="12">
        <f>IF($A105="",0,SUMIF('Family Contributions'!$I$4:$I$1003,$A105,'Family Contributions'!$G$4:$G$1003))</f>
        <v/>
      </c>
      <c r="N105" s="12">
        <f>IF($A105="",0,IF($I105="Yes",IF(ISNUMBER($G105),$G105,0)-$M105,0))</f>
        <v/>
      </c>
      <c r="O105" s="9" t="n"/>
      <c r="P105" s="9" t="n"/>
    </row>
    <row r="106">
      <c r="A106" s="9" t="n"/>
      <c r="B106" s="19" t="n"/>
      <c r="C106" s="9" t="n"/>
      <c r="D106" s="9" t="n"/>
      <c r="E106" s="9" t="n"/>
      <c r="F106" s="9" t="n"/>
      <c r="G106" s="10" t="n"/>
      <c r="H106" s="9" t="n"/>
      <c r="I106" s="9" t="n"/>
      <c r="J106" s="9" t="n"/>
      <c r="K106" s="9" t="n"/>
      <c r="L106">
        <f>IF($A106="","",IF($P106="Yes","Disputed / Review",IF($I106&lt;&gt;"Yes","Not Reimbursable",IF($M106&lt;=0.004,"Pending",IF($N106&lt;=0.004,"Reimbursed","Partially Reimbursed")))))</f>
        <v/>
      </c>
      <c r="M106" s="12">
        <f>IF($A106="",0,SUMIF('Family Contributions'!$I$4:$I$1003,$A106,'Family Contributions'!$G$4:$G$1003))</f>
        <v/>
      </c>
      <c r="N106" s="12">
        <f>IF($A106="",0,IF($I106="Yes",IF(ISNUMBER($G106),$G106,0)-$M106,0))</f>
        <v/>
      </c>
      <c r="O106" s="9" t="n"/>
      <c r="P106" s="9" t="n"/>
    </row>
    <row r="107">
      <c r="A107" s="9" t="n"/>
      <c r="B107" s="19" t="n"/>
      <c r="C107" s="9" t="n"/>
      <c r="D107" s="9" t="n"/>
      <c r="E107" s="9" t="n"/>
      <c r="F107" s="9" t="n"/>
      <c r="G107" s="10" t="n"/>
      <c r="H107" s="9" t="n"/>
      <c r="I107" s="9" t="n"/>
      <c r="J107" s="9" t="n"/>
      <c r="K107" s="9" t="n"/>
      <c r="L107">
        <f>IF($A107="","",IF($P107="Yes","Disputed / Review",IF($I107&lt;&gt;"Yes","Not Reimbursable",IF($M107&lt;=0.004,"Pending",IF($N107&lt;=0.004,"Reimbursed","Partially Reimbursed")))))</f>
        <v/>
      </c>
      <c r="M107" s="12">
        <f>IF($A107="",0,SUMIF('Family Contributions'!$I$4:$I$1003,$A107,'Family Contributions'!$G$4:$G$1003))</f>
        <v/>
      </c>
      <c r="N107" s="12">
        <f>IF($A107="",0,IF($I107="Yes",IF(ISNUMBER($G107),$G107,0)-$M107,0))</f>
        <v/>
      </c>
      <c r="O107" s="9" t="n"/>
      <c r="P107" s="9" t="n"/>
    </row>
    <row r="108">
      <c r="A108" s="9" t="n"/>
      <c r="B108" s="19" t="n"/>
      <c r="C108" s="9" t="n"/>
      <c r="D108" s="9" t="n"/>
      <c r="E108" s="9" t="n"/>
      <c r="F108" s="9" t="n"/>
      <c r="G108" s="10" t="n"/>
      <c r="H108" s="9" t="n"/>
      <c r="I108" s="9" t="n"/>
      <c r="J108" s="9" t="n"/>
      <c r="K108" s="9" t="n"/>
      <c r="L108">
        <f>IF($A108="","",IF($P108="Yes","Disputed / Review",IF($I108&lt;&gt;"Yes","Not Reimbursable",IF($M108&lt;=0.004,"Pending",IF($N108&lt;=0.004,"Reimbursed","Partially Reimbursed")))))</f>
        <v/>
      </c>
      <c r="M108" s="12">
        <f>IF($A108="",0,SUMIF('Family Contributions'!$I$4:$I$1003,$A108,'Family Contributions'!$G$4:$G$1003))</f>
        <v/>
      </c>
      <c r="N108" s="12">
        <f>IF($A108="",0,IF($I108="Yes",IF(ISNUMBER($G108),$G108,0)-$M108,0))</f>
        <v/>
      </c>
      <c r="O108" s="9" t="n"/>
      <c r="P108" s="9" t="n"/>
    </row>
    <row r="109">
      <c r="A109" s="9" t="n"/>
      <c r="B109" s="19" t="n"/>
      <c r="C109" s="9" t="n"/>
      <c r="D109" s="9" t="n"/>
      <c r="E109" s="9" t="n"/>
      <c r="F109" s="9" t="n"/>
      <c r="G109" s="10" t="n"/>
      <c r="H109" s="9" t="n"/>
      <c r="I109" s="9" t="n"/>
      <c r="J109" s="9" t="n"/>
      <c r="K109" s="9" t="n"/>
      <c r="L109">
        <f>IF($A109="","",IF($P109="Yes","Disputed / Review",IF($I109&lt;&gt;"Yes","Not Reimbursable",IF($M109&lt;=0.004,"Pending",IF($N109&lt;=0.004,"Reimbursed","Partially Reimbursed")))))</f>
        <v/>
      </c>
      <c r="M109" s="12">
        <f>IF($A109="",0,SUMIF('Family Contributions'!$I$4:$I$1003,$A109,'Family Contributions'!$G$4:$G$1003))</f>
        <v/>
      </c>
      <c r="N109" s="12">
        <f>IF($A109="",0,IF($I109="Yes",IF(ISNUMBER($G109),$G109,0)-$M109,0))</f>
        <v/>
      </c>
      <c r="O109" s="9" t="n"/>
      <c r="P109" s="9" t="n"/>
    </row>
    <row r="110">
      <c r="A110" s="9" t="n"/>
      <c r="B110" s="19" t="n"/>
      <c r="C110" s="9" t="n"/>
      <c r="D110" s="9" t="n"/>
      <c r="E110" s="9" t="n"/>
      <c r="F110" s="9" t="n"/>
      <c r="G110" s="10" t="n"/>
      <c r="H110" s="9" t="n"/>
      <c r="I110" s="9" t="n"/>
      <c r="J110" s="9" t="n"/>
      <c r="K110" s="9" t="n"/>
      <c r="L110">
        <f>IF($A110="","",IF($P110="Yes","Disputed / Review",IF($I110&lt;&gt;"Yes","Not Reimbursable",IF($M110&lt;=0.004,"Pending",IF($N110&lt;=0.004,"Reimbursed","Partially Reimbursed")))))</f>
        <v/>
      </c>
      <c r="M110" s="12">
        <f>IF($A110="",0,SUMIF('Family Contributions'!$I$4:$I$1003,$A110,'Family Contributions'!$G$4:$G$1003))</f>
        <v/>
      </c>
      <c r="N110" s="12">
        <f>IF($A110="",0,IF($I110="Yes",IF(ISNUMBER($G110),$G110,0)-$M110,0))</f>
        <v/>
      </c>
      <c r="O110" s="9" t="n"/>
      <c r="P110" s="9" t="n"/>
    </row>
    <row r="111">
      <c r="A111" s="9" t="n"/>
      <c r="B111" s="19" t="n"/>
      <c r="C111" s="9" t="n"/>
      <c r="D111" s="9" t="n"/>
      <c r="E111" s="9" t="n"/>
      <c r="F111" s="9" t="n"/>
      <c r="G111" s="10" t="n"/>
      <c r="H111" s="9" t="n"/>
      <c r="I111" s="9" t="n"/>
      <c r="J111" s="9" t="n"/>
      <c r="K111" s="9" t="n"/>
      <c r="L111">
        <f>IF($A111="","",IF($P111="Yes","Disputed / Review",IF($I111&lt;&gt;"Yes","Not Reimbursable",IF($M111&lt;=0.004,"Pending",IF($N111&lt;=0.004,"Reimbursed","Partially Reimbursed")))))</f>
        <v/>
      </c>
      <c r="M111" s="12">
        <f>IF($A111="",0,SUMIF('Family Contributions'!$I$4:$I$1003,$A111,'Family Contributions'!$G$4:$G$1003))</f>
        <v/>
      </c>
      <c r="N111" s="12">
        <f>IF($A111="",0,IF($I111="Yes",IF(ISNUMBER($G111),$G111,0)-$M111,0))</f>
        <v/>
      </c>
      <c r="O111" s="9" t="n"/>
      <c r="P111" s="9" t="n"/>
    </row>
    <row r="112">
      <c r="A112" s="9" t="n"/>
      <c r="B112" s="19" t="n"/>
      <c r="C112" s="9" t="n"/>
      <c r="D112" s="9" t="n"/>
      <c r="E112" s="9" t="n"/>
      <c r="F112" s="9" t="n"/>
      <c r="G112" s="10" t="n"/>
      <c r="H112" s="9" t="n"/>
      <c r="I112" s="9" t="n"/>
      <c r="J112" s="9" t="n"/>
      <c r="K112" s="9" t="n"/>
      <c r="L112">
        <f>IF($A112="","",IF($P112="Yes","Disputed / Review",IF($I112&lt;&gt;"Yes","Not Reimbursable",IF($M112&lt;=0.004,"Pending",IF($N112&lt;=0.004,"Reimbursed","Partially Reimbursed")))))</f>
        <v/>
      </c>
      <c r="M112" s="12">
        <f>IF($A112="",0,SUMIF('Family Contributions'!$I$4:$I$1003,$A112,'Family Contributions'!$G$4:$G$1003))</f>
        <v/>
      </c>
      <c r="N112" s="12">
        <f>IF($A112="",0,IF($I112="Yes",IF(ISNUMBER($G112),$G112,0)-$M112,0))</f>
        <v/>
      </c>
      <c r="O112" s="9" t="n"/>
      <c r="P112" s="9" t="n"/>
    </row>
    <row r="113">
      <c r="A113" s="9" t="n"/>
      <c r="B113" s="19" t="n"/>
      <c r="C113" s="9" t="n"/>
      <c r="D113" s="9" t="n"/>
      <c r="E113" s="9" t="n"/>
      <c r="F113" s="9" t="n"/>
      <c r="G113" s="10" t="n"/>
      <c r="H113" s="9" t="n"/>
      <c r="I113" s="9" t="n"/>
      <c r="J113" s="9" t="n"/>
      <c r="K113" s="9" t="n"/>
      <c r="L113">
        <f>IF($A113="","",IF($P113="Yes","Disputed / Review",IF($I113&lt;&gt;"Yes","Not Reimbursable",IF($M113&lt;=0.004,"Pending",IF($N113&lt;=0.004,"Reimbursed","Partially Reimbursed")))))</f>
        <v/>
      </c>
      <c r="M113" s="12">
        <f>IF($A113="",0,SUMIF('Family Contributions'!$I$4:$I$1003,$A113,'Family Contributions'!$G$4:$G$1003))</f>
        <v/>
      </c>
      <c r="N113" s="12">
        <f>IF($A113="",0,IF($I113="Yes",IF(ISNUMBER($G113),$G113,0)-$M113,0))</f>
        <v/>
      </c>
      <c r="O113" s="9" t="n"/>
      <c r="P113" s="9" t="n"/>
    </row>
    <row r="114">
      <c r="A114" s="9" t="n"/>
      <c r="B114" s="19" t="n"/>
      <c r="C114" s="9" t="n"/>
      <c r="D114" s="9" t="n"/>
      <c r="E114" s="9" t="n"/>
      <c r="F114" s="9" t="n"/>
      <c r="G114" s="10" t="n"/>
      <c r="H114" s="9" t="n"/>
      <c r="I114" s="9" t="n"/>
      <c r="J114" s="9" t="n"/>
      <c r="K114" s="9" t="n"/>
      <c r="L114">
        <f>IF($A114="","",IF($P114="Yes","Disputed / Review",IF($I114&lt;&gt;"Yes","Not Reimbursable",IF($M114&lt;=0.004,"Pending",IF($N114&lt;=0.004,"Reimbursed","Partially Reimbursed")))))</f>
        <v/>
      </c>
      <c r="M114" s="12">
        <f>IF($A114="",0,SUMIF('Family Contributions'!$I$4:$I$1003,$A114,'Family Contributions'!$G$4:$G$1003))</f>
        <v/>
      </c>
      <c r="N114" s="12">
        <f>IF($A114="",0,IF($I114="Yes",IF(ISNUMBER($G114),$G114,0)-$M114,0))</f>
        <v/>
      </c>
      <c r="O114" s="9" t="n"/>
      <c r="P114" s="9" t="n"/>
    </row>
    <row r="115">
      <c r="A115" s="9" t="n"/>
      <c r="B115" s="19" t="n"/>
      <c r="C115" s="9" t="n"/>
      <c r="D115" s="9" t="n"/>
      <c r="E115" s="9" t="n"/>
      <c r="F115" s="9" t="n"/>
      <c r="G115" s="10" t="n"/>
      <c r="H115" s="9" t="n"/>
      <c r="I115" s="9" t="n"/>
      <c r="J115" s="9" t="n"/>
      <c r="K115" s="9" t="n"/>
      <c r="L115">
        <f>IF($A115="","",IF($P115="Yes","Disputed / Review",IF($I115&lt;&gt;"Yes","Not Reimbursable",IF($M115&lt;=0.004,"Pending",IF($N115&lt;=0.004,"Reimbursed","Partially Reimbursed")))))</f>
        <v/>
      </c>
      <c r="M115" s="12">
        <f>IF($A115="",0,SUMIF('Family Contributions'!$I$4:$I$1003,$A115,'Family Contributions'!$G$4:$G$1003))</f>
        <v/>
      </c>
      <c r="N115" s="12">
        <f>IF($A115="",0,IF($I115="Yes",IF(ISNUMBER($G115),$G115,0)-$M115,0))</f>
        <v/>
      </c>
      <c r="O115" s="9" t="n"/>
      <c r="P115" s="9" t="n"/>
    </row>
    <row r="116">
      <c r="A116" s="9" t="n"/>
      <c r="B116" s="19" t="n"/>
      <c r="C116" s="9" t="n"/>
      <c r="D116" s="9" t="n"/>
      <c r="E116" s="9" t="n"/>
      <c r="F116" s="9" t="n"/>
      <c r="G116" s="10" t="n"/>
      <c r="H116" s="9" t="n"/>
      <c r="I116" s="9" t="n"/>
      <c r="J116" s="9" t="n"/>
      <c r="K116" s="9" t="n"/>
      <c r="L116">
        <f>IF($A116="","",IF($P116="Yes","Disputed / Review",IF($I116&lt;&gt;"Yes","Not Reimbursable",IF($M116&lt;=0.004,"Pending",IF($N116&lt;=0.004,"Reimbursed","Partially Reimbursed")))))</f>
        <v/>
      </c>
      <c r="M116" s="12">
        <f>IF($A116="",0,SUMIF('Family Contributions'!$I$4:$I$1003,$A116,'Family Contributions'!$G$4:$G$1003))</f>
        <v/>
      </c>
      <c r="N116" s="12">
        <f>IF($A116="",0,IF($I116="Yes",IF(ISNUMBER($G116),$G116,0)-$M116,0))</f>
        <v/>
      </c>
      <c r="O116" s="9" t="n"/>
      <c r="P116" s="9" t="n"/>
    </row>
    <row r="117">
      <c r="A117" s="9" t="n"/>
      <c r="B117" s="19" t="n"/>
      <c r="C117" s="9" t="n"/>
      <c r="D117" s="9" t="n"/>
      <c r="E117" s="9" t="n"/>
      <c r="F117" s="9" t="n"/>
      <c r="G117" s="10" t="n"/>
      <c r="H117" s="9" t="n"/>
      <c r="I117" s="9" t="n"/>
      <c r="J117" s="9" t="n"/>
      <c r="K117" s="9" t="n"/>
      <c r="L117">
        <f>IF($A117="","",IF($P117="Yes","Disputed / Review",IF($I117&lt;&gt;"Yes","Not Reimbursable",IF($M117&lt;=0.004,"Pending",IF($N117&lt;=0.004,"Reimbursed","Partially Reimbursed")))))</f>
        <v/>
      </c>
      <c r="M117" s="12">
        <f>IF($A117="",0,SUMIF('Family Contributions'!$I$4:$I$1003,$A117,'Family Contributions'!$G$4:$G$1003))</f>
        <v/>
      </c>
      <c r="N117" s="12">
        <f>IF($A117="",0,IF($I117="Yes",IF(ISNUMBER($G117),$G117,0)-$M117,0))</f>
        <v/>
      </c>
      <c r="O117" s="9" t="n"/>
      <c r="P117" s="9" t="n"/>
    </row>
    <row r="118">
      <c r="A118" s="9" t="n"/>
      <c r="B118" s="19" t="n"/>
      <c r="C118" s="9" t="n"/>
      <c r="D118" s="9" t="n"/>
      <c r="E118" s="9" t="n"/>
      <c r="F118" s="9" t="n"/>
      <c r="G118" s="10" t="n"/>
      <c r="H118" s="9" t="n"/>
      <c r="I118" s="9" t="n"/>
      <c r="J118" s="9" t="n"/>
      <c r="K118" s="9" t="n"/>
      <c r="L118">
        <f>IF($A118="","",IF($P118="Yes","Disputed / Review",IF($I118&lt;&gt;"Yes","Not Reimbursable",IF($M118&lt;=0.004,"Pending",IF($N118&lt;=0.004,"Reimbursed","Partially Reimbursed")))))</f>
        <v/>
      </c>
      <c r="M118" s="12">
        <f>IF($A118="",0,SUMIF('Family Contributions'!$I$4:$I$1003,$A118,'Family Contributions'!$G$4:$G$1003))</f>
        <v/>
      </c>
      <c r="N118" s="12">
        <f>IF($A118="",0,IF($I118="Yes",IF(ISNUMBER($G118),$G118,0)-$M118,0))</f>
        <v/>
      </c>
      <c r="O118" s="9" t="n"/>
      <c r="P118" s="9" t="n"/>
    </row>
    <row r="119">
      <c r="A119" s="9" t="n"/>
      <c r="B119" s="19" t="n"/>
      <c r="C119" s="9" t="n"/>
      <c r="D119" s="9" t="n"/>
      <c r="E119" s="9" t="n"/>
      <c r="F119" s="9" t="n"/>
      <c r="G119" s="10" t="n"/>
      <c r="H119" s="9" t="n"/>
      <c r="I119" s="9" t="n"/>
      <c r="J119" s="9" t="n"/>
      <c r="K119" s="9" t="n"/>
      <c r="L119">
        <f>IF($A119="","",IF($P119="Yes","Disputed / Review",IF($I119&lt;&gt;"Yes","Not Reimbursable",IF($M119&lt;=0.004,"Pending",IF($N119&lt;=0.004,"Reimbursed","Partially Reimbursed")))))</f>
        <v/>
      </c>
      <c r="M119" s="12">
        <f>IF($A119="",0,SUMIF('Family Contributions'!$I$4:$I$1003,$A119,'Family Contributions'!$G$4:$G$1003))</f>
        <v/>
      </c>
      <c r="N119" s="12">
        <f>IF($A119="",0,IF($I119="Yes",IF(ISNUMBER($G119),$G119,0)-$M119,0))</f>
        <v/>
      </c>
      <c r="O119" s="9" t="n"/>
      <c r="P119" s="9" t="n"/>
    </row>
    <row r="120">
      <c r="A120" s="9" t="n"/>
      <c r="B120" s="19" t="n"/>
      <c r="C120" s="9" t="n"/>
      <c r="D120" s="9" t="n"/>
      <c r="E120" s="9" t="n"/>
      <c r="F120" s="9" t="n"/>
      <c r="G120" s="10" t="n"/>
      <c r="H120" s="9" t="n"/>
      <c r="I120" s="9" t="n"/>
      <c r="J120" s="9" t="n"/>
      <c r="K120" s="9" t="n"/>
      <c r="L120">
        <f>IF($A120="","",IF($P120="Yes","Disputed / Review",IF($I120&lt;&gt;"Yes","Not Reimbursable",IF($M120&lt;=0.004,"Pending",IF($N120&lt;=0.004,"Reimbursed","Partially Reimbursed")))))</f>
        <v/>
      </c>
      <c r="M120" s="12">
        <f>IF($A120="",0,SUMIF('Family Contributions'!$I$4:$I$1003,$A120,'Family Contributions'!$G$4:$G$1003))</f>
        <v/>
      </c>
      <c r="N120" s="12">
        <f>IF($A120="",0,IF($I120="Yes",IF(ISNUMBER($G120),$G120,0)-$M120,0))</f>
        <v/>
      </c>
      <c r="O120" s="9" t="n"/>
      <c r="P120" s="9" t="n"/>
    </row>
    <row r="121">
      <c r="A121" s="9" t="n"/>
      <c r="B121" s="19" t="n"/>
      <c r="C121" s="9" t="n"/>
      <c r="D121" s="9" t="n"/>
      <c r="E121" s="9" t="n"/>
      <c r="F121" s="9" t="n"/>
      <c r="G121" s="10" t="n"/>
      <c r="H121" s="9" t="n"/>
      <c r="I121" s="9" t="n"/>
      <c r="J121" s="9" t="n"/>
      <c r="K121" s="9" t="n"/>
      <c r="L121">
        <f>IF($A121="","",IF($P121="Yes","Disputed / Review",IF($I121&lt;&gt;"Yes","Not Reimbursable",IF($M121&lt;=0.004,"Pending",IF($N121&lt;=0.004,"Reimbursed","Partially Reimbursed")))))</f>
        <v/>
      </c>
      <c r="M121" s="12">
        <f>IF($A121="",0,SUMIF('Family Contributions'!$I$4:$I$1003,$A121,'Family Contributions'!$G$4:$G$1003))</f>
        <v/>
      </c>
      <c r="N121" s="12">
        <f>IF($A121="",0,IF($I121="Yes",IF(ISNUMBER($G121),$G121,0)-$M121,0))</f>
        <v/>
      </c>
      <c r="O121" s="9" t="n"/>
      <c r="P121" s="9" t="n"/>
    </row>
    <row r="122">
      <c r="A122" s="9" t="n"/>
      <c r="B122" s="19" t="n"/>
      <c r="C122" s="9" t="n"/>
      <c r="D122" s="9" t="n"/>
      <c r="E122" s="9" t="n"/>
      <c r="F122" s="9" t="n"/>
      <c r="G122" s="10" t="n"/>
      <c r="H122" s="9" t="n"/>
      <c r="I122" s="9" t="n"/>
      <c r="J122" s="9" t="n"/>
      <c r="K122" s="9" t="n"/>
      <c r="L122">
        <f>IF($A122="","",IF($P122="Yes","Disputed / Review",IF($I122&lt;&gt;"Yes","Not Reimbursable",IF($M122&lt;=0.004,"Pending",IF($N122&lt;=0.004,"Reimbursed","Partially Reimbursed")))))</f>
        <v/>
      </c>
      <c r="M122" s="12">
        <f>IF($A122="",0,SUMIF('Family Contributions'!$I$4:$I$1003,$A122,'Family Contributions'!$G$4:$G$1003))</f>
        <v/>
      </c>
      <c r="N122" s="12">
        <f>IF($A122="",0,IF($I122="Yes",IF(ISNUMBER($G122),$G122,0)-$M122,0))</f>
        <v/>
      </c>
      <c r="O122" s="9" t="n"/>
      <c r="P122" s="9" t="n"/>
    </row>
    <row r="123">
      <c r="A123" s="9" t="n"/>
      <c r="B123" s="19" t="n"/>
      <c r="C123" s="9" t="n"/>
      <c r="D123" s="9" t="n"/>
      <c r="E123" s="9" t="n"/>
      <c r="F123" s="9" t="n"/>
      <c r="G123" s="10" t="n"/>
      <c r="H123" s="9" t="n"/>
      <c r="I123" s="9" t="n"/>
      <c r="J123" s="9" t="n"/>
      <c r="K123" s="9" t="n"/>
      <c r="L123">
        <f>IF($A123="","",IF($P123="Yes","Disputed / Review",IF($I123&lt;&gt;"Yes","Not Reimbursable",IF($M123&lt;=0.004,"Pending",IF($N123&lt;=0.004,"Reimbursed","Partially Reimbursed")))))</f>
        <v/>
      </c>
      <c r="M123" s="12">
        <f>IF($A123="",0,SUMIF('Family Contributions'!$I$4:$I$1003,$A123,'Family Contributions'!$G$4:$G$1003))</f>
        <v/>
      </c>
      <c r="N123" s="12">
        <f>IF($A123="",0,IF($I123="Yes",IF(ISNUMBER($G123),$G123,0)-$M123,0))</f>
        <v/>
      </c>
      <c r="O123" s="9" t="n"/>
      <c r="P123" s="9" t="n"/>
    </row>
    <row r="124">
      <c r="A124" s="9" t="n"/>
      <c r="B124" s="19" t="n"/>
      <c r="C124" s="9" t="n"/>
      <c r="D124" s="9" t="n"/>
      <c r="E124" s="9" t="n"/>
      <c r="F124" s="9" t="n"/>
      <c r="G124" s="10" t="n"/>
      <c r="H124" s="9" t="n"/>
      <c r="I124" s="9" t="n"/>
      <c r="J124" s="9" t="n"/>
      <c r="K124" s="9" t="n"/>
      <c r="L124">
        <f>IF($A124="","",IF($P124="Yes","Disputed / Review",IF($I124&lt;&gt;"Yes","Not Reimbursable",IF($M124&lt;=0.004,"Pending",IF($N124&lt;=0.004,"Reimbursed","Partially Reimbursed")))))</f>
        <v/>
      </c>
      <c r="M124" s="12">
        <f>IF($A124="",0,SUMIF('Family Contributions'!$I$4:$I$1003,$A124,'Family Contributions'!$G$4:$G$1003))</f>
        <v/>
      </c>
      <c r="N124" s="12">
        <f>IF($A124="",0,IF($I124="Yes",IF(ISNUMBER($G124),$G124,0)-$M124,0))</f>
        <v/>
      </c>
      <c r="O124" s="9" t="n"/>
      <c r="P124" s="9" t="n"/>
    </row>
    <row r="125">
      <c r="A125" s="9" t="n"/>
      <c r="B125" s="19" t="n"/>
      <c r="C125" s="9" t="n"/>
      <c r="D125" s="9" t="n"/>
      <c r="E125" s="9" t="n"/>
      <c r="F125" s="9" t="n"/>
      <c r="G125" s="10" t="n"/>
      <c r="H125" s="9" t="n"/>
      <c r="I125" s="9" t="n"/>
      <c r="J125" s="9" t="n"/>
      <c r="K125" s="9" t="n"/>
      <c r="L125">
        <f>IF($A125="","",IF($P125="Yes","Disputed / Review",IF($I125&lt;&gt;"Yes","Not Reimbursable",IF($M125&lt;=0.004,"Pending",IF($N125&lt;=0.004,"Reimbursed","Partially Reimbursed")))))</f>
        <v/>
      </c>
      <c r="M125" s="12">
        <f>IF($A125="",0,SUMIF('Family Contributions'!$I$4:$I$1003,$A125,'Family Contributions'!$G$4:$G$1003))</f>
        <v/>
      </c>
      <c r="N125" s="12">
        <f>IF($A125="",0,IF($I125="Yes",IF(ISNUMBER($G125),$G125,0)-$M125,0))</f>
        <v/>
      </c>
      <c r="O125" s="9" t="n"/>
      <c r="P125" s="9" t="n"/>
    </row>
    <row r="126">
      <c r="A126" s="9" t="n"/>
      <c r="B126" s="19" t="n"/>
      <c r="C126" s="9" t="n"/>
      <c r="D126" s="9" t="n"/>
      <c r="E126" s="9" t="n"/>
      <c r="F126" s="9" t="n"/>
      <c r="G126" s="10" t="n"/>
      <c r="H126" s="9" t="n"/>
      <c r="I126" s="9" t="n"/>
      <c r="J126" s="9" t="n"/>
      <c r="K126" s="9" t="n"/>
      <c r="L126">
        <f>IF($A126="","",IF($P126="Yes","Disputed / Review",IF($I126&lt;&gt;"Yes","Not Reimbursable",IF($M126&lt;=0.004,"Pending",IF($N126&lt;=0.004,"Reimbursed","Partially Reimbursed")))))</f>
        <v/>
      </c>
      <c r="M126" s="12">
        <f>IF($A126="",0,SUMIF('Family Contributions'!$I$4:$I$1003,$A126,'Family Contributions'!$G$4:$G$1003))</f>
        <v/>
      </c>
      <c r="N126" s="12">
        <f>IF($A126="",0,IF($I126="Yes",IF(ISNUMBER($G126),$G126,0)-$M126,0))</f>
        <v/>
      </c>
      <c r="O126" s="9" t="n"/>
      <c r="P126" s="9" t="n"/>
    </row>
    <row r="127">
      <c r="A127" s="9" t="n"/>
      <c r="B127" s="19" t="n"/>
      <c r="C127" s="9" t="n"/>
      <c r="D127" s="9" t="n"/>
      <c r="E127" s="9" t="n"/>
      <c r="F127" s="9" t="n"/>
      <c r="G127" s="10" t="n"/>
      <c r="H127" s="9" t="n"/>
      <c r="I127" s="9" t="n"/>
      <c r="J127" s="9" t="n"/>
      <c r="K127" s="9" t="n"/>
      <c r="L127">
        <f>IF($A127="","",IF($P127="Yes","Disputed / Review",IF($I127&lt;&gt;"Yes","Not Reimbursable",IF($M127&lt;=0.004,"Pending",IF($N127&lt;=0.004,"Reimbursed","Partially Reimbursed")))))</f>
        <v/>
      </c>
      <c r="M127" s="12">
        <f>IF($A127="",0,SUMIF('Family Contributions'!$I$4:$I$1003,$A127,'Family Contributions'!$G$4:$G$1003))</f>
        <v/>
      </c>
      <c r="N127" s="12">
        <f>IF($A127="",0,IF($I127="Yes",IF(ISNUMBER($G127),$G127,0)-$M127,0))</f>
        <v/>
      </c>
      <c r="O127" s="9" t="n"/>
      <c r="P127" s="9" t="n"/>
    </row>
    <row r="128">
      <c r="A128" s="9" t="n"/>
      <c r="B128" s="19" t="n"/>
      <c r="C128" s="9" t="n"/>
      <c r="D128" s="9" t="n"/>
      <c r="E128" s="9" t="n"/>
      <c r="F128" s="9" t="n"/>
      <c r="G128" s="10" t="n"/>
      <c r="H128" s="9" t="n"/>
      <c r="I128" s="9" t="n"/>
      <c r="J128" s="9" t="n"/>
      <c r="K128" s="9" t="n"/>
      <c r="L128">
        <f>IF($A128="","",IF($P128="Yes","Disputed / Review",IF($I128&lt;&gt;"Yes","Not Reimbursable",IF($M128&lt;=0.004,"Pending",IF($N128&lt;=0.004,"Reimbursed","Partially Reimbursed")))))</f>
        <v/>
      </c>
      <c r="M128" s="12">
        <f>IF($A128="",0,SUMIF('Family Contributions'!$I$4:$I$1003,$A128,'Family Contributions'!$G$4:$G$1003))</f>
        <v/>
      </c>
      <c r="N128" s="12">
        <f>IF($A128="",0,IF($I128="Yes",IF(ISNUMBER($G128),$G128,0)-$M128,0))</f>
        <v/>
      </c>
      <c r="O128" s="9" t="n"/>
      <c r="P128" s="9" t="n"/>
    </row>
    <row r="129">
      <c r="A129" s="9" t="n"/>
      <c r="B129" s="19" t="n"/>
      <c r="C129" s="9" t="n"/>
      <c r="D129" s="9" t="n"/>
      <c r="E129" s="9" t="n"/>
      <c r="F129" s="9" t="n"/>
      <c r="G129" s="10" t="n"/>
      <c r="H129" s="9" t="n"/>
      <c r="I129" s="9" t="n"/>
      <c r="J129" s="9" t="n"/>
      <c r="K129" s="9" t="n"/>
      <c r="L129">
        <f>IF($A129="","",IF($P129="Yes","Disputed / Review",IF($I129&lt;&gt;"Yes","Not Reimbursable",IF($M129&lt;=0.004,"Pending",IF($N129&lt;=0.004,"Reimbursed","Partially Reimbursed")))))</f>
        <v/>
      </c>
      <c r="M129" s="12">
        <f>IF($A129="",0,SUMIF('Family Contributions'!$I$4:$I$1003,$A129,'Family Contributions'!$G$4:$G$1003))</f>
        <v/>
      </c>
      <c r="N129" s="12">
        <f>IF($A129="",0,IF($I129="Yes",IF(ISNUMBER($G129),$G129,0)-$M129,0))</f>
        <v/>
      </c>
      <c r="O129" s="9" t="n"/>
      <c r="P129" s="9" t="n"/>
    </row>
    <row r="130">
      <c r="A130" s="9" t="n"/>
      <c r="B130" s="19" t="n"/>
      <c r="C130" s="9" t="n"/>
      <c r="D130" s="9" t="n"/>
      <c r="E130" s="9" t="n"/>
      <c r="F130" s="9" t="n"/>
      <c r="G130" s="10" t="n"/>
      <c r="H130" s="9" t="n"/>
      <c r="I130" s="9" t="n"/>
      <c r="J130" s="9" t="n"/>
      <c r="K130" s="9" t="n"/>
      <c r="L130">
        <f>IF($A130="","",IF($P130="Yes","Disputed / Review",IF($I130&lt;&gt;"Yes","Not Reimbursable",IF($M130&lt;=0.004,"Pending",IF($N130&lt;=0.004,"Reimbursed","Partially Reimbursed")))))</f>
        <v/>
      </c>
      <c r="M130" s="12">
        <f>IF($A130="",0,SUMIF('Family Contributions'!$I$4:$I$1003,$A130,'Family Contributions'!$G$4:$G$1003))</f>
        <v/>
      </c>
      <c r="N130" s="12">
        <f>IF($A130="",0,IF($I130="Yes",IF(ISNUMBER($G130),$G130,0)-$M130,0))</f>
        <v/>
      </c>
      <c r="O130" s="9" t="n"/>
      <c r="P130" s="9" t="n"/>
    </row>
    <row r="131">
      <c r="A131" s="9" t="n"/>
      <c r="B131" s="19" t="n"/>
      <c r="C131" s="9" t="n"/>
      <c r="D131" s="9" t="n"/>
      <c r="E131" s="9" t="n"/>
      <c r="F131" s="9" t="n"/>
      <c r="G131" s="10" t="n"/>
      <c r="H131" s="9" t="n"/>
      <c r="I131" s="9" t="n"/>
      <c r="J131" s="9" t="n"/>
      <c r="K131" s="9" t="n"/>
      <c r="L131">
        <f>IF($A131="","",IF($P131="Yes","Disputed / Review",IF($I131&lt;&gt;"Yes","Not Reimbursable",IF($M131&lt;=0.004,"Pending",IF($N131&lt;=0.004,"Reimbursed","Partially Reimbursed")))))</f>
        <v/>
      </c>
      <c r="M131" s="12">
        <f>IF($A131="",0,SUMIF('Family Contributions'!$I$4:$I$1003,$A131,'Family Contributions'!$G$4:$G$1003))</f>
        <v/>
      </c>
      <c r="N131" s="12">
        <f>IF($A131="",0,IF($I131="Yes",IF(ISNUMBER($G131),$G131,0)-$M131,0))</f>
        <v/>
      </c>
      <c r="O131" s="9" t="n"/>
      <c r="P131" s="9" t="n"/>
    </row>
    <row r="132">
      <c r="A132" s="9" t="n"/>
      <c r="B132" s="19" t="n"/>
      <c r="C132" s="9" t="n"/>
      <c r="D132" s="9" t="n"/>
      <c r="E132" s="9" t="n"/>
      <c r="F132" s="9" t="n"/>
      <c r="G132" s="10" t="n"/>
      <c r="H132" s="9" t="n"/>
      <c r="I132" s="9" t="n"/>
      <c r="J132" s="9" t="n"/>
      <c r="K132" s="9" t="n"/>
      <c r="L132">
        <f>IF($A132="","",IF($P132="Yes","Disputed / Review",IF($I132&lt;&gt;"Yes","Not Reimbursable",IF($M132&lt;=0.004,"Pending",IF($N132&lt;=0.004,"Reimbursed","Partially Reimbursed")))))</f>
        <v/>
      </c>
      <c r="M132" s="12">
        <f>IF($A132="",0,SUMIF('Family Contributions'!$I$4:$I$1003,$A132,'Family Contributions'!$G$4:$G$1003))</f>
        <v/>
      </c>
      <c r="N132" s="12">
        <f>IF($A132="",0,IF($I132="Yes",IF(ISNUMBER($G132),$G132,0)-$M132,0))</f>
        <v/>
      </c>
      <c r="O132" s="9" t="n"/>
      <c r="P132" s="9" t="n"/>
    </row>
    <row r="133">
      <c r="A133" s="9" t="n"/>
      <c r="B133" s="19" t="n"/>
      <c r="C133" s="9" t="n"/>
      <c r="D133" s="9" t="n"/>
      <c r="E133" s="9" t="n"/>
      <c r="F133" s="9" t="n"/>
      <c r="G133" s="10" t="n"/>
      <c r="H133" s="9" t="n"/>
      <c r="I133" s="9" t="n"/>
      <c r="J133" s="9" t="n"/>
      <c r="K133" s="9" t="n"/>
      <c r="L133">
        <f>IF($A133="","",IF($P133="Yes","Disputed / Review",IF($I133&lt;&gt;"Yes","Not Reimbursable",IF($M133&lt;=0.004,"Pending",IF($N133&lt;=0.004,"Reimbursed","Partially Reimbursed")))))</f>
        <v/>
      </c>
      <c r="M133" s="12">
        <f>IF($A133="",0,SUMIF('Family Contributions'!$I$4:$I$1003,$A133,'Family Contributions'!$G$4:$G$1003))</f>
        <v/>
      </c>
      <c r="N133" s="12">
        <f>IF($A133="",0,IF($I133="Yes",IF(ISNUMBER($G133),$G133,0)-$M133,0))</f>
        <v/>
      </c>
      <c r="O133" s="9" t="n"/>
      <c r="P133" s="9" t="n"/>
    </row>
    <row r="134">
      <c r="A134" s="9" t="n"/>
      <c r="B134" s="19" t="n"/>
      <c r="C134" s="9" t="n"/>
      <c r="D134" s="9" t="n"/>
      <c r="E134" s="9" t="n"/>
      <c r="F134" s="9" t="n"/>
      <c r="G134" s="10" t="n"/>
      <c r="H134" s="9" t="n"/>
      <c r="I134" s="9" t="n"/>
      <c r="J134" s="9" t="n"/>
      <c r="K134" s="9" t="n"/>
      <c r="L134">
        <f>IF($A134="","",IF($P134="Yes","Disputed / Review",IF($I134&lt;&gt;"Yes","Not Reimbursable",IF($M134&lt;=0.004,"Pending",IF($N134&lt;=0.004,"Reimbursed","Partially Reimbursed")))))</f>
        <v/>
      </c>
      <c r="M134" s="12">
        <f>IF($A134="",0,SUMIF('Family Contributions'!$I$4:$I$1003,$A134,'Family Contributions'!$G$4:$G$1003))</f>
        <v/>
      </c>
      <c r="N134" s="12">
        <f>IF($A134="",0,IF($I134="Yes",IF(ISNUMBER($G134),$G134,0)-$M134,0))</f>
        <v/>
      </c>
      <c r="O134" s="9" t="n"/>
      <c r="P134" s="9" t="n"/>
    </row>
    <row r="135">
      <c r="A135" s="9" t="n"/>
      <c r="B135" s="19" t="n"/>
      <c r="C135" s="9" t="n"/>
      <c r="D135" s="9" t="n"/>
      <c r="E135" s="9" t="n"/>
      <c r="F135" s="9" t="n"/>
      <c r="G135" s="10" t="n"/>
      <c r="H135" s="9" t="n"/>
      <c r="I135" s="9" t="n"/>
      <c r="J135" s="9" t="n"/>
      <c r="K135" s="9" t="n"/>
      <c r="L135">
        <f>IF($A135="","",IF($P135="Yes","Disputed / Review",IF($I135&lt;&gt;"Yes","Not Reimbursable",IF($M135&lt;=0.004,"Pending",IF($N135&lt;=0.004,"Reimbursed","Partially Reimbursed")))))</f>
        <v/>
      </c>
      <c r="M135" s="12">
        <f>IF($A135="",0,SUMIF('Family Contributions'!$I$4:$I$1003,$A135,'Family Contributions'!$G$4:$G$1003))</f>
        <v/>
      </c>
      <c r="N135" s="12">
        <f>IF($A135="",0,IF($I135="Yes",IF(ISNUMBER($G135),$G135,0)-$M135,0))</f>
        <v/>
      </c>
      <c r="O135" s="9" t="n"/>
      <c r="P135" s="9" t="n"/>
    </row>
    <row r="136">
      <c r="A136" s="9" t="n"/>
      <c r="B136" s="19" t="n"/>
      <c r="C136" s="9" t="n"/>
      <c r="D136" s="9" t="n"/>
      <c r="E136" s="9" t="n"/>
      <c r="F136" s="9" t="n"/>
      <c r="G136" s="10" t="n"/>
      <c r="H136" s="9" t="n"/>
      <c r="I136" s="9" t="n"/>
      <c r="J136" s="9" t="n"/>
      <c r="K136" s="9" t="n"/>
      <c r="L136">
        <f>IF($A136="","",IF($P136="Yes","Disputed / Review",IF($I136&lt;&gt;"Yes","Not Reimbursable",IF($M136&lt;=0.004,"Pending",IF($N136&lt;=0.004,"Reimbursed","Partially Reimbursed")))))</f>
        <v/>
      </c>
      <c r="M136" s="12">
        <f>IF($A136="",0,SUMIF('Family Contributions'!$I$4:$I$1003,$A136,'Family Contributions'!$G$4:$G$1003))</f>
        <v/>
      </c>
      <c r="N136" s="12">
        <f>IF($A136="",0,IF($I136="Yes",IF(ISNUMBER($G136),$G136,0)-$M136,0))</f>
        <v/>
      </c>
      <c r="O136" s="9" t="n"/>
      <c r="P136" s="9" t="n"/>
    </row>
    <row r="137">
      <c r="A137" s="9" t="n"/>
      <c r="B137" s="19" t="n"/>
      <c r="C137" s="9" t="n"/>
      <c r="D137" s="9" t="n"/>
      <c r="E137" s="9" t="n"/>
      <c r="F137" s="9" t="n"/>
      <c r="G137" s="10" t="n"/>
      <c r="H137" s="9" t="n"/>
      <c r="I137" s="9" t="n"/>
      <c r="J137" s="9" t="n"/>
      <c r="K137" s="9" t="n"/>
      <c r="L137">
        <f>IF($A137="","",IF($P137="Yes","Disputed / Review",IF($I137&lt;&gt;"Yes","Not Reimbursable",IF($M137&lt;=0.004,"Pending",IF($N137&lt;=0.004,"Reimbursed","Partially Reimbursed")))))</f>
        <v/>
      </c>
      <c r="M137" s="12">
        <f>IF($A137="",0,SUMIF('Family Contributions'!$I$4:$I$1003,$A137,'Family Contributions'!$G$4:$G$1003))</f>
        <v/>
      </c>
      <c r="N137" s="12">
        <f>IF($A137="",0,IF($I137="Yes",IF(ISNUMBER($G137),$G137,0)-$M137,0))</f>
        <v/>
      </c>
      <c r="O137" s="9" t="n"/>
      <c r="P137" s="9" t="n"/>
    </row>
    <row r="138">
      <c r="A138" s="9" t="n"/>
      <c r="B138" s="19" t="n"/>
      <c r="C138" s="9" t="n"/>
      <c r="D138" s="9" t="n"/>
      <c r="E138" s="9" t="n"/>
      <c r="F138" s="9" t="n"/>
      <c r="G138" s="10" t="n"/>
      <c r="H138" s="9" t="n"/>
      <c r="I138" s="9" t="n"/>
      <c r="J138" s="9" t="n"/>
      <c r="K138" s="9" t="n"/>
      <c r="L138">
        <f>IF($A138="","",IF($P138="Yes","Disputed / Review",IF($I138&lt;&gt;"Yes","Not Reimbursable",IF($M138&lt;=0.004,"Pending",IF($N138&lt;=0.004,"Reimbursed","Partially Reimbursed")))))</f>
        <v/>
      </c>
      <c r="M138" s="12">
        <f>IF($A138="",0,SUMIF('Family Contributions'!$I$4:$I$1003,$A138,'Family Contributions'!$G$4:$G$1003))</f>
        <v/>
      </c>
      <c r="N138" s="12">
        <f>IF($A138="",0,IF($I138="Yes",IF(ISNUMBER($G138),$G138,0)-$M138,0))</f>
        <v/>
      </c>
      <c r="O138" s="9" t="n"/>
      <c r="P138" s="9" t="n"/>
    </row>
    <row r="139">
      <c r="A139" s="9" t="n"/>
      <c r="B139" s="19" t="n"/>
      <c r="C139" s="9" t="n"/>
      <c r="D139" s="9" t="n"/>
      <c r="E139" s="9" t="n"/>
      <c r="F139" s="9" t="n"/>
      <c r="G139" s="10" t="n"/>
      <c r="H139" s="9" t="n"/>
      <c r="I139" s="9" t="n"/>
      <c r="J139" s="9" t="n"/>
      <c r="K139" s="9" t="n"/>
      <c r="L139">
        <f>IF($A139="","",IF($P139="Yes","Disputed / Review",IF($I139&lt;&gt;"Yes","Not Reimbursable",IF($M139&lt;=0.004,"Pending",IF($N139&lt;=0.004,"Reimbursed","Partially Reimbursed")))))</f>
        <v/>
      </c>
      <c r="M139" s="12">
        <f>IF($A139="",0,SUMIF('Family Contributions'!$I$4:$I$1003,$A139,'Family Contributions'!$G$4:$G$1003))</f>
        <v/>
      </c>
      <c r="N139" s="12">
        <f>IF($A139="",0,IF($I139="Yes",IF(ISNUMBER($G139),$G139,0)-$M139,0))</f>
        <v/>
      </c>
      <c r="O139" s="9" t="n"/>
      <c r="P139" s="9" t="n"/>
    </row>
    <row r="140">
      <c r="A140" s="9" t="n"/>
      <c r="B140" s="19" t="n"/>
      <c r="C140" s="9" t="n"/>
      <c r="D140" s="9" t="n"/>
      <c r="E140" s="9" t="n"/>
      <c r="F140" s="9" t="n"/>
      <c r="G140" s="10" t="n"/>
      <c r="H140" s="9" t="n"/>
      <c r="I140" s="9" t="n"/>
      <c r="J140" s="9" t="n"/>
      <c r="K140" s="9" t="n"/>
      <c r="L140">
        <f>IF($A140="","",IF($P140="Yes","Disputed / Review",IF($I140&lt;&gt;"Yes","Not Reimbursable",IF($M140&lt;=0.004,"Pending",IF($N140&lt;=0.004,"Reimbursed","Partially Reimbursed")))))</f>
        <v/>
      </c>
      <c r="M140" s="12">
        <f>IF($A140="",0,SUMIF('Family Contributions'!$I$4:$I$1003,$A140,'Family Contributions'!$G$4:$G$1003))</f>
        <v/>
      </c>
      <c r="N140" s="12">
        <f>IF($A140="",0,IF($I140="Yes",IF(ISNUMBER($G140),$G140,0)-$M140,0))</f>
        <v/>
      </c>
      <c r="O140" s="9" t="n"/>
      <c r="P140" s="9" t="n"/>
    </row>
    <row r="141">
      <c r="A141" s="9" t="n"/>
      <c r="B141" s="19" t="n"/>
      <c r="C141" s="9" t="n"/>
      <c r="D141" s="9" t="n"/>
      <c r="E141" s="9" t="n"/>
      <c r="F141" s="9" t="n"/>
      <c r="G141" s="10" t="n"/>
      <c r="H141" s="9" t="n"/>
      <c r="I141" s="9" t="n"/>
      <c r="J141" s="9" t="n"/>
      <c r="K141" s="9" t="n"/>
      <c r="L141">
        <f>IF($A141="","",IF($P141="Yes","Disputed / Review",IF($I141&lt;&gt;"Yes","Not Reimbursable",IF($M141&lt;=0.004,"Pending",IF($N141&lt;=0.004,"Reimbursed","Partially Reimbursed")))))</f>
        <v/>
      </c>
      <c r="M141" s="12">
        <f>IF($A141="",0,SUMIF('Family Contributions'!$I$4:$I$1003,$A141,'Family Contributions'!$G$4:$G$1003))</f>
        <v/>
      </c>
      <c r="N141" s="12">
        <f>IF($A141="",0,IF($I141="Yes",IF(ISNUMBER($G141),$G141,0)-$M141,0))</f>
        <v/>
      </c>
      <c r="O141" s="9" t="n"/>
      <c r="P141" s="9" t="n"/>
    </row>
    <row r="142">
      <c r="A142" s="9" t="n"/>
      <c r="B142" s="19" t="n"/>
      <c r="C142" s="9" t="n"/>
      <c r="D142" s="9" t="n"/>
      <c r="E142" s="9" t="n"/>
      <c r="F142" s="9" t="n"/>
      <c r="G142" s="10" t="n"/>
      <c r="H142" s="9" t="n"/>
      <c r="I142" s="9" t="n"/>
      <c r="J142" s="9" t="n"/>
      <c r="K142" s="9" t="n"/>
      <c r="L142">
        <f>IF($A142="","",IF($P142="Yes","Disputed / Review",IF($I142&lt;&gt;"Yes","Not Reimbursable",IF($M142&lt;=0.004,"Pending",IF($N142&lt;=0.004,"Reimbursed","Partially Reimbursed")))))</f>
        <v/>
      </c>
      <c r="M142" s="12">
        <f>IF($A142="",0,SUMIF('Family Contributions'!$I$4:$I$1003,$A142,'Family Contributions'!$G$4:$G$1003))</f>
        <v/>
      </c>
      <c r="N142" s="12">
        <f>IF($A142="",0,IF($I142="Yes",IF(ISNUMBER($G142),$G142,0)-$M142,0))</f>
        <v/>
      </c>
      <c r="O142" s="9" t="n"/>
      <c r="P142" s="9" t="n"/>
    </row>
    <row r="143">
      <c r="A143" s="9" t="n"/>
      <c r="B143" s="19" t="n"/>
      <c r="C143" s="9" t="n"/>
      <c r="D143" s="9" t="n"/>
      <c r="E143" s="9" t="n"/>
      <c r="F143" s="9" t="n"/>
      <c r="G143" s="10" t="n"/>
      <c r="H143" s="9" t="n"/>
      <c r="I143" s="9" t="n"/>
      <c r="J143" s="9" t="n"/>
      <c r="K143" s="9" t="n"/>
      <c r="L143">
        <f>IF($A143="","",IF($P143="Yes","Disputed / Review",IF($I143&lt;&gt;"Yes","Not Reimbursable",IF($M143&lt;=0.004,"Pending",IF($N143&lt;=0.004,"Reimbursed","Partially Reimbursed")))))</f>
        <v/>
      </c>
      <c r="M143" s="12">
        <f>IF($A143="",0,SUMIF('Family Contributions'!$I$4:$I$1003,$A143,'Family Contributions'!$G$4:$G$1003))</f>
        <v/>
      </c>
      <c r="N143" s="12">
        <f>IF($A143="",0,IF($I143="Yes",IF(ISNUMBER($G143),$G143,0)-$M143,0))</f>
        <v/>
      </c>
      <c r="O143" s="9" t="n"/>
      <c r="P143" s="9" t="n"/>
    </row>
    <row r="144">
      <c r="A144" s="9" t="n"/>
      <c r="B144" s="19" t="n"/>
      <c r="C144" s="9" t="n"/>
      <c r="D144" s="9" t="n"/>
      <c r="E144" s="9" t="n"/>
      <c r="F144" s="9" t="n"/>
      <c r="G144" s="10" t="n"/>
      <c r="H144" s="9" t="n"/>
      <c r="I144" s="9" t="n"/>
      <c r="J144" s="9" t="n"/>
      <c r="K144" s="9" t="n"/>
      <c r="L144">
        <f>IF($A144="","",IF($P144="Yes","Disputed / Review",IF($I144&lt;&gt;"Yes","Not Reimbursable",IF($M144&lt;=0.004,"Pending",IF($N144&lt;=0.004,"Reimbursed","Partially Reimbursed")))))</f>
        <v/>
      </c>
      <c r="M144" s="12">
        <f>IF($A144="",0,SUMIF('Family Contributions'!$I$4:$I$1003,$A144,'Family Contributions'!$G$4:$G$1003))</f>
        <v/>
      </c>
      <c r="N144" s="12">
        <f>IF($A144="",0,IF($I144="Yes",IF(ISNUMBER($G144),$G144,0)-$M144,0))</f>
        <v/>
      </c>
      <c r="O144" s="9" t="n"/>
      <c r="P144" s="9" t="n"/>
    </row>
    <row r="145">
      <c r="A145" s="9" t="n"/>
      <c r="B145" s="19" t="n"/>
      <c r="C145" s="9" t="n"/>
      <c r="D145" s="9" t="n"/>
      <c r="E145" s="9" t="n"/>
      <c r="F145" s="9" t="n"/>
      <c r="G145" s="10" t="n"/>
      <c r="H145" s="9" t="n"/>
      <c r="I145" s="9" t="n"/>
      <c r="J145" s="9" t="n"/>
      <c r="K145" s="9" t="n"/>
      <c r="L145">
        <f>IF($A145="","",IF($P145="Yes","Disputed / Review",IF($I145&lt;&gt;"Yes","Not Reimbursable",IF($M145&lt;=0.004,"Pending",IF($N145&lt;=0.004,"Reimbursed","Partially Reimbursed")))))</f>
        <v/>
      </c>
      <c r="M145" s="12">
        <f>IF($A145="",0,SUMIF('Family Contributions'!$I$4:$I$1003,$A145,'Family Contributions'!$G$4:$G$1003))</f>
        <v/>
      </c>
      <c r="N145" s="12">
        <f>IF($A145="",0,IF($I145="Yes",IF(ISNUMBER($G145),$G145,0)-$M145,0))</f>
        <v/>
      </c>
      <c r="O145" s="9" t="n"/>
      <c r="P145" s="9" t="n"/>
    </row>
    <row r="146">
      <c r="A146" s="9" t="n"/>
      <c r="B146" s="19" t="n"/>
      <c r="C146" s="9" t="n"/>
      <c r="D146" s="9" t="n"/>
      <c r="E146" s="9" t="n"/>
      <c r="F146" s="9" t="n"/>
      <c r="G146" s="10" t="n"/>
      <c r="H146" s="9" t="n"/>
      <c r="I146" s="9" t="n"/>
      <c r="J146" s="9" t="n"/>
      <c r="K146" s="9" t="n"/>
      <c r="L146">
        <f>IF($A146="","",IF($P146="Yes","Disputed / Review",IF($I146&lt;&gt;"Yes","Not Reimbursable",IF($M146&lt;=0.004,"Pending",IF($N146&lt;=0.004,"Reimbursed","Partially Reimbursed")))))</f>
        <v/>
      </c>
      <c r="M146" s="12">
        <f>IF($A146="",0,SUMIF('Family Contributions'!$I$4:$I$1003,$A146,'Family Contributions'!$G$4:$G$1003))</f>
        <v/>
      </c>
      <c r="N146" s="12">
        <f>IF($A146="",0,IF($I146="Yes",IF(ISNUMBER($G146),$G146,0)-$M146,0))</f>
        <v/>
      </c>
      <c r="O146" s="9" t="n"/>
      <c r="P146" s="9" t="n"/>
    </row>
    <row r="147">
      <c r="A147" s="9" t="n"/>
      <c r="B147" s="19" t="n"/>
      <c r="C147" s="9" t="n"/>
      <c r="D147" s="9" t="n"/>
      <c r="E147" s="9" t="n"/>
      <c r="F147" s="9" t="n"/>
      <c r="G147" s="10" t="n"/>
      <c r="H147" s="9" t="n"/>
      <c r="I147" s="9" t="n"/>
      <c r="J147" s="9" t="n"/>
      <c r="K147" s="9" t="n"/>
      <c r="L147">
        <f>IF($A147="","",IF($P147="Yes","Disputed / Review",IF($I147&lt;&gt;"Yes","Not Reimbursable",IF($M147&lt;=0.004,"Pending",IF($N147&lt;=0.004,"Reimbursed","Partially Reimbursed")))))</f>
        <v/>
      </c>
      <c r="M147" s="12">
        <f>IF($A147="",0,SUMIF('Family Contributions'!$I$4:$I$1003,$A147,'Family Contributions'!$G$4:$G$1003))</f>
        <v/>
      </c>
      <c r="N147" s="12">
        <f>IF($A147="",0,IF($I147="Yes",IF(ISNUMBER($G147),$G147,0)-$M147,0))</f>
        <v/>
      </c>
      <c r="O147" s="9" t="n"/>
      <c r="P147" s="9" t="n"/>
    </row>
    <row r="148">
      <c r="A148" s="9" t="n"/>
      <c r="B148" s="19" t="n"/>
      <c r="C148" s="9" t="n"/>
      <c r="D148" s="9" t="n"/>
      <c r="E148" s="9" t="n"/>
      <c r="F148" s="9" t="n"/>
      <c r="G148" s="10" t="n"/>
      <c r="H148" s="9" t="n"/>
      <c r="I148" s="9" t="n"/>
      <c r="J148" s="9" t="n"/>
      <c r="K148" s="9" t="n"/>
      <c r="L148">
        <f>IF($A148="","",IF($P148="Yes","Disputed / Review",IF($I148&lt;&gt;"Yes","Not Reimbursable",IF($M148&lt;=0.004,"Pending",IF($N148&lt;=0.004,"Reimbursed","Partially Reimbursed")))))</f>
        <v/>
      </c>
      <c r="M148" s="12">
        <f>IF($A148="",0,SUMIF('Family Contributions'!$I$4:$I$1003,$A148,'Family Contributions'!$G$4:$G$1003))</f>
        <v/>
      </c>
      <c r="N148" s="12">
        <f>IF($A148="",0,IF($I148="Yes",IF(ISNUMBER($G148),$G148,0)-$M148,0))</f>
        <v/>
      </c>
      <c r="O148" s="9" t="n"/>
      <c r="P148" s="9" t="n"/>
    </row>
    <row r="149">
      <c r="A149" s="9" t="n"/>
      <c r="B149" s="19" t="n"/>
      <c r="C149" s="9" t="n"/>
      <c r="D149" s="9" t="n"/>
      <c r="E149" s="9" t="n"/>
      <c r="F149" s="9" t="n"/>
      <c r="G149" s="10" t="n"/>
      <c r="H149" s="9" t="n"/>
      <c r="I149" s="9" t="n"/>
      <c r="J149" s="9" t="n"/>
      <c r="K149" s="9" t="n"/>
      <c r="L149">
        <f>IF($A149="","",IF($P149="Yes","Disputed / Review",IF($I149&lt;&gt;"Yes","Not Reimbursable",IF($M149&lt;=0.004,"Pending",IF($N149&lt;=0.004,"Reimbursed","Partially Reimbursed")))))</f>
        <v/>
      </c>
      <c r="M149" s="12">
        <f>IF($A149="",0,SUMIF('Family Contributions'!$I$4:$I$1003,$A149,'Family Contributions'!$G$4:$G$1003))</f>
        <v/>
      </c>
      <c r="N149" s="12">
        <f>IF($A149="",0,IF($I149="Yes",IF(ISNUMBER($G149),$G149,0)-$M149,0))</f>
        <v/>
      </c>
      <c r="O149" s="9" t="n"/>
      <c r="P149" s="9" t="n"/>
    </row>
    <row r="150">
      <c r="A150" s="9" t="n"/>
      <c r="B150" s="19" t="n"/>
      <c r="C150" s="9" t="n"/>
      <c r="D150" s="9" t="n"/>
      <c r="E150" s="9" t="n"/>
      <c r="F150" s="9" t="n"/>
      <c r="G150" s="10" t="n"/>
      <c r="H150" s="9" t="n"/>
      <c r="I150" s="9" t="n"/>
      <c r="J150" s="9" t="n"/>
      <c r="K150" s="9" t="n"/>
      <c r="L150">
        <f>IF($A150="","",IF($P150="Yes","Disputed / Review",IF($I150&lt;&gt;"Yes","Not Reimbursable",IF($M150&lt;=0.004,"Pending",IF($N150&lt;=0.004,"Reimbursed","Partially Reimbursed")))))</f>
        <v/>
      </c>
      <c r="M150" s="12">
        <f>IF($A150="",0,SUMIF('Family Contributions'!$I$4:$I$1003,$A150,'Family Contributions'!$G$4:$G$1003))</f>
        <v/>
      </c>
      <c r="N150" s="12">
        <f>IF($A150="",0,IF($I150="Yes",IF(ISNUMBER($G150),$G150,0)-$M150,0))</f>
        <v/>
      </c>
      <c r="O150" s="9" t="n"/>
      <c r="P150" s="9" t="n"/>
    </row>
    <row r="151">
      <c r="A151" s="9" t="n"/>
      <c r="B151" s="19" t="n"/>
      <c r="C151" s="9" t="n"/>
      <c r="D151" s="9" t="n"/>
      <c r="E151" s="9" t="n"/>
      <c r="F151" s="9" t="n"/>
      <c r="G151" s="10" t="n"/>
      <c r="H151" s="9" t="n"/>
      <c r="I151" s="9" t="n"/>
      <c r="J151" s="9" t="n"/>
      <c r="K151" s="9" t="n"/>
      <c r="L151">
        <f>IF($A151="","",IF($P151="Yes","Disputed / Review",IF($I151&lt;&gt;"Yes","Not Reimbursable",IF($M151&lt;=0.004,"Pending",IF($N151&lt;=0.004,"Reimbursed","Partially Reimbursed")))))</f>
        <v/>
      </c>
      <c r="M151" s="12">
        <f>IF($A151="",0,SUMIF('Family Contributions'!$I$4:$I$1003,$A151,'Family Contributions'!$G$4:$G$1003))</f>
        <v/>
      </c>
      <c r="N151" s="12">
        <f>IF($A151="",0,IF($I151="Yes",IF(ISNUMBER($G151),$G151,0)-$M151,0))</f>
        <v/>
      </c>
      <c r="O151" s="9" t="n"/>
      <c r="P151" s="9" t="n"/>
    </row>
    <row r="152">
      <c r="A152" s="9" t="n"/>
      <c r="B152" s="19" t="n"/>
      <c r="C152" s="9" t="n"/>
      <c r="D152" s="9" t="n"/>
      <c r="E152" s="9" t="n"/>
      <c r="F152" s="9" t="n"/>
      <c r="G152" s="10" t="n"/>
      <c r="H152" s="9" t="n"/>
      <c r="I152" s="9" t="n"/>
      <c r="J152" s="9" t="n"/>
      <c r="K152" s="9" t="n"/>
      <c r="L152">
        <f>IF($A152="","",IF($P152="Yes","Disputed / Review",IF($I152&lt;&gt;"Yes","Not Reimbursable",IF($M152&lt;=0.004,"Pending",IF($N152&lt;=0.004,"Reimbursed","Partially Reimbursed")))))</f>
        <v/>
      </c>
      <c r="M152" s="12">
        <f>IF($A152="",0,SUMIF('Family Contributions'!$I$4:$I$1003,$A152,'Family Contributions'!$G$4:$G$1003))</f>
        <v/>
      </c>
      <c r="N152" s="12">
        <f>IF($A152="",0,IF($I152="Yes",IF(ISNUMBER($G152),$G152,0)-$M152,0))</f>
        <v/>
      </c>
      <c r="O152" s="9" t="n"/>
      <c r="P152" s="9" t="n"/>
    </row>
    <row r="153">
      <c r="A153" s="9" t="n"/>
      <c r="B153" s="19" t="n"/>
      <c r="C153" s="9" t="n"/>
      <c r="D153" s="9" t="n"/>
      <c r="E153" s="9" t="n"/>
      <c r="F153" s="9" t="n"/>
      <c r="G153" s="10" t="n"/>
      <c r="H153" s="9" t="n"/>
      <c r="I153" s="9" t="n"/>
      <c r="J153" s="9" t="n"/>
      <c r="K153" s="9" t="n"/>
      <c r="L153">
        <f>IF($A153="","",IF($P153="Yes","Disputed / Review",IF($I153&lt;&gt;"Yes","Not Reimbursable",IF($M153&lt;=0.004,"Pending",IF($N153&lt;=0.004,"Reimbursed","Partially Reimbursed")))))</f>
        <v/>
      </c>
      <c r="M153" s="12">
        <f>IF($A153="",0,SUMIF('Family Contributions'!$I$4:$I$1003,$A153,'Family Contributions'!$G$4:$G$1003))</f>
        <v/>
      </c>
      <c r="N153" s="12">
        <f>IF($A153="",0,IF($I153="Yes",IF(ISNUMBER($G153),$G153,0)-$M153,0))</f>
        <v/>
      </c>
      <c r="O153" s="9" t="n"/>
      <c r="P153" s="9" t="n"/>
    </row>
    <row r="154">
      <c r="A154" s="9" t="n"/>
      <c r="B154" s="19" t="n"/>
      <c r="C154" s="9" t="n"/>
      <c r="D154" s="9" t="n"/>
      <c r="E154" s="9" t="n"/>
      <c r="F154" s="9" t="n"/>
      <c r="G154" s="10" t="n"/>
      <c r="H154" s="9" t="n"/>
      <c r="I154" s="9" t="n"/>
      <c r="J154" s="9" t="n"/>
      <c r="K154" s="9" t="n"/>
      <c r="L154">
        <f>IF($A154="","",IF($P154="Yes","Disputed / Review",IF($I154&lt;&gt;"Yes","Not Reimbursable",IF($M154&lt;=0.004,"Pending",IF($N154&lt;=0.004,"Reimbursed","Partially Reimbursed")))))</f>
        <v/>
      </c>
      <c r="M154" s="12">
        <f>IF($A154="",0,SUMIF('Family Contributions'!$I$4:$I$1003,$A154,'Family Contributions'!$G$4:$G$1003))</f>
        <v/>
      </c>
      <c r="N154" s="12">
        <f>IF($A154="",0,IF($I154="Yes",IF(ISNUMBER($G154),$G154,0)-$M154,0))</f>
        <v/>
      </c>
      <c r="O154" s="9" t="n"/>
      <c r="P154" s="9" t="n"/>
    </row>
    <row r="155">
      <c r="A155" s="9" t="n"/>
      <c r="B155" s="19" t="n"/>
      <c r="C155" s="9" t="n"/>
      <c r="D155" s="9" t="n"/>
      <c r="E155" s="9" t="n"/>
      <c r="F155" s="9" t="n"/>
      <c r="G155" s="10" t="n"/>
      <c r="H155" s="9" t="n"/>
      <c r="I155" s="9" t="n"/>
      <c r="J155" s="9" t="n"/>
      <c r="K155" s="9" t="n"/>
      <c r="L155">
        <f>IF($A155="","",IF($P155="Yes","Disputed / Review",IF($I155&lt;&gt;"Yes","Not Reimbursable",IF($M155&lt;=0.004,"Pending",IF($N155&lt;=0.004,"Reimbursed","Partially Reimbursed")))))</f>
        <v/>
      </c>
      <c r="M155" s="12">
        <f>IF($A155="",0,SUMIF('Family Contributions'!$I$4:$I$1003,$A155,'Family Contributions'!$G$4:$G$1003))</f>
        <v/>
      </c>
      <c r="N155" s="12">
        <f>IF($A155="",0,IF($I155="Yes",IF(ISNUMBER($G155),$G155,0)-$M155,0))</f>
        <v/>
      </c>
      <c r="O155" s="9" t="n"/>
      <c r="P155" s="9" t="n"/>
    </row>
    <row r="156">
      <c r="A156" s="9" t="n"/>
      <c r="B156" s="19" t="n"/>
      <c r="C156" s="9" t="n"/>
      <c r="D156" s="9" t="n"/>
      <c r="E156" s="9" t="n"/>
      <c r="F156" s="9" t="n"/>
      <c r="G156" s="10" t="n"/>
      <c r="H156" s="9" t="n"/>
      <c r="I156" s="9" t="n"/>
      <c r="J156" s="9" t="n"/>
      <c r="K156" s="9" t="n"/>
      <c r="L156">
        <f>IF($A156="","",IF($P156="Yes","Disputed / Review",IF($I156&lt;&gt;"Yes","Not Reimbursable",IF($M156&lt;=0.004,"Pending",IF($N156&lt;=0.004,"Reimbursed","Partially Reimbursed")))))</f>
        <v/>
      </c>
      <c r="M156" s="12">
        <f>IF($A156="",0,SUMIF('Family Contributions'!$I$4:$I$1003,$A156,'Family Contributions'!$G$4:$G$1003))</f>
        <v/>
      </c>
      <c r="N156" s="12">
        <f>IF($A156="",0,IF($I156="Yes",IF(ISNUMBER($G156),$G156,0)-$M156,0))</f>
        <v/>
      </c>
      <c r="O156" s="9" t="n"/>
      <c r="P156" s="9" t="n"/>
    </row>
    <row r="157">
      <c r="A157" s="9" t="n"/>
      <c r="B157" s="19" t="n"/>
      <c r="C157" s="9" t="n"/>
      <c r="D157" s="9" t="n"/>
      <c r="E157" s="9" t="n"/>
      <c r="F157" s="9" t="n"/>
      <c r="G157" s="10" t="n"/>
      <c r="H157" s="9" t="n"/>
      <c r="I157" s="9" t="n"/>
      <c r="J157" s="9" t="n"/>
      <c r="K157" s="9" t="n"/>
      <c r="L157">
        <f>IF($A157="","",IF($P157="Yes","Disputed / Review",IF($I157&lt;&gt;"Yes","Not Reimbursable",IF($M157&lt;=0.004,"Pending",IF($N157&lt;=0.004,"Reimbursed","Partially Reimbursed")))))</f>
        <v/>
      </c>
      <c r="M157" s="12">
        <f>IF($A157="",0,SUMIF('Family Contributions'!$I$4:$I$1003,$A157,'Family Contributions'!$G$4:$G$1003))</f>
        <v/>
      </c>
      <c r="N157" s="12">
        <f>IF($A157="",0,IF($I157="Yes",IF(ISNUMBER($G157),$G157,0)-$M157,0))</f>
        <v/>
      </c>
      <c r="O157" s="9" t="n"/>
      <c r="P157" s="9" t="n"/>
    </row>
    <row r="158">
      <c r="A158" s="9" t="n"/>
      <c r="B158" s="19" t="n"/>
      <c r="C158" s="9" t="n"/>
      <c r="D158" s="9" t="n"/>
      <c r="E158" s="9" t="n"/>
      <c r="F158" s="9" t="n"/>
      <c r="G158" s="10" t="n"/>
      <c r="H158" s="9" t="n"/>
      <c r="I158" s="9" t="n"/>
      <c r="J158" s="9" t="n"/>
      <c r="K158" s="9" t="n"/>
      <c r="L158">
        <f>IF($A158="","",IF($P158="Yes","Disputed / Review",IF($I158&lt;&gt;"Yes","Not Reimbursable",IF($M158&lt;=0.004,"Pending",IF($N158&lt;=0.004,"Reimbursed","Partially Reimbursed")))))</f>
        <v/>
      </c>
      <c r="M158" s="12">
        <f>IF($A158="",0,SUMIF('Family Contributions'!$I$4:$I$1003,$A158,'Family Contributions'!$G$4:$G$1003))</f>
        <v/>
      </c>
      <c r="N158" s="12">
        <f>IF($A158="",0,IF($I158="Yes",IF(ISNUMBER($G158),$G158,0)-$M158,0))</f>
        <v/>
      </c>
      <c r="O158" s="9" t="n"/>
      <c r="P158" s="9" t="n"/>
    </row>
    <row r="159">
      <c r="A159" s="9" t="n"/>
      <c r="B159" s="19" t="n"/>
      <c r="C159" s="9" t="n"/>
      <c r="D159" s="9" t="n"/>
      <c r="E159" s="9" t="n"/>
      <c r="F159" s="9" t="n"/>
      <c r="G159" s="10" t="n"/>
      <c r="H159" s="9" t="n"/>
      <c r="I159" s="9" t="n"/>
      <c r="J159" s="9" t="n"/>
      <c r="K159" s="9" t="n"/>
      <c r="L159">
        <f>IF($A159="","",IF($P159="Yes","Disputed / Review",IF($I159&lt;&gt;"Yes","Not Reimbursable",IF($M159&lt;=0.004,"Pending",IF($N159&lt;=0.004,"Reimbursed","Partially Reimbursed")))))</f>
        <v/>
      </c>
      <c r="M159" s="12">
        <f>IF($A159="",0,SUMIF('Family Contributions'!$I$4:$I$1003,$A159,'Family Contributions'!$G$4:$G$1003))</f>
        <v/>
      </c>
      <c r="N159" s="12">
        <f>IF($A159="",0,IF($I159="Yes",IF(ISNUMBER($G159),$G159,0)-$M159,0))</f>
        <v/>
      </c>
      <c r="O159" s="9" t="n"/>
      <c r="P159" s="9" t="n"/>
    </row>
    <row r="160">
      <c r="A160" s="9" t="n"/>
      <c r="B160" s="19" t="n"/>
      <c r="C160" s="9" t="n"/>
      <c r="D160" s="9" t="n"/>
      <c r="E160" s="9" t="n"/>
      <c r="F160" s="9" t="n"/>
      <c r="G160" s="10" t="n"/>
      <c r="H160" s="9" t="n"/>
      <c r="I160" s="9" t="n"/>
      <c r="J160" s="9" t="n"/>
      <c r="K160" s="9" t="n"/>
      <c r="L160">
        <f>IF($A160="","",IF($P160="Yes","Disputed / Review",IF($I160&lt;&gt;"Yes","Not Reimbursable",IF($M160&lt;=0.004,"Pending",IF($N160&lt;=0.004,"Reimbursed","Partially Reimbursed")))))</f>
        <v/>
      </c>
      <c r="M160" s="12">
        <f>IF($A160="",0,SUMIF('Family Contributions'!$I$4:$I$1003,$A160,'Family Contributions'!$G$4:$G$1003))</f>
        <v/>
      </c>
      <c r="N160" s="12">
        <f>IF($A160="",0,IF($I160="Yes",IF(ISNUMBER($G160),$G160,0)-$M160,0))</f>
        <v/>
      </c>
      <c r="O160" s="9" t="n"/>
      <c r="P160" s="9" t="n"/>
    </row>
    <row r="161">
      <c r="A161" s="9" t="n"/>
      <c r="B161" s="19" t="n"/>
      <c r="C161" s="9" t="n"/>
      <c r="D161" s="9" t="n"/>
      <c r="E161" s="9" t="n"/>
      <c r="F161" s="9" t="n"/>
      <c r="G161" s="10" t="n"/>
      <c r="H161" s="9" t="n"/>
      <c r="I161" s="9" t="n"/>
      <c r="J161" s="9" t="n"/>
      <c r="K161" s="9" t="n"/>
      <c r="L161">
        <f>IF($A161="","",IF($P161="Yes","Disputed / Review",IF($I161&lt;&gt;"Yes","Not Reimbursable",IF($M161&lt;=0.004,"Pending",IF($N161&lt;=0.004,"Reimbursed","Partially Reimbursed")))))</f>
        <v/>
      </c>
      <c r="M161" s="12">
        <f>IF($A161="",0,SUMIF('Family Contributions'!$I$4:$I$1003,$A161,'Family Contributions'!$G$4:$G$1003))</f>
        <v/>
      </c>
      <c r="N161" s="12">
        <f>IF($A161="",0,IF($I161="Yes",IF(ISNUMBER($G161),$G161,0)-$M161,0))</f>
        <v/>
      </c>
      <c r="O161" s="9" t="n"/>
      <c r="P161" s="9" t="n"/>
    </row>
    <row r="162">
      <c r="A162" s="9" t="n"/>
      <c r="B162" s="19" t="n"/>
      <c r="C162" s="9" t="n"/>
      <c r="D162" s="9" t="n"/>
      <c r="E162" s="9" t="n"/>
      <c r="F162" s="9" t="n"/>
      <c r="G162" s="10" t="n"/>
      <c r="H162" s="9" t="n"/>
      <c r="I162" s="9" t="n"/>
      <c r="J162" s="9" t="n"/>
      <c r="K162" s="9" t="n"/>
      <c r="L162">
        <f>IF($A162="","",IF($P162="Yes","Disputed / Review",IF($I162&lt;&gt;"Yes","Not Reimbursable",IF($M162&lt;=0.004,"Pending",IF($N162&lt;=0.004,"Reimbursed","Partially Reimbursed")))))</f>
        <v/>
      </c>
      <c r="M162" s="12">
        <f>IF($A162="",0,SUMIF('Family Contributions'!$I$4:$I$1003,$A162,'Family Contributions'!$G$4:$G$1003))</f>
        <v/>
      </c>
      <c r="N162" s="12">
        <f>IF($A162="",0,IF($I162="Yes",IF(ISNUMBER($G162),$G162,0)-$M162,0))</f>
        <v/>
      </c>
      <c r="O162" s="9" t="n"/>
      <c r="P162" s="9" t="n"/>
    </row>
    <row r="163">
      <c r="A163" s="9" t="n"/>
      <c r="B163" s="19" t="n"/>
      <c r="C163" s="9" t="n"/>
      <c r="D163" s="9" t="n"/>
      <c r="E163" s="9" t="n"/>
      <c r="F163" s="9" t="n"/>
      <c r="G163" s="10" t="n"/>
      <c r="H163" s="9" t="n"/>
      <c r="I163" s="9" t="n"/>
      <c r="J163" s="9" t="n"/>
      <c r="K163" s="9" t="n"/>
      <c r="L163">
        <f>IF($A163="","",IF($P163="Yes","Disputed / Review",IF($I163&lt;&gt;"Yes","Not Reimbursable",IF($M163&lt;=0.004,"Pending",IF($N163&lt;=0.004,"Reimbursed","Partially Reimbursed")))))</f>
        <v/>
      </c>
      <c r="M163" s="12">
        <f>IF($A163="",0,SUMIF('Family Contributions'!$I$4:$I$1003,$A163,'Family Contributions'!$G$4:$G$1003))</f>
        <v/>
      </c>
      <c r="N163" s="12">
        <f>IF($A163="",0,IF($I163="Yes",IF(ISNUMBER($G163),$G163,0)-$M163,0))</f>
        <v/>
      </c>
      <c r="O163" s="9" t="n"/>
      <c r="P163" s="9" t="n"/>
    </row>
    <row r="164">
      <c r="A164" s="9" t="n"/>
      <c r="B164" s="19" t="n"/>
      <c r="C164" s="9" t="n"/>
      <c r="D164" s="9" t="n"/>
      <c r="E164" s="9" t="n"/>
      <c r="F164" s="9" t="n"/>
      <c r="G164" s="10" t="n"/>
      <c r="H164" s="9" t="n"/>
      <c r="I164" s="9" t="n"/>
      <c r="J164" s="9" t="n"/>
      <c r="K164" s="9" t="n"/>
      <c r="L164">
        <f>IF($A164="","",IF($P164="Yes","Disputed / Review",IF($I164&lt;&gt;"Yes","Not Reimbursable",IF($M164&lt;=0.004,"Pending",IF($N164&lt;=0.004,"Reimbursed","Partially Reimbursed")))))</f>
        <v/>
      </c>
      <c r="M164" s="12">
        <f>IF($A164="",0,SUMIF('Family Contributions'!$I$4:$I$1003,$A164,'Family Contributions'!$G$4:$G$1003))</f>
        <v/>
      </c>
      <c r="N164" s="12">
        <f>IF($A164="",0,IF($I164="Yes",IF(ISNUMBER($G164),$G164,0)-$M164,0))</f>
        <v/>
      </c>
      <c r="O164" s="9" t="n"/>
      <c r="P164" s="9" t="n"/>
    </row>
    <row r="165">
      <c r="A165" s="9" t="n"/>
      <c r="B165" s="19" t="n"/>
      <c r="C165" s="9" t="n"/>
      <c r="D165" s="9" t="n"/>
      <c r="E165" s="9" t="n"/>
      <c r="F165" s="9" t="n"/>
      <c r="G165" s="10" t="n"/>
      <c r="H165" s="9" t="n"/>
      <c r="I165" s="9" t="n"/>
      <c r="J165" s="9" t="n"/>
      <c r="K165" s="9" t="n"/>
      <c r="L165">
        <f>IF($A165="","",IF($P165="Yes","Disputed / Review",IF($I165&lt;&gt;"Yes","Not Reimbursable",IF($M165&lt;=0.004,"Pending",IF($N165&lt;=0.004,"Reimbursed","Partially Reimbursed")))))</f>
        <v/>
      </c>
      <c r="M165" s="12">
        <f>IF($A165="",0,SUMIF('Family Contributions'!$I$4:$I$1003,$A165,'Family Contributions'!$G$4:$G$1003))</f>
        <v/>
      </c>
      <c r="N165" s="12">
        <f>IF($A165="",0,IF($I165="Yes",IF(ISNUMBER($G165),$G165,0)-$M165,0))</f>
        <v/>
      </c>
      <c r="O165" s="9" t="n"/>
      <c r="P165" s="9" t="n"/>
    </row>
    <row r="166">
      <c r="A166" s="9" t="n"/>
      <c r="B166" s="19" t="n"/>
      <c r="C166" s="9" t="n"/>
      <c r="D166" s="9" t="n"/>
      <c r="E166" s="9" t="n"/>
      <c r="F166" s="9" t="n"/>
      <c r="G166" s="10" t="n"/>
      <c r="H166" s="9" t="n"/>
      <c r="I166" s="9" t="n"/>
      <c r="J166" s="9" t="n"/>
      <c r="K166" s="9" t="n"/>
      <c r="L166">
        <f>IF($A166="","",IF($P166="Yes","Disputed / Review",IF($I166&lt;&gt;"Yes","Not Reimbursable",IF($M166&lt;=0.004,"Pending",IF($N166&lt;=0.004,"Reimbursed","Partially Reimbursed")))))</f>
        <v/>
      </c>
      <c r="M166" s="12">
        <f>IF($A166="",0,SUMIF('Family Contributions'!$I$4:$I$1003,$A166,'Family Contributions'!$G$4:$G$1003))</f>
        <v/>
      </c>
      <c r="N166" s="12">
        <f>IF($A166="",0,IF($I166="Yes",IF(ISNUMBER($G166),$G166,0)-$M166,0))</f>
        <v/>
      </c>
      <c r="O166" s="9" t="n"/>
      <c r="P166" s="9" t="n"/>
    </row>
    <row r="167">
      <c r="A167" s="9" t="n"/>
      <c r="B167" s="19" t="n"/>
      <c r="C167" s="9" t="n"/>
      <c r="D167" s="9" t="n"/>
      <c r="E167" s="9" t="n"/>
      <c r="F167" s="9" t="n"/>
      <c r="G167" s="10" t="n"/>
      <c r="H167" s="9" t="n"/>
      <c r="I167" s="9" t="n"/>
      <c r="J167" s="9" t="n"/>
      <c r="K167" s="9" t="n"/>
      <c r="L167">
        <f>IF($A167="","",IF($P167="Yes","Disputed / Review",IF($I167&lt;&gt;"Yes","Not Reimbursable",IF($M167&lt;=0.004,"Pending",IF($N167&lt;=0.004,"Reimbursed","Partially Reimbursed")))))</f>
        <v/>
      </c>
      <c r="M167" s="12">
        <f>IF($A167="",0,SUMIF('Family Contributions'!$I$4:$I$1003,$A167,'Family Contributions'!$G$4:$G$1003))</f>
        <v/>
      </c>
      <c r="N167" s="12">
        <f>IF($A167="",0,IF($I167="Yes",IF(ISNUMBER($G167),$G167,0)-$M167,0))</f>
        <v/>
      </c>
      <c r="O167" s="9" t="n"/>
      <c r="P167" s="9" t="n"/>
    </row>
    <row r="168">
      <c r="A168" s="9" t="n"/>
      <c r="B168" s="19" t="n"/>
      <c r="C168" s="9" t="n"/>
      <c r="D168" s="9" t="n"/>
      <c r="E168" s="9" t="n"/>
      <c r="F168" s="9" t="n"/>
      <c r="G168" s="10" t="n"/>
      <c r="H168" s="9" t="n"/>
      <c r="I168" s="9" t="n"/>
      <c r="J168" s="9" t="n"/>
      <c r="K168" s="9" t="n"/>
      <c r="L168">
        <f>IF($A168="","",IF($P168="Yes","Disputed / Review",IF($I168&lt;&gt;"Yes","Not Reimbursable",IF($M168&lt;=0.004,"Pending",IF($N168&lt;=0.004,"Reimbursed","Partially Reimbursed")))))</f>
        <v/>
      </c>
      <c r="M168" s="12">
        <f>IF($A168="",0,SUMIF('Family Contributions'!$I$4:$I$1003,$A168,'Family Contributions'!$G$4:$G$1003))</f>
        <v/>
      </c>
      <c r="N168" s="12">
        <f>IF($A168="",0,IF($I168="Yes",IF(ISNUMBER($G168),$G168,0)-$M168,0))</f>
        <v/>
      </c>
      <c r="O168" s="9" t="n"/>
      <c r="P168" s="9" t="n"/>
    </row>
    <row r="169">
      <c r="A169" s="9" t="n"/>
      <c r="B169" s="19" t="n"/>
      <c r="C169" s="9" t="n"/>
      <c r="D169" s="9" t="n"/>
      <c r="E169" s="9" t="n"/>
      <c r="F169" s="9" t="n"/>
      <c r="G169" s="10" t="n"/>
      <c r="H169" s="9" t="n"/>
      <c r="I169" s="9" t="n"/>
      <c r="J169" s="9" t="n"/>
      <c r="K169" s="9" t="n"/>
      <c r="L169">
        <f>IF($A169="","",IF($P169="Yes","Disputed / Review",IF($I169&lt;&gt;"Yes","Not Reimbursable",IF($M169&lt;=0.004,"Pending",IF($N169&lt;=0.004,"Reimbursed","Partially Reimbursed")))))</f>
        <v/>
      </c>
      <c r="M169" s="12">
        <f>IF($A169="",0,SUMIF('Family Contributions'!$I$4:$I$1003,$A169,'Family Contributions'!$G$4:$G$1003))</f>
        <v/>
      </c>
      <c r="N169" s="12">
        <f>IF($A169="",0,IF($I169="Yes",IF(ISNUMBER($G169),$G169,0)-$M169,0))</f>
        <v/>
      </c>
      <c r="O169" s="9" t="n"/>
      <c r="P169" s="9" t="n"/>
    </row>
    <row r="170">
      <c r="A170" s="9" t="n"/>
      <c r="B170" s="19" t="n"/>
      <c r="C170" s="9" t="n"/>
      <c r="D170" s="9" t="n"/>
      <c r="E170" s="9" t="n"/>
      <c r="F170" s="9" t="n"/>
      <c r="G170" s="10" t="n"/>
      <c r="H170" s="9" t="n"/>
      <c r="I170" s="9" t="n"/>
      <c r="J170" s="9" t="n"/>
      <c r="K170" s="9" t="n"/>
      <c r="L170">
        <f>IF($A170="","",IF($P170="Yes","Disputed / Review",IF($I170&lt;&gt;"Yes","Not Reimbursable",IF($M170&lt;=0.004,"Pending",IF($N170&lt;=0.004,"Reimbursed","Partially Reimbursed")))))</f>
        <v/>
      </c>
      <c r="M170" s="12">
        <f>IF($A170="",0,SUMIF('Family Contributions'!$I$4:$I$1003,$A170,'Family Contributions'!$G$4:$G$1003))</f>
        <v/>
      </c>
      <c r="N170" s="12">
        <f>IF($A170="",0,IF($I170="Yes",IF(ISNUMBER($G170),$G170,0)-$M170,0))</f>
        <v/>
      </c>
      <c r="O170" s="9" t="n"/>
      <c r="P170" s="9" t="n"/>
    </row>
    <row r="171">
      <c r="A171" s="9" t="n"/>
      <c r="B171" s="19" t="n"/>
      <c r="C171" s="9" t="n"/>
      <c r="D171" s="9" t="n"/>
      <c r="E171" s="9" t="n"/>
      <c r="F171" s="9" t="n"/>
      <c r="G171" s="10" t="n"/>
      <c r="H171" s="9" t="n"/>
      <c r="I171" s="9" t="n"/>
      <c r="J171" s="9" t="n"/>
      <c r="K171" s="9" t="n"/>
      <c r="L171">
        <f>IF($A171="","",IF($P171="Yes","Disputed / Review",IF($I171&lt;&gt;"Yes","Not Reimbursable",IF($M171&lt;=0.004,"Pending",IF($N171&lt;=0.004,"Reimbursed","Partially Reimbursed")))))</f>
        <v/>
      </c>
      <c r="M171" s="12">
        <f>IF($A171="",0,SUMIF('Family Contributions'!$I$4:$I$1003,$A171,'Family Contributions'!$G$4:$G$1003))</f>
        <v/>
      </c>
      <c r="N171" s="12">
        <f>IF($A171="",0,IF($I171="Yes",IF(ISNUMBER($G171),$G171,0)-$M171,0))</f>
        <v/>
      </c>
      <c r="O171" s="9" t="n"/>
      <c r="P171" s="9" t="n"/>
    </row>
    <row r="172">
      <c r="A172" s="9" t="n"/>
      <c r="B172" s="19" t="n"/>
      <c r="C172" s="9" t="n"/>
      <c r="D172" s="9" t="n"/>
      <c r="E172" s="9" t="n"/>
      <c r="F172" s="9" t="n"/>
      <c r="G172" s="10" t="n"/>
      <c r="H172" s="9" t="n"/>
      <c r="I172" s="9" t="n"/>
      <c r="J172" s="9" t="n"/>
      <c r="K172" s="9" t="n"/>
      <c r="L172">
        <f>IF($A172="","",IF($P172="Yes","Disputed / Review",IF($I172&lt;&gt;"Yes","Not Reimbursable",IF($M172&lt;=0.004,"Pending",IF($N172&lt;=0.004,"Reimbursed","Partially Reimbursed")))))</f>
        <v/>
      </c>
      <c r="M172" s="12">
        <f>IF($A172="",0,SUMIF('Family Contributions'!$I$4:$I$1003,$A172,'Family Contributions'!$G$4:$G$1003))</f>
        <v/>
      </c>
      <c r="N172" s="12">
        <f>IF($A172="",0,IF($I172="Yes",IF(ISNUMBER($G172),$G172,0)-$M172,0))</f>
        <v/>
      </c>
      <c r="O172" s="9" t="n"/>
      <c r="P172" s="9" t="n"/>
    </row>
    <row r="173">
      <c r="A173" s="9" t="n"/>
      <c r="B173" s="19" t="n"/>
      <c r="C173" s="9" t="n"/>
      <c r="D173" s="9" t="n"/>
      <c r="E173" s="9" t="n"/>
      <c r="F173" s="9" t="n"/>
      <c r="G173" s="10" t="n"/>
      <c r="H173" s="9" t="n"/>
      <c r="I173" s="9" t="n"/>
      <c r="J173" s="9" t="n"/>
      <c r="K173" s="9" t="n"/>
      <c r="L173">
        <f>IF($A173="","",IF($P173="Yes","Disputed / Review",IF($I173&lt;&gt;"Yes","Not Reimbursable",IF($M173&lt;=0.004,"Pending",IF($N173&lt;=0.004,"Reimbursed","Partially Reimbursed")))))</f>
        <v/>
      </c>
      <c r="M173" s="12">
        <f>IF($A173="",0,SUMIF('Family Contributions'!$I$4:$I$1003,$A173,'Family Contributions'!$G$4:$G$1003))</f>
        <v/>
      </c>
      <c r="N173" s="12">
        <f>IF($A173="",0,IF($I173="Yes",IF(ISNUMBER($G173),$G173,0)-$M173,0))</f>
        <v/>
      </c>
      <c r="O173" s="9" t="n"/>
      <c r="P173" s="9" t="n"/>
    </row>
    <row r="174">
      <c r="A174" s="9" t="n"/>
      <c r="B174" s="19" t="n"/>
      <c r="C174" s="9" t="n"/>
      <c r="D174" s="9" t="n"/>
      <c r="E174" s="9" t="n"/>
      <c r="F174" s="9" t="n"/>
      <c r="G174" s="10" t="n"/>
      <c r="H174" s="9" t="n"/>
      <c r="I174" s="9" t="n"/>
      <c r="J174" s="9" t="n"/>
      <c r="K174" s="9" t="n"/>
      <c r="L174">
        <f>IF($A174="","",IF($P174="Yes","Disputed / Review",IF($I174&lt;&gt;"Yes","Not Reimbursable",IF($M174&lt;=0.004,"Pending",IF($N174&lt;=0.004,"Reimbursed","Partially Reimbursed")))))</f>
        <v/>
      </c>
      <c r="M174" s="12">
        <f>IF($A174="",0,SUMIF('Family Contributions'!$I$4:$I$1003,$A174,'Family Contributions'!$G$4:$G$1003))</f>
        <v/>
      </c>
      <c r="N174" s="12">
        <f>IF($A174="",0,IF($I174="Yes",IF(ISNUMBER($G174),$G174,0)-$M174,0))</f>
        <v/>
      </c>
      <c r="O174" s="9" t="n"/>
      <c r="P174" s="9" t="n"/>
    </row>
    <row r="175">
      <c r="A175" s="9" t="n"/>
      <c r="B175" s="19" t="n"/>
      <c r="C175" s="9" t="n"/>
      <c r="D175" s="9" t="n"/>
      <c r="E175" s="9" t="n"/>
      <c r="F175" s="9" t="n"/>
      <c r="G175" s="10" t="n"/>
      <c r="H175" s="9" t="n"/>
      <c r="I175" s="9" t="n"/>
      <c r="J175" s="9" t="n"/>
      <c r="K175" s="9" t="n"/>
      <c r="L175">
        <f>IF($A175="","",IF($P175="Yes","Disputed / Review",IF($I175&lt;&gt;"Yes","Not Reimbursable",IF($M175&lt;=0.004,"Pending",IF($N175&lt;=0.004,"Reimbursed","Partially Reimbursed")))))</f>
        <v/>
      </c>
      <c r="M175" s="12">
        <f>IF($A175="",0,SUMIF('Family Contributions'!$I$4:$I$1003,$A175,'Family Contributions'!$G$4:$G$1003))</f>
        <v/>
      </c>
      <c r="N175" s="12">
        <f>IF($A175="",0,IF($I175="Yes",IF(ISNUMBER($G175),$G175,0)-$M175,0))</f>
        <v/>
      </c>
      <c r="O175" s="9" t="n"/>
      <c r="P175" s="9" t="n"/>
    </row>
    <row r="176">
      <c r="A176" s="9" t="n"/>
      <c r="B176" s="19" t="n"/>
      <c r="C176" s="9" t="n"/>
      <c r="D176" s="9" t="n"/>
      <c r="E176" s="9" t="n"/>
      <c r="F176" s="9" t="n"/>
      <c r="G176" s="10" t="n"/>
      <c r="H176" s="9" t="n"/>
      <c r="I176" s="9" t="n"/>
      <c r="J176" s="9" t="n"/>
      <c r="K176" s="9" t="n"/>
      <c r="L176">
        <f>IF($A176="","",IF($P176="Yes","Disputed / Review",IF($I176&lt;&gt;"Yes","Not Reimbursable",IF($M176&lt;=0.004,"Pending",IF($N176&lt;=0.004,"Reimbursed","Partially Reimbursed")))))</f>
        <v/>
      </c>
      <c r="M176" s="12">
        <f>IF($A176="",0,SUMIF('Family Contributions'!$I$4:$I$1003,$A176,'Family Contributions'!$G$4:$G$1003))</f>
        <v/>
      </c>
      <c r="N176" s="12">
        <f>IF($A176="",0,IF($I176="Yes",IF(ISNUMBER($G176),$G176,0)-$M176,0))</f>
        <v/>
      </c>
      <c r="O176" s="9" t="n"/>
      <c r="P176" s="9" t="n"/>
    </row>
    <row r="177">
      <c r="A177" s="9" t="n"/>
      <c r="B177" s="19" t="n"/>
      <c r="C177" s="9" t="n"/>
      <c r="D177" s="9" t="n"/>
      <c r="E177" s="9" t="n"/>
      <c r="F177" s="9" t="n"/>
      <c r="G177" s="10" t="n"/>
      <c r="H177" s="9" t="n"/>
      <c r="I177" s="9" t="n"/>
      <c r="J177" s="9" t="n"/>
      <c r="K177" s="9" t="n"/>
      <c r="L177">
        <f>IF($A177="","",IF($P177="Yes","Disputed / Review",IF($I177&lt;&gt;"Yes","Not Reimbursable",IF($M177&lt;=0.004,"Pending",IF($N177&lt;=0.004,"Reimbursed","Partially Reimbursed")))))</f>
        <v/>
      </c>
      <c r="M177" s="12">
        <f>IF($A177="",0,SUMIF('Family Contributions'!$I$4:$I$1003,$A177,'Family Contributions'!$G$4:$G$1003))</f>
        <v/>
      </c>
      <c r="N177" s="12">
        <f>IF($A177="",0,IF($I177="Yes",IF(ISNUMBER($G177),$G177,0)-$M177,0))</f>
        <v/>
      </c>
      <c r="O177" s="9" t="n"/>
      <c r="P177" s="9" t="n"/>
    </row>
    <row r="178">
      <c r="A178" s="9" t="n"/>
      <c r="B178" s="19" t="n"/>
      <c r="C178" s="9" t="n"/>
      <c r="D178" s="9" t="n"/>
      <c r="E178" s="9" t="n"/>
      <c r="F178" s="9" t="n"/>
      <c r="G178" s="10" t="n"/>
      <c r="H178" s="9" t="n"/>
      <c r="I178" s="9" t="n"/>
      <c r="J178" s="9" t="n"/>
      <c r="K178" s="9" t="n"/>
      <c r="L178">
        <f>IF($A178="","",IF($P178="Yes","Disputed / Review",IF($I178&lt;&gt;"Yes","Not Reimbursable",IF($M178&lt;=0.004,"Pending",IF($N178&lt;=0.004,"Reimbursed","Partially Reimbursed")))))</f>
        <v/>
      </c>
      <c r="M178" s="12">
        <f>IF($A178="",0,SUMIF('Family Contributions'!$I$4:$I$1003,$A178,'Family Contributions'!$G$4:$G$1003))</f>
        <v/>
      </c>
      <c r="N178" s="12">
        <f>IF($A178="",0,IF($I178="Yes",IF(ISNUMBER($G178),$G178,0)-$M178,0))</f>
        <v/>
      </c>
      <c r="O178" s="9" t="n"/>
      <c r="P178" s="9" t="n"/>
    </row>
    <row r="179">
      <c r="A179" s="9" t="n"/>
      <c r="B179" s="19" t="n"/>
      <c r="C179" s="9" t="n"/>
      <c r="D179" s="9" t="n"/>
      <c r="E179" s="9" t="n"/>
      <c r="F179" s="9" t="n"/>
      <c r="G179" s="10" t="n"/>
      <c r="H179" s="9" t="n"/>
      <c r="I179" s="9" t="n"/>
      <c r="J179" s="9" t="n"/>
      <c r="K179" s="9" t="n"/>
      <c r="L179">
        <f>IF($A179="","",IF($P179="Yes","Disputed / Review",IF($I179&lt;&gt;"Yes","Not Reimbursable",IF($M179&lt;=0.004,"Pending",IF($N179&lt;=0.004,"Reimbursed","Partially Reimbursed")))))</f>
        <v/>
      </c>
      <c r="M179" s="12">
        <f>IF($A179="",0,SUMIF('Family Contributions'!$I$4:$I$1003,$A179,'Family Contributions'!$G$4:$G$1003))</f>
        <v/>
      </c>
      <c r="N179" s="12">
        <f>IF($A179="",0,IF($I179="Yes",IF(ISNUMBER($G179),$G179,0)-$M179,0))</f>
        <v/>
      </c>
      <c r="O179" s="9" t="n"/>
      <c r="P179" s="9" t="n"/>
    </row>
    <row r="180">
      <c r="A180" s="9" t="n"/>
      <c r="B180" s="19" t="n"/>
      <c r="C180" s="9" t="n"/>
      <c r="D180" s="9" t="n"/>
      <c r="E180" s="9" t="n"/>
      <c r="F180" s="9" t="n"/>
      <c r="G180" s="10" t="n"/>
      <c r="H180" s="9" t="n"/>
      <c r="I180" s="9" t="n"/>
      <c r="J180" s="9" t="n"/>
      <c r="K180" s="9" t="n"/>
      <c r="L180">
        <f>IF($A180="","",IF($P180="Yes","Disputed / Review",IF($I180&lt;&gt;"Yes","Not Reimbursable",IF($M180&lt;=0.004,"Pending",IF($N180&lt;=0.004,"Reimbursed","Partially Reimbursed")))))</f>
        <v/>
      </c>
      <c r="M180" s="12">
        <f>IF($A180="",0,SUMIF('Family Contributions'!$I$4:$I$1003,$A180,'Family Contributions'!$G$4:$G$1003))</f>
        <v/>
      </c>
      <c r="N180" s="12">
        <f>IF($A180="",0,IF($I180="Yes",IF(ISNUMBER($G180),$G180,0)-$M180,0))</f>
        <v/>
      </c>
      <c r="O180" s="9" t="n"/>
      <c r="P180" s="9" t="n"/>
    </row>
    <row r="181">
      <c r="A181" s="9" t="n"/>
      <c r="B181" s="19" t="n"/>
      <c r="C181" s="9" t="n"/>
      <c r="D181" s="9" t="n"/>
      <c r="E181" s="9" t="n"/>
      <c r="F181" s="9" t="n"/>
      <c r="G181" s="10" t="n"/>
      <c r="H181" s="9" t="n"/>
      <c r="I181" s="9" t="n"/>
      <c r="J181" s="9" t="n"/>
      <c r="K181" s="9" t="n"/>
      <c r="L181">
        <f>IF($A181="","",IF($P181="Yes","Disputed / Review",IF($I181&lt;&gt;"Yes","Not Reimbursable",IF($M181&lt;=0.004,"Pending",IF($N181&lt;=0.004,"Reimbursed","Partially Reimbursed")))))</f>
        <v/>
      </c>
      <c r="M181" s="12">
        <f>IF($A181="",0,SUMIF('Family Contributions'!$I$4:$I$1003,$A181,'Family Contributions'!$G$4:$G$1003))</f>
        <v/>
      </c>
      <c r="N181" s="12">
        <f>IF($A181="",0,IF($I181="Yes",IF(ISNUMBER($G181),$G181,0)-$M181,0))</f>
        <v/>
      </c>
      <c r="O181" s="9" t="n"/>
      <c r="P181" s="9" t="n"/>
    </row>
    <row r="182">
      <c r="A182" s="9" t="n"/>
      <c r="B182" s="19" t="n"/>
      <c r="C182" s="9" t="n"/>
      <c r="D182" s="9" t="n"/>
      <c r="E182" s="9" t="n"/>
      <c r="F182" s="9" t="n"/>
      <c r="G182" s="10" t="n"/>
      <c r="H182" s="9" t="n"/>
      <c r="I182" s="9" t="n"/>
      <c r="J182" s="9" t="n"/>
      <c r="K182" s="9" t="n"/>
      <c r="L182">
        <f>IF($A182="","",IF($P182="Yes","Disputed / Review",IF($I182&lt;&gt;"Yes","Not Reimbursable",IF($M182&lt;=0.004,"Pending",IF($N182&lt;=0.004,"Reimbursed","Partially Reimbursed")))))</f>
        <v/>
      </c>
      <c r="M182" s="12">
        <f>IF($A182="",0,SUMIF('Family Contributions'!$I$4:$I$1003,$A182,'Family Contributions'!$G$4:$G$1003))</f>
        <v/>
      </c>
      <c r="N182" s="12">
        <f>IF($A182="",0,IF($I182="Yes",IF(ISNUMBER($G182),$G182,0)-$M182,0))</f>
        <v/>
      </c>
      <c r="O182" s="9" t="n"/>
      <c r="P182" s="9" t="n"/>
    </row>
    <row r="183">
      <c r="A183" s="9" t="n"/>
      <c r="B183" s="19" t="n"/>
      <c r="C183" s="9" t="n"/>
      <c r="D183" s="9" t="n"/>
      <c r="E183" s="9" t="n"/>
      <c r="F183" s="9" t="n"/>
      <c r="G183" s="10" t="n"/>
      <c r="H183" s="9" t="n"/>
      <c r="I183" s="9" t="n"/>
      <c r="J183" s="9" t="n"/>
      <c r="K183" s="9" t="n"/>
      <c r="L183">
        <f>IF($A183="","",IF($P183="Yes","Disputed / Review",IF($I183&lt;&gt;"Yes","Not Reimbursable",IF($M183&lt;=0.004,"Pending",IF($N183&lt;=0.004,"Reimbursed","Partially Reimbursed")))))</f>
        <v/>
      </c>
      <c r="M183" s="12">
        <f>IF($A183="",0,SUMIF('Family Contributions'!$I$4:$I$1003,$A183,'Family Contributions'!$G$4:$G$1003))</f>
        <v/>
      </c>
      <c r="N183" s="12">
        <f>IF($A183="",0,IF($I183="Yes",IF(ISNUMBER($G183),$G183,0)-$M183,0))</f>
        <v/>
      </c>
      <c r="O183" s="9" t="n"/>
      <c r="P183" s="9" t="n"/>
    </row>
    <row r="184">
      <c r="A184" s="9" t="n"/>
      <c r="B184" s="19" t="n"/>
      <c r="C184" s="9" t="n"/>
      <c r="D184" s="9" t="n"/>
      <c r="E184" s="9" t="n"/>
      <c r="F184" s="9" t="n"/>
      <c r="G184" s="10" t="n"/>
      <c r="H184" s="9" t="n"/>
      <c r="I184" s="9" t="n"/>
      <c r="J184" s="9" t="n"/>
      <c r="K184" s="9" t="n"/>
      <c r="L184">
        <f>IF($A184="","",IF($P184="Yes","Disputed / Review",IF($I184&lt;&gt;"Yes","Not Reimbursable",IF($M184&lt;=0.004,"Pending",IF($N184&lt;=0.004,"Reimbursed","Partially Reimbursed")))))</f>
        <v/>
      </c>
      <c r="M184" s="12">
        <f>IF($A184="",0,SUMIF('Family Contributions'!$I$4:$I$1003,$A184,'Family Contributions'!$G$4:$G$1003))</f>
        <v/>
      </c>
      <c r="N184" s="12">
        <f>IF($A184="",0,IF($I184="Yes",IF(ISNUMBER($G184),$G184,0)-$M184,0))</f>
        <v/>
      </c>
      <c r="O184" s="9" t="n"/>
      <c r="P184" s="9" t="n"/>
    </row>
    <row r="185">
      <c r="A185" s="9" t="n"/>
      <c r="B185" s="19" t="n"/>
      <c r="C185" s="9" t="n"/>
      <c r="D185" s="9" t="n"/>
      <c r="E185" s="9" t="n"/>
      <c r="F185" s="9" t="n"/>
      <c r="G185" s="10" t="n"/>
      <c r="H185" s="9" t="n"/>
      <c r="I185" s="9" t="n"/>
      <c r="J185" s="9" t="n"/>
      <c r="K185" s="9" t="n"/>
      <c r="L185">
        <f>IF($A185="","",IF($P185="Yes","Disputed / Review",IF($I185&lt;&gt;"Yes","Not Reimbursable",IF($M185&lt;=0.004,"Pending",IF($N185&lt;=0.004,"Reimbursed","Partially Reimbursed")))))</f>
        <v/>
      </c>
      <c r="M185" s="12">
        <f>IF($A185="",0,SUMIF('Family Contributions'!$I$4:$I$1003,$A185,'Family Contributions'!$G$4:$G$1003))</f>
        <v/>
      </c>
      <c r="N185" s="12">
        <f>IF($A185="",0,IF($I185="Yes",IF(ISNUMBER($G185),$G185,0)-$M185,0))</f>
        <v/>
      </c>
      <c r="O185" s="9" t="n"/>
      <c r="P185" s="9" t="n"/>
    </row>
    <row r="186">
      <c r="A186" s="9" t="n"/>
      <c r="B186" s="19" t="n"/>
      <c r="C186" s="9" t="n"/>
      <c r="D186" s="9" t="n"/>
      <c r="E186" s="9" t="n"/>
      <c r="F186" s="9" t="n"/>
      <c r="G186" s="10" t="n"/>
      <c r="H186" s="9" t="n"/>
      <c r="I186" s="9" t="n"/>
      <c r="J186" s="9" t="n"/>
      <c r="K186" s="9" t="n"/>
      <c r="L186">
        <f>IF($A186="","",IF($P186="Yes","Disputed / Review",IF($I186&lt;&gt;"Yes","Not Reimbursable",IF($M186&lt;=0.004,"Pending",IF($N186&lt;=0.004,"Reimbursed","Partially Reimbursed")))))</f>
        <v/>
      </c>
      <c r="M186" s="12">
        <f>IF($A186="",0,SUMIF('Family Contributions'!$I$4:$I$1003,$A186,'Family Contributions'!$G$4:$G$1003))</f>
        <v/>
      </c>
      <c r="N186" s="12">
        <f>IF($A186="",0,IF($I186="Yes",IF(ISNUMBER($G186),$G186,0)-$M186,0))</f>
        <v/>
      </c>
      <c r="O186" s="9" t="n"/>
      <c r="P186" s="9" t="n"/>
    </row>
    <row r="187">
      <c r="A187" s="9" t="n"/>
      <c r="B187" s="19" t="n"/>
      <c r="C187" s="9" t="n"/>
      <c r="D187" s="9" t="n"/>
      <c r="E187" s="9" t="n"/>
      <c r="F187" s="9" t="n"/>
      <c r="G187" s="10" t="n"/>
      <c r="H187" s="9" t="n"/>
      <c r="I187" s="9" t="n"/>
      <c r="J187" s="9" t="n"/>
      <c r="K187" s="9" t="n"/>
      <c r="L187">
        <f>IF($A187="","",IF($P187="Yes","Disputed / Review",IF($I187&lt;&gt;"Yes","Not Reimbursable",IF($M187&lt;=0.004,"Pending",IF($N187&lt;=0.004,"Reimbursed","Partially Reimbursed")))))</f>
        <v/>
      </c>
      <c r="M187" s="12">
        <f>IF($A187="",0,SUMIF('Family Contributions'!$I$4:$I$1003,$A187,'Family Contributions'!$G$4:$G$1003))</f>
        <v/>
      </c>
      <c r="N187" s="12">
        <f>IF($A187="",0,IF($I187="Yes",IF(ISNUMBER($G187),$G187,0)-$M187,0))</f>
        <v/>
      </c>
      <c r="O187" s="9" t="n"/>
      <c r="P187" s="9" t="n"/>
    </row>
    <row r="188">
      <c r="A188" s="9" t="n"/>
      <c r="B188" s="19" t="n"/>
      <c r="C188" s="9" t="n"/>
      <c r="D188" s="9" t="n"/>
      <c r="E188" s="9" t="n"/>
      <c r="F188" s="9" t="n"/>
      <c r="G188" s="10" t="n"/>
      <c r="H188" s="9" t="n"/>
      <c r="I188" s="9" t="n"/>
      <c r="J188" s="9" t="n"/>
      <c r="K188" s="9" t="n"/>
      <c r="L188">
        <f>IF($A188="","",IF($P188="Yes","Disputed / Review",IF($I188&lt;&gt;"Yes","Not Reimbursable",IF($M188&lt;=0.004,"Pending",IF($N188&lt;=0.004,"Reimbursed","Partially Reimbursed")))))</f>
        <v/>
      </c>
      <c r="M188" s="12">
        <f>IF($A188="",0,SUMIF('Family Contributions'!$I$4:$I$1003,$A188,'Family Contributions'!$G$4:$G$1003))</f>
        <v/>
      </c>
      <c r="N188" s="12">
        <f>IF($A188="",0,IF($I188="Yes",IF(ISNUMBER($G188),$G188,0)-$M188,0))</f>
        <v/>
      </c>
      <c r="O188" s="9" t="n"/>
      <c r="P188" s="9" t="n"/>
    </row>
    <row r="189">
      <c r="A189" s="9" t="n"/>
      <c r="B189" s="19" t="n"/>
      <c r="C189" s="9" t="n"/>
      <c r="D189" s="9" t="n"/>
      <c r="E189" s="9" t="n"/>
      <c r="F189" s="9" t="n"/>
      <c r="G189" s="10" t="n"/>
      <c r="H189" s="9" t="n"/>
      <c r="I189" s="9" t="n"/>
      <c r="J189" s="9" t="n"/>
      <c r="K189" s="9" t="n"/>
      <c r="L189">
        <f>IF($A189="","",IF($P189="Yes","Disputed / Review",IF($I189&lt;&gt;"Yes","Not Reimbursable",IF($M189&lt;=0.004,"Pending",IF($N189&lt;=0.004,"Reimbursed","Partially Reimbursed")))))</f>
        <v/>
      </c>
      <c r="M189" s="12">
        <f>IF($A189="",0,SUMIF('Family Contributions'!$I$4:$I$1003,$A189,'Family Contributions'!$G$4:$G$1003))</f>
        <v/>
      </c>
      <c r="N189" s="12">
        <f>IF($A189="",0,IF($I189="Yes",IF(ISNUMBER($G189),$G189,0)-$M189,0))</f>
        <v/>
      </c>
      <c r="O189" s="9" t="n"/>
      <c r="P189" s="9" t="n"/>
    </row>
    <row r="190">
      <c r="A190" s="9" t="n"/>
      <c r="B190" s="19" t="n"/>
      <c r="C190" s="9" t="n"/>
      <c r="D190" s="9" t="n"/>
      <c r="E190" s="9" t="n"/>
      <c r="F190" s="9" t="n"/>
      <c r="G190" s="10" t="n"/>
      <c r="H190" s="9" t="n"/>
      <c r="I190" s="9" t="n"/>
      <c r="J190" s="9" t="n"/>
      <c r="K190" s="9" t="n"/>
      <c r="L190">
        <f>IF($A190="","",IF($P190="Yes","Disputed / Review",IF($I190&lt;&gt;"Yes","Not Reimbursable",IF($M190&lt;=0.004,"Pending",IF($N190&lt;=0.004,"Reimbursed","Partially Reimbursed")))))</f>
        <v/>
      </c>
      <c r="M190" s="12">
        <f>IF($A190="",0,SUMIF('Family Contributions'!$I$4:$I$1003,$A190,'Family Contributions'!$G$4:$G$1003))</f>
        <v/>
      </c>
      <c r="N190" s="12">
        <f>IF($A190="",0,IF($I190="Yes",IF(ISNUMBER($G190),$G190,0)-$M190,0))</f>
        <v/>
      </c>
      <c r="O190" s="9" t="n"/>
      <c r="P190" s="9" t="n"/>
    </row>
    <row r="191">
      <c r="A191" s="9" t="n"/>
      <c r="B191" s="19" t="n"/>
      <c r="C191" s="9" t="n"/>
      <c r="D191" s="9" t="n"/>
      <c r="E191" s="9" t="n"/>
      <c r="F191" s="9" t="n"/>
      <c r="G191" s="10" t="n"/>
      <c r="H191" s="9" t="n"/>
      <c r="I191" s="9" t="n"/>
      <c r="J191" s="9" t="n"/>
      <c r="K191" s="9" t="n"/>
      <c r="L191">
        <f>IF($A191="","",IF($P191="Yes","Disputed / Review",IF($I191&lt;&gt;"Yes","Not Reimbursable",IF($M191&lt;=0.004,"Pending",IF($N191&lt;=0.004,"Reimbursed","Partially Reimbursed")))))</f>
        <v/>
      </c>
      <c r="M191" s="12">
        <f>IF($A191="",0,SUMIF('Family Contributions'!$I$4:$I$1003,$A191,'Family Contributions'!$G$4:$G$1003))</f>
        <v/>
      </c>
      <c r="N191" s="12">
        <f>IF($A191="",0,IF($I191="Yes",IF(ISNUMBER($G191),$G191,0)-$M191,0))</f>
        <v/>
      </c>
      <c r="O191" s="9" t="n"/>
      <c r="P191" s="9" t="n"/>
    </row>
    <row r="192">
      <c r="A192" s="9" t="n"/>
      <c r="B192" s="19" t="n"/>
      <c r="C192" s="9" t="n"/>
      <c r="D192" s="9" t="n"/>
      <c r="E192" s="9" t="n"/>
      <c r="F192" s="9" t="n"/>
      <c r="G192" s="10" t="n"/>
      <c r="H192" s="9" t="n"/>
      <c r="I192" s="9" t="n"/>
      <c r="J192" s="9" t="n"/>
      <c r="K192" s="9" t="n"/>
      <c r="L192">
        <f>IF($A192="","",IF($P192="Yes","Disputed / Review",IF($I192&lt;&gt;"Yes","Not Reimbursable",IF($M192&lt;=0.004,"Pending",IF($N192&lt;=0.004,"Reimbursed","Partially Reimbursed")))))</f>
        <v/>
      </c>
      <c r="M192" s="12">
        <f>IF($A192="",0,SUMIF('Family Contributions'!$I$4:$I$1003,$A192,'Family Contributions'!$G$4:$G$1003))</f>
        <v/>
      </c>
      <c r="N192" s="12">
        <f>IF($A192="",0,IF($I192="Yes",IF(ISNUMBER($G192),$G192,0)-$M192,0))</f>
        <v/>
      </c>
      <c r="O192" s="9" t="n"/>
      <c r="P192" s="9" t="n"/>
    </row>
    <row r="193">
      <c r="A193" s="9" t="n"/>
      <c r="B193" s="19" t="n"/>
      <c r="C193" s="9" t="n"/>
      <c r="D193" s="9" t="n"/>
      <c r="E193" s="9" t="n"/>
      <c r="F193" s="9" t="n"/>
      <c r="G193" s="10" t="n"/>
      <c r="H193" s="9" t="n"/>
      <c r="I193" s="9" t="n"/>
      <c r="J193" s="9" t="n"/>
      <c r="K193" s="9" t="n"/>
      <c r="L193">
        <f>IF($A193="","",IF($P193="Yes","Disputed / Review",IF($I193&lt;&gt;"Yes","Not Reimbursable",IF($M193&lt;=0.004,"Pending",IF($N193&lt;=0.004,"Reimbursed","Partially Reimbursed")))))</f>
        <v/>
      </c>
      <c r="M193" s="12">
        <f>IF($A193="",0,SUMIF('Family Contributions'!$I$4:$I$1003,$A193,'Family Contributions'!$G$4:$G$1003))</f>
        <v/>
      </c>
      <c r="N193" s="12">
        <f>IF($A193="",0,IF($I193="Yes",IF(ISNUMBER($G193),$G193,0)-$M193,0))</f>
        <v/>
      </c>
      <c r="O193" s="9" t="n"/>
      <c r="P193" s="9" t="n"/>
    </row>
    <row r="194">
      <c r="A194" s="9" t="n"/>
      <c r="B194" s="19" t="n"/>
      <c r="C194" s="9" t="n"/>
      <c r="D194" s="9" t="n"/>
      <c r="E194" s="9" t="n"/>
      <c r="F194" s="9" t="n"/>
      <c r="G194" s="10" t="n"/>
      <c r="H194" s="9" t="n"/>
      <c r="I194" s="9" t="n"/>
      <c r="J194" s="9" t="n"/>
      <c r="K194" s="9" t="n"/>
      <c r="L194">
        <f>IF($A194="","",IF($P194="Yes","Disputed / Review",IF($I194&lt;&gt;"Yes","Not Reimbursable",IF($M194&lt;=0.004,"Pending",IF($N194&lt;=0.004,"Reimbursed","Partially Reimbursed")))))</f>
        <v/>
      </c>
      <c r="M194" s="12">
        <f>IF($A194="",0,SUMIF('Family Contributions'!$I$4:$I$1003,$A194,'Family Contributions'!$G$4:$G$1003))</f>
        <v/>
      </c>
      <c r="N194" s="12">
        <f>IF($A194="",0,IF($I194="Yes",IF(ISNUMBER($G194),$G194,0)-$M194,0))</f>
        <v/>
      </c>
      <c r="O194" s="9" t="n"/>
      <c r="P194" s="9" t="n"/>
    </row>
    <row r="195">
      <c r="A195" s="9" t="n"/>
      <c r="B195" s="19" t="n"/>
      <c r="C195" s="9" t="n"/>
      <c r="D195" s="9" t="n"/>
      <c r="E195" s="9" t="n"/>
      <c r="F195" s="9" t="n"/>
      <c r="G195" s="10" t="n"/>
      <c r="H195" s="9" t="n"/>
      <c r="I195" s="9" t="n"/>
      <c r="J195" s="9" t="n"/>
      <c r="K195" s="9" t="n"/>
      <c r="L195">
        <f>IF($A195="","",IF($P195="Yes","Disputed / Review",IF($I195&lt;&gt;"Yes","Not Reimbursable",IF($M195&lt;=0.004,"Pending",IF($N195&lt;=0.004,"Reimbursed","Partially Reimbursed")))))</f>
        <v/>
      </c>
      <c r="M195" s="12">
        <f>IF($A195="",0,SUMIF('Family Contributions'!$I$4:$I$1003,$A195,'Family Contributions'!$G$4:$G$1003))</f>
        <v/>
      </c>
      <c r="N195" s="12">
        <f>IF($A195="",0,IF($I195="Yes",IF(ISNUMBER($G195),$G195,0)-$M195,0))</f>
        <v/>
      </c>
      <c r="O195" s="9" t="n"/>
      <c r="P195" s="9" t="n"/>
    </row>
    <row r="196">
      <c r="A196" s="9" t="n"/>
      <c r="B196" s="19" t="n"/>
      <c r="C196" s="9" t="n"/>
      <c r="D196" s="9" t="n"/>
      <c r="E196" s="9" t="n"/>
      <c r="F196" s="9" t="n"/>
      <c r="G196" s="10" t="n"/>
      <c r="H196" s="9" t="n"/>
      <c r="I196" s="9" t="n"/>
      <c r="J196" s="9" t="n"/>
      <c r="K196" s="9" t="n"/>
      <c r="L196">
        <f>IF($A196="","",IF($P196="Yes","Disputed / Review",IF($I196&lt;&gt;"Yes","Not Reimbursable",IF($M196&lt;=0.004,"Pending",IF($N196&lt;=0.004,"Reimbursed","Partially Reimbursed")))))</f>
        <v/>
      </c>
      <c r="M196" s="12">
        <f>IF($A196="",0,SUMIF('Family Contributions'!$I$4:$I$1003,$A196,'Family Contributions'!$G$4:$G$1003))</f>
        <v/>
      </c>
      <c r="N196" s="12">
        <f>IF($A196="",0,IF($I196="Yes",IF(ISNUMBER($G196),$G196,0)-$M196,0))</f>
        <v/>
      </c>
      <c r="O196" s="9" t="n"/>
      <c r="P196" s="9" t="n"/>
    </row>
    <row r="197">
      <c r="A197" s="9" t="n"/>
      <c r="B197" s="19" t="n"/>
      <c r="C197" s="9" t="n"/>
      <c r="D197" s="9" t="n"/>
      <c r="E197" s="9" t="n"/>
      <c r="F197" s="9" t="n"/>
      <c r="G197" s="10" t="n"/>
      <c r="H197" s="9" t="n"/>
      <c r="I197" s="9" t="n"/>
      <c r="J197" s="9" t="n"/>
      <c r="K197" s="9" t="n"/>
      <c r="L197">
        <f>IF($A197="","",IF($P197="Yes","Disputed / Review",IF($I197&lt;&gt;"Yes","Not Reimbursable",IF($M197&lt;=0.004,"Pending",IF($N197&lt;=0.004,"Reimbursed","Partially Reimbursed")))))</f>
        <v/>
      </c>
      <c r="M197" s="12">
        <f>IF($A197="",0,SUMIF('Family Contributions'!$I$4:$I$1003,$A197,'Family Contributions'!$G$4:$G$1003))</f>
        <v/>
      </c>
      <c r="N197" s="12">
        <f>IF($A197="",0,IF($I197="Yes",IF(ISNUMBER($G197),$G197,0)-$M197,0))</f>
        <v/>
      </c>
      <c r="O197" s="9" t="n"/>
      <c r="P197" s="9" t="n"/>
    </row>
    <row r="198">
      <c r="A198" s="9" t="n"/>
      <c r="B198" s="19" t="n"/>
      <c r="C198" s="9" t="n"/>
      <c r="D198" s="9" t="n"/>
      <c r="E198" s="9" t="n"/>
      <c r="F198" s="9" t="n"/>
      <c r="G198" s="10" t="n"/>
      <c r="H198" s="9" t="n"/>
      <c r="I198" s="9" t="n"/>
      <c r="J198" s="9" t="n"/>
      <c r="K198" s="9" t="n"/>
      <c r="L198">
        <f>IF($A198="","",IF($P198="Yes","Disputed / Review",IF($I198&lt;&gt;"Yes","Not Reimbursable",IF($M198&lt;=0.004,"Pending",IF($N198&lt;=0.004,"Reimbursed","Partially Reimbursed")))))</f>
        <v/>
      </c>
      <c r="M198" s="12">
        <f>IF($A198="",0,SUMIF('Family Contributions'!$I$4:$I$1003,$A198,'Family Contributions'!$G$4:$G$1003))</f>
        <v/>
      </c>
      <c r="N198" s="12">
        <f>IF($A198="",0,IF($I198="Yes",IF(ISNUMBER($G198),$G198,0)-$M198,0))</f>
        <v/>
      </c>
      <c r="O198" s="9" t="n"/>
      <c r="P198" s="9" t="n"/>
    </row>
    <row r="199">
      <c r="A199" s="9" t="n"/>
      <c r="B199" s="19" t="n"/>
      <c r="C199" s="9" t="n"/>
      <c r="D199" s="9" t="n"/>
      <c r="E199" s="9" t="n"/>
      <c r="F199" s="9" t="n"/>
      <c r="G199" s="10" t="n"/>
      <c r="H199" s="9" t="n"/>
      <c r="I199" s="9" t="n"/>
      <c r="J199" s="9" t="n"/>
      <c r="K199" s="9" t="n"/>
      <c r="L199">
        <f>IF($A199="","",IF($P199="Yes","Disputed / Review",IF($I199&lt;&gt;"Yes","Not Reimbursable",IF($M199&lt;=0.004,"Pending",IF($N199&lt;=0.004,"Reimbursed","Partially Reimbursed")))))</f>
        <v/>
      </c>
      <c r="M199" s="12">
        <f>IF($A199="",0,SUMIF('Family Contributions'!$I$4:$I$1003,$A199,'Family Contributions'!$G$4:$G$1003))</f>
        <v/>
      </c>
      <c r="N199" s="12">
        <f>IF($A199="",0,IF($I199="Yes",IF(ISNUMBER($G199),$G199,0)-$M199,0))</f>
        <v/>
      </c>
      <c r="O199" s="9" t="n"/>
      <c r="P199" s="9" t="n"/>
    </row>
    <row r="200">
      <c r="A200" s="9" t="n"/>
      <c r="B200" s="19" t="n"/>
      <c r="C200" s="9" t="n"/>
      <c r="D200" s="9" t="n"/>
      <c r="E200" s="9" t="n"/>
      <c r="F200" s="9" t="n"/>
      <c r="G200" s="10" t="n"/>
      <c r="H200" s="9" t="n"/>
      <c r="I200" s="9" t="n"/>
      <c r="J200" s="9" t="n"/>
      <c r="K200" s="9" t="n"/>
      <c r="L200">
        <f>IF($A200="","",IF($P200="Yes","Disputed / Review",IF($I200&lt;&gt;"Yes","Not Reimbursable",IF($M200&lt;=0.004,"Pending",IF($N200&lt;=0.004,"Reimbursed","Partially Reimbursed")))))</f>
        <v/>
      </c>
      <c r="M200" s="12">
        <f>IF($A200="",0,SUMIF('Family Contributions'!$I$4:$I$1003,$A200,'Family Contributions'!$G$4:$G$1003))</f>
        <v/>
      </c>
      <c r="N200" s="12">
        <f>IF($A200="",0,IF($I200="Yes",IF(ISNUMBER($G200),$G200,0)-$M200,0))</f>
        <v/>
      </c>
      <c r="O200" s="9" t="n"/>
      <c r="P200" s="9" t="n"/>
    </row>
    <row r="201">
      <c r="A201" s="9" t="n"/>
      <c r="B201" s="19" t="n"/>
      <c r="C201" s="9" t="n"/>
      <c r="D201" s="9" t="n"/>
      <c r="E201" s="9" t="n"/>
      <c r="F201" s="9" t="n"/>
      <c r="G201" s="10" t="n"/>
      <c r="H201" s="9" t="n"/>
      <c r="I201" s="9" t="n"/>
      <c r="J201" s="9" t="n"/>
      <c r="K201" s="9" t="n"/>
      <c r="L201">
        <f>IF($A201="","",IF($P201="Yes","Disputed / Review",IF($I201&lt;&gt;"Yes","Not Reimbursable",IF($M201&lt;=0.004,"Pending",IF($N201&lt;=0.004,"Reimbursed","Partially Reimbursed")))))</f>
        <v/>
      </c>
      <c r="M201" s="12">
        <f>IF($A201="",0,SUMIF('Family Contributions'!$I$4:$I$1003,$A201,'Family Contributions'!$G$4:$G$1003))</f>
        <v/>
      </c>
      <c r="N201" s="12">
        <f>IF($A201="",0,IF($I201="Yes",IF(ISNUMBER($G201),$G201,0)-$M201,0))</f>
        <v/>
      </c>
      <c r="O201" s="9" t="n"/>
      <c r="P201" s="9" t="n"/>
    </row>
    <row r="202">
      <c r="A202" s="9" t="n"/>
      <c r="B202" s="19" t="n"/>
      <c r="C202" s="9" t="n"/>
      <c r="D202" s="9" t="n"/>
      <c r="E202" s="9" t="n"/>
      <c r="F202" s="9" t="n"/>
      <c r="G202" s="10" t="n"/>
      <c r="H202" s="9" t="n"/>
      <c r="I202" s="9" t="n"/>
      <c r="J202" s="9" t="n"/>
      <c r="K202" s="9" t="n"/>
      <c r="L202">
        <f>IF($A202="","",IF($P202="Yes","Disputed / Review",IF($I202&lt;&gt;"Yes","Not Reimbursable",IF($M202&lt;=0.004,"Pending",IF($N202&lt;=0.004,"Reimbursed","Partially Reimbursed")))))</f>
        <v/>
      </c>
      <c r="M202" s="12">
        <f>IF($A202="",0,SUMIF('Family Contributions'!$I$4:$I$1003,$A202,'Family Contributions'!$G$4:$G$1003))</f>
        <v/>
      </c>
      <c r="N202" s="12">
        <f>IF($A202="",0,IF($I202="Yes",IF(ISNUMBER($G202),$G202,0)-$M202,0))</f>
        <v/>
      </c>
      <c r="O202" s="9" t="n"/>
      <c r="P202" s="9" t="n"/>
    </row>
    <row r="203">
      <c r="A203" s="9" t="n"/>
      <c r="B203" s="19" t="n"/>
      <c r="C203" s="9" t="n"/>
      <c r="D203" s="9" t="n"/>
      <c r="E203" s="9" t="n"/>
      <c r="F203" s="9" t="n"/>
      <c r="G203" s="10" t="n"/>
      <c r="H203" s="9" t="n"/>
      <c r="I203" s="9" t="n"/>
      <c r="J203" s="9" t="n"/>
      <c r="K203" s="9" t="n"/>
      <c r="L203">
        <f>IF($A203="","",IF($P203="Yes","Disputed / Review",IF($I203&lt;&gt;"Yes","Not Reimbursable",IF($M203&lt;=0.004,"Pending",IF($N203&lt;=0.004,"Reimbursed","Partially Reimbursed")))))</f>
        <v/>
      </c>
      <c r="M203" s="12">
        <f>IF($A203="",0,SUMIF('Family Contributions'!$I$4:$I$1003,$A203,'Family Contributions'!$G$4:$G$1003))</f>
        <v/>
      </c>
      <c r="N203" s="12">
        <f>IF($A203="",0,IF($I203="Yes",IF(ISNUMBER($G203),$G203,0)-$M203,0))</f>
        <v/>
      </c>
      <c r="O203" s="9" t="n"/>
      <c r="P203" s="9" t="n"/>
    </row>
    <row r="204">
      <c r="A204" s="9" t="n"/>
      <c r="B204" s="19" t="n"/>
      <c r="C204" s="9" t="n"/>
      <c r="D204" s="9" t="n"/>
      <c r="E204" s="9" t="n"/>
      <c r="F204" s="9" t="n"/>
      <c r="G204" s="10" t="n"/>
      <c r="H204" s="9" t="n"/>
      <c r="I204" s="9" t="n"/>
      <c r="J204" s="9" t="n"/>
      <c r="K204" s="9" t="n"/>
      <c r="L204">
        <f>IF($A204="","",IF($P204="Yes","Disputed / Review",IF($I204&lt;&gt;"Yes","Not Reimbursable",IF($M204&lt;=0.004,"Pending",IF($N204&lt;=0.004,"Reimbursed","Partially Reimbursed")))))</f>
        <v/>
      </c>
      <c r="M204" s="12">
        <f>IF($A204="",0,SUMIF('Family Contributions'!$I$4:$I$1003,$A204,'Family Contributions'!$G$4:$G$1003))</f>
        <v/>
      </c>
      <c r="N204" s="12">
        <f>IF($A204="",0,IF($I204="Yes",IF(ISNUMBER($G204),$G204,0)-$M204,0))</f>
        <v/>
      </c>
      <c r="O204" s="9" t="n"/>
      <c r="P204" s="9" t="n"/>
    </row>
    <row r="205">
      <c r="A205" s="9" t="n"/>
      <c r="B205" s="19" t="n"/>
      <c r="C205" s="9" t="n"/>
      <c r="D205" s="9" t="n"/>
      <c r="E205" s="9" t="n"/>
      <c r="F205" s="9" t="n"/>
      <c r="G205" s="10" t="n"/>
      <c r="H205" s="9" t="n"/>
      <c r="I205" s="9" t="n"/>
      <c r="J205" s="9" t="n"/>
      <c r="K205" s="9" t="n"/>
      <c r="L205">
        <f>IF($A205="","",IF($P205="Yes","Disputed / Review",IF($I205&lt;&gt;"Yes","Not Reimbursable",IF($M205&lt;=0.004,"Pending",IF($N205&lt;=0.004,"Reimbursed","Partially Reimbursed")))))</f>
        <v/>
      </c>
      <c r="M205" s="12">
        <f>IF($A205="",0,SUMIF('Family Contributions'!$I$4:$I$1003,$A205,'Family Contributions'!$G$4:$G$1003))</f>
        <v/>
      </c>
      <c r="N205" s="12">
        <f>IF($A205="",0,IF($I205="Yes",IF(ISNUMBER($G205),$G205,0)-$M205,0))</f>
        <v/>
      </c>
      <c r="O205" s="9" t="n"/>
      <c r="P205" s="9" t="n"/>
    </row>
    <row r="206">
      <c r="A206" s="9" t="n"/>
      <c r="B206" s="19" t="n"/>
      <c r="C206" s="9" t="n"/>
      <c r="D206" s="9" t="n"/>
      <c r="E206" s="9" t="n"/>
      <c r="F206" s="9" t="n"/>
      <c r="G206" s="10" t="n"/>
      <c r="H206" s="9" t="n"/>
      <c r="I206" s="9" t="n"/>
      <c r="J206" s="9" t="n"/>
      <c r="K206" s="9" t="n"/>
      <c r="L206">
        <f>IF($A206="","",IF($P206="Yes","Disputed / Review",IF($I206&lt;&gt;"Yes","Not Reimbursable",IF($M206&lt;=0.004,"Pending",IF($N206&lt;=0.004,"Reimbursed","Partially Reimbursed")))))</f>
        <v/>
      </c>
      <c r="M206" s="12">
        <f>IF($A206="",0,SUMIF('Family Contributions'!$I$4:$I$1003,$A206,'Family Contributions'!$G$4:$G$1003))</f>
        <v/>
      </c>
      <c r="N206" s="12">
        <f>IF($A206="",0,IF($I206="Yes",IF(ISNUMBER($G206),$G206,0)-$M206,0))</f>
        <v/>
      </c>
      <c r="O206" s="9" t="n"/>
      <c r="P206" s="9" t="n"/>
    </row>
    <row r="207">
      <c r="A207" s="9" t="n"/>
      <c r="B207" s="19" t="n"/>
      <c r="C207" s="9" t="n"/>
      <c r="D207" s="9" t="n"/>
      <c r="E207" s="9" t="n"/>
      <c r="F207" s="9" t="n"/>
      <c r="G207" s="10" t="n"/>
      <c r="H207" s="9" t="n"/>
      <c r="I207" s="9" t="n"/>
      <c r="J207" s="9" t="n"/>
      <c r="K207" s="9" t="n"/>
      <c r="L207">
        <f>IF($A207="","",IF($P207="Yes","Disputed / Review",IF($I207&lt;&gt;"Yes","Not Reimbursable",IF($M207&lt;=0.004,"Pending",IF($N207&lt;=0.004,"Reimbursed","Partially Reimbursed")))))</f>
        <v/>
      </c>
      <c r="M207" s="12">
        <f>IF($A207="",0,SUMIF('Family Contributions'!$I$4:$I$1003,$A207,'Family Contributions'!$G$4:$G$1003))</f>
        <v/>
      </c>
      <c r="N207" s="12">
        <f>IF($A207="",0,IF($I207="Yes",IF(ISNUMBER($G207),$G207,0)-$M207,0))</f>
        <v/>
      </c>
      <c r="O207" s="9" t="n"/>
      <c r="P207" s="9" t="n"/>
    </row>
    <row r="208">
      <c r="A208" s="9" t="n"/>
      <c r="B208" s="19" t="n"/>
      <c r="C208" s="9" t="n"/>
      <c r="D208" s="9" t="n"/>
      <c r="E208" s="9" t="n"/>
      <c r="F208" s="9" t="n"/>
      <c r="G208" s="10" t="n"/>
      <c r="H208" s="9" t="n"/>
      <c r="I208" s="9" t="n"/>
      <c r="J208" s="9" t="n"/>
      <c r="K208" s="9" t="n"/>
      <c r="L208">
        <f>IF($A208="","",IF($P208="Yes","Disputed / Review",IF($I208&lt;&gt;"Yes","Not Reimbursable",IF($M208&lt;=0.004,"Pending",IF($N208&lt;=0.004,"Reimbursed","Partially Reimbursed")))))</f>
        <v/>
      </c>
      <c r="M208" s="12">
        <f>IF($A208="",0,SUMIF('Family Contributions'!$I$4:$I$1003,$A208,'Family Contributions'!$G$4:$G$1003))</f>
        <v/>
      </c>
      <c r="N208" s="12">
        <f>IF($A208="",0,IF($I208="Yes",IF(ISNUMBER($G208),$G208,0)-$M208,0))</f>
        <v/>
      </c>
      <c r="O208" s="9" t="n"/>
      <c r="P208" s="9" t="n"/>
    </row>
    <row r="209">
      <c r="A209" s="9" t="n"/>
      <c r="B209" s="19" t="n"/>
      <c r="C209" s="9" t="n"/>
      <c r="D209" s="9" t="n"/>
      <c r="E209" s="9" t="n"/>
      <c r="F209" s="9" t="n"/>
      <c r="G209" s="10" t="n"/>
      <c r="H209" s="9" t="n"/>
      <c r="I209" s="9" t="n"/>
      <c r="J209" s="9" t="n"/>
      <c r="K209" s="9" t="n"/>
      <c r="L209">
        <f>IF($A209="","",IF($P209="Yes","Disputed / Review",IF($I209&lt;&gt;"Yes","Not Reimbursable",IF($M209&lt;=0.004,"Pending",IF($N209&lt;=0.004,"Reimbursed","Partially Reimbursed")))))</f>
        <v/>
      </c>
      <c r="M209" s="12">
        <f>IF($A209="",0,SUMIF('Family Contributions'!$I$4:$I$1003,$A209,'Family Contributions'!$G$4:$G$1003))</f>
        <v/>
      </c>
      <c r="N209" s="12">
        <f>IF($A209="",0,IF($I209="Yes",IF(ISNUMBER($G209),$G209,0)-$M209,0))</f>
        <v/>
      </c>
      <c r="O209" s="9" t="n"/>
      <c r="P209" s="9" t="n"/>
    </row>
    <row r="210">
      <c r="A210" s="9" t="n"/>
      <c r="B210" s="19" t="n"/>
      <c r="C210" s="9" t="n"/>
      <c r="D210" s="9" t="n"/>
      <c r="E210" s="9" t="n"/>
      <c r="F210" s="9" t="n"/>
      <c r="G210" s="10" t="n"/>
      <c r="H210" s="9" t="n"/>
      <c r="I210" s="9" t="n"/>
      <c r="J210" s="9" t="n"/>
      <c r="K210" s="9" t="n"/>
      <c r="L210">
        <f>IF($A210="","",IF($P210="Yes","Disputed / Review",IF($I210&lt;&gt;"Yes","Not Reimbursable",IF($M210&lt;=0.004,"Pending",IF($N210&lt;=0.004,"Reimbursed","Partially Reimbursed")))))</f>
        <v/>
      </c>
      <c r="M210" s="12">
        <f>IF($A210="",0,SUMIF('Family Contributions'!$I$4:$I$1003,$A210,'Family Contributions'!$G$4:$G$1003))</f>
        <v/>
      </c>
      <c r="N210" s="12">
        <f>IF($A210="",0,IF($I210="Yes",IF(ISNUMBER($G210),$G210,0)-$M210,0))</f>
        <v/>
      </c>
      <c r="O210" s="9" t="n"/>
      <c r="P210" s="9" t="n"/>
    </row>
    <row r="211">
      <c r="A211" s="9" t="n"/>
      <c r="B211" s="19" t="n"/>
      <c r="C211" s="9" t="n"/>
      <c r="D211" s="9" t="n"/>
      <c r="E211" s="9" t="n"/>
      <c r="F211" s="9" t="n"/>
      <c r="G211" s="10" t="n"/>
      <c r="H211" s="9" t="n"/>
      <c r="I211" s="9" t="n"/>
      <c r="J211" s="9" t="n"/>
      <c r="K211" s="9" t="n"/>
      <c r="L211">
        <f>IF($A211="","",IF($P211="Yes","Disputed / Review",IF($I211&lt;&gt;"Yes","Not Reimbursable",IF($M211&lt;=0.004,"Pending",IF($N211&lt;=0.004,"Reimbursed","Partially Reimbursed")))))</f>
        <v/>
      </c>
      <c r="M211" s="12">
        <f>IF($A211="",0,SUMIF('Family Contributions'!$I$4:$I$1003,$A211,'Family Contributions'!$G$4:$G$1003))</f>
        <v/>
      </c>
      <c r="N211" s="12">
        <f>IF($A211="",0,IF($I211="Yes",IF(ISNUMBER($G211),$G211,0)-$M211,0))</f>
        <v/>
      </c>
      <c r="O211" s="9" t="n"/>
      <c r="P211" s="9" t="n"/>
    </row>
    <row r="212">
      <c r="A212" s="9" t="n"/>
      <c r="B212" s="19" t="n"/>
      <c r="C212" s="9" t="n"/>
      <c r="D212" s="9" t="n"/>
      <c r="E212" s="9" t="n"/>
      <c r="F212" s="9" t="n"/>
      <c r="G212" s="10" t="n"/>
      <c r="H212" s="9" t="n"/>
      <c r="I212" s="9" t="n"/>
      <c r="J212" s="9" t="n"/>
      <c r="K212" s="9" t="n"/>
      <c r="L212">
        <f>IF($A212="","",IF($P212="Yes","Disputed / Review",IF($I212&lt;&gt;"Yes","Not Reimbursable",IF($M212&lt;=0.004,"Pending",IF($N212&lt;=0.004,"Reimbursed","Partially Reimbursed")))))</f>
        <v/>
      </c>
      <c r="M212" s="12">
        <f>IF($A212="",0,SUMIF('Family Contributions'!$I$4:$I$1003,$A212,'Family Contributions'!$G$4:$G$1003))</f>
        <v/>
      </c>
      <c r="N212" s="12">
        <f>IF($A212="",0,IF($I212="Yes",IF(ISNUMBER($G212),$G212,0)-$M212,0))</f>
        <v/>
      </c>
      <c r="O212" s="9" t="n"/>
      <c r="P212" s="9" t="n"/>
    </row>
    <row r="213">
      <c r="A213" s="9" t="n"/>
      <c r="B213" s="19" t="n"/>
      <c r="C213" s="9" t="n"/>
      <c r="D213" s="9" t="n"/>
      <c r="E213" s="9" t="n"/>
      <c r="F213" s="9" t="n"/>
      <c r="G213" s="10" t="n"/>
      <c r="H213" s="9" t="n"/>
      <c r="I213" s="9" t="n"/>
      <c r="J213" s="9" t="n"/>
      <c r="K213" s="9" t="n"/>
      <c r="L213">
        <f>IF($A213="","",IF($P213="Yes","Disputed / Review",IF($I213&lt;&gt;"Yes","Not Reimbursable",IF($M213&lt;=0.004,"Pending",IF($N213&lt;=0.004,"Reimbursed","Partially Reimbursed")))))</f>
        <v/>
      </c>
      <c r="M213" s="12">
        <f>IF($A213="",0,SUMIF('Family Contributions'!$I$4:$I$1003,$A213,'Family Contributions'!$G$4:$G$1003))</f>
        <v/>
      </c>
      <c r="N213" s="12">
        <f>IF($A213="",0,IF($I213="Yes",IF(ISNUMBER($G213),$G213,0)-$M213,0))</f>
        <v/>
      </c>
      <c r="O213" s="9" t="n"/>
      <c r="P213" s="9" t="n"/>
    </row>
    <row r="214">
      <c r="A214" s="9" t="n"/>
      <c r="B214" s="19" t="n"/>
      <c r="C214" s="9" t="n"/>
      <c r="D214" s="9" t="n"/>
      <c r="E214" s="9" t="n"/>
      <c r="F214" s="9" t="n"/>
      <c r="G214" s="10" t="n"/>
      <c r="H214" s="9" t="n"/>
      <c r="I214" s="9" t="n"/>
      <c r="J214" s="9" t="n"/>
      <c r="K214" s="9" t="n"/>
      <c r="L214">
        <f>IF($A214="","",IF($P214="Yes","Disputed / Review",IF($I214&lt;&gt;"Yes","Not Reimbursable",IF($M214&lt;=0.004,"Pending",IF($N214&lt;=0.004,"Reimbursed","Partially Reimbursed")))))</f>
        <v/>
      </c>
      <c r="M214" s="12">
        <f>IF($A214="",0,SUMIF('Family Contributions'!$I$4:$I$1003,$A214,'Family Contributions'!$G$4:$G$1003))</f>
        <v/>
      </c>
      <c r="N214" s="12">
        <f>IF($A214="",0,IF($I214="Yes",IF(ISNUMBER($G214),$G214,0)-$M214,0))</f>
        <v/>
      </c>
      <c r="O214" s="9" t="n"/>
      <c r="P214" s="9" t="n"/>
    </row>
    <row r="215">
      <c r="A215" s="9" t="n"/>
      <c r="B215" s="19" t="n"/>
      <c r="C215" s="9" t="n"/>
      <c r="D215" s="9" t="n"/>
      <c r="E215" s="9" t="n"/>
      <c r="F215" s="9" t="n"/>
      <c r="G215" s="10" t="n"/>
      <c r="H215" s="9" t="n"/>
      <c r="I215" s="9" t="n"/>
      <c r="J215" s="9" t="n"/>
      <c r="K215" s="9" t="n"/>
      <c r="L215">
        <f>IF($A215="","",IF($P215="Yes","Disputed / Review",IF($I215&lt;&gt;"Yes","Not Reimbursable",IF($M215&lt;=0.004,"Pending",IF($N215&lt;=0.004,"Reimbursed","Partially Reimbursed")))))</f>
        <v/>
      </c>
      <c r="M215" s="12">
        <f>IF($A215="",0,SUMIF('Family Contributions'!$I$4:$I$1003,$A215,'Family Contributions'!$G$4:$G$1003))</f>
        <v/>
      </c>
      <c r="N215" s="12">
        <f>IF($A215="",0,IF($I215="Yes",IF(ISNUMBER($G215),$G215,0)-$M215,0))</f>
        <v/>
      </c>
      <c r="O215" s="9" t="n"/>
      <c r="P215" s="9" t="n"/>
    </row>
    <row r="216">
      <c r="A216" s="9" t="n"/>
      <c r="B216" s="19" t="n"/>
      <c r="C216" s="9" t="n"/>
      <c r="D216" s="9" t="n"/>
      <c r="E216" s="9" t="n"/>
      <c r="F216" s="9" t="n"/>
      <c r="G216" s="10" t="n"/>
      <c r="H216" s="9" t="n"/>
      <c r="I216" s="9" t="n"/>
      <c r="J216" s="9" t="n"/>
      <c r="K216" s="9" t="n"/>
      <c r="L216">
        <f>IF($A216="","",IF($P216="Yes","Disputed / Review",IF($I216&lt;&gt;"Yes","Not Reimbursable",IF($M216&lt;=0.004,"Pending",IF($N216&lt;=0.004,"Reimbursed","Partially Reimbursed")))))</f>
        <v/>
      </c>
      <c r="M216" s="12">
        <f>IF($A216="",0,SUMIF('Family Contributions'!$I$4:$I$1003,$A216,'Family Contributions'!$G$4:$G$1003))</f>
        <v/>
      </c>
      <c r="N216" s="12">
        <f>IF($A216="",0,IF($I216="Yes",IF(ISNUMBER($G216),$G216,0)-$M216,0))</f>
        <v/>
      </c>
      <c r="O216" s="9" t="n"/>
      <c r="P216" s="9" t="n"/>
    </row>
    <row r="217">
      <c r="A217" s="9" t="n"/>
      <c r="B217" s="19" t="n"/>
      <c r="C217" s="9" t="n"/>
      <c r="D217" s="9" t="n"/>
      <c r="E217" s="9" t="n"/>
      <c r="F217" s="9" t="n"/>
      <c r="G217" s="10" t="n"/>
      <c r="H217" s="9" t="n"/>
      <c r="I217" s="9" t="n"/>
      <c r="J217" s="9" t="n"/>
      <c r="K217" s="9" t="n"/>
      <c r="L217">
        <f>IF($A217="","",IF($P217="Yes","Disputed / Review",IF($I217&lt;&gt;"Yes","Not Reimbursable",IF($M217&lt;=0.004,"Pending",IF($N217&lt;=0.004,"Reimbursed","Partially Reimbursed")))))</f>
        <v/>
      </c>
      <c r="M217" s="12">
        <f>IF($A217="",0,SUMIF('Family Contributions'!$I$4:$I$1003,$A217,'Family Contributions'!$G$4:$G$1003))</f>
        <v/>
      </c>
      <c r="N217" s="12">
        <f>IF($A217="",0,IF($I217="Yes",IF(ISNUMBER($G217),$G217,0)-$M217,0))</f>
        <v/>
      </c>
      <c r="O217" s="9" t="n"/>
      <c r="P217" s="9" t="n"/>
    </row>
    <row r="218">
      <c r="A218" s="9" t="n"/>
      <c r="B218" s="19" t="n"/>
      <c r="C218" s="9" t="n"/>
      <c r="D218" s="9" t="n"/>
      <c r="E218" s="9" t="n"/>
      <c r="F218" s="9" t="n"/>
      <c r="G218" s="10" t="n"/>
      <c r="H218" s="9" t="n"/>
      <c r="I218" s="9" t="n"/>
      <c r="J218" s="9" t="n"/>
      <c r="K218" s="9" t="n"/>
      <c r="L218">
        <f>IF($A218="","",IF($P218="Yes","Disputed / Review",IF($I218&lt;&gt;"Yes","Not Reimbursable",IF($M218&lt;=0.004,"Pending",IF($N218&lt;=0.004,"Reimbursed","Partially Reimbursed")))))</f>
        <v/>
      </c>
      <c r="M218" s="12">
        <f>IF($A218="",0,SUMIF('Family Contributions'!$I$4:$I$1003,$A218,'Family Contributions'!$G$4:$G$1003))</f>
        <v/>
      </c>
      <c r="N218" s="12">
        <f>IF($A218="",0,IF($I218="Yes",IF(ISNUMBER($G218),$G218,0)-$M218,0))</f>
        <v/>
      </c>
      <c r="O218" s="9" t="n"/>
      <c r="P218" s="9" t="n"/>
    </row>
    <row r="219">
      <c r="A219" s="9" t="n"/>
      <c r="B219" s="19" t="n"/>
      <c r="C219" s="9" t="n"/>
      <c r="D219" s="9" t="n"/>
      <c r="E219" s="9" t="n"/>
      <c r="F219" s="9" t="n"/>
      <c r="G219" s="10" t="n"/>
      <c r="H219" s="9" t="n"/>
      <c r="I219" s="9" t="n"/>
      <c r="J219" s="9" t="n"/>
      <c r="K219" s="9" t="n"/>
      <c r="L219">
        <f>IF($A219="","",IF($P219="Yes","Disputed / Review",IF($I219&lt;&gt;"Yes","Not Reimbursable",IF($M219&lt;=0.004,"Pending",IF($N219&lt;=0.004,"Reimbursed","Partially Reimbursed")))))</f>
        <v/>
      </c>
      <c r="M219" s="12">
        <f>IF($A219="",0,SUMIF('Family Contributions'!$I$4:$I$1003,$A219,'Family Contributions'!$G$4:$G$1003))</f>
        <v/>
      </c>
      <c r="N219" s="12">
        <f>IF($A219="",0,IF($I219="Yes",IF(ISNUMBER($G219),$G219,0)-$M219,0))</f>
        <v/>
      </c>
      <c r="O219" s="9" t="n"/>
      <c r="P219" s="9" t="n"/>
    </row>
    <row r="220">
      <c r="A220" s="9" t="n"/>
      <c r="B220" s="19" t="n"/>
      <c r="C220" s="9" t="n"/>
      <c r="D220" s="9" t="n"/>
      <c r="E220" s="9" t="n"/>
      <c r="F220" s="9" t="n"/>
      <c r="G220" s="10" t="n"/>
      <c r="H220" s="9" t="n"/>
      <c r="I220" s="9" t="n"/>
      <c r="J220" s="9" t="n"/>
      <c r="K220" s="9" t="n"/>
      <c r="L220">
        <f>IF($A220="","",IF($P220="Yes","Disputed / Review",IF($I220&lt;&gt;"Yes","Not Reimbursable",IF($M220&lt;=0.004,"Pending",IF($N220&lt;=0.004,"Reimbursed","Partially Reimbursed")))))</f>
        <v/>
      </c>
      <c r="M220" s="12">
        <f>IF($A220="",0,SUMIF('Family Contributions'!$I$4:$I$1003,$A220,'Family Contributions'!$G$4:$G$1003))</f>
        <v/>
      </c>
      <c r="N220" s="12">
        <f>IF($A220="",0,IF($I220="Yes",IF(ISNUMBER($G220),$G220,0)-$M220,0))</f>
        <v/>
      </c>
      <c r="O220" s="9" t="n"/>
      <c r="P220" s="9" t="n"/>
    </row>
    <row r="221">
      <c r="A221" s="9" t="n"/>
      <c r="B221" s="19" t="n"/>
      <c r="C221" s="9" t="n"/>
      <c r="D221" s="9" t="n"/>
      <c r="E221" s="9" t="n"/>
      <c r="F221" s="9" t="n"/>
      <c r="G221" s="10" t="n"/>
      <c r="H221" s="9" t="n"/>
      <c r="I221" s="9" t="n"/>
      <c r="J221" s="9" t="n"/>
      <c r="K221" s="9" t="n"/>
      <c r="L221">
        <f>IF($A221="","",IF($P221="Yes","Disputed / Review",IF($I221&lt;&gt;"Yes","Not Reimbursable",IF($M221&lt;=0.004,"Pending",IF($N221&lt;=0.004,"Reimbursed","Partially Reimbursed")))))</f>
        <v/>
      </c>
      <c r="M221" s="12">
        <f>IF($A221="",0,SUMIF('Family Contributions'!$I$4:$I$1003,$A221,'Family Contributions'!$G$4:$G$1003))</f>
        <v/>
      </c>
      <c r="N221" s="12">
        <f>IF($A221="",0,IF($I221="Yes",IF(ISNUMBER($G221),$G221,0)-$M221,0))</f>
        <v/>
      </c>
      <c r="O221" s="9" t="n"/>
      <c r="P221" s="9" t="n"/>
    </row>
    <row r="222">
      <c r="A222" s="9" t="n"/>
      <c r="B222" s="19" t="n"/>
      <c r="C222" s="9" t="n"/>
      <c r="D222" s="9" t="n"/>
      <c r="E222" s="9" t="n"/>
      <c r="F222" s="9" t="n"/>
      <c r="G222" s="10" t="n"/>
      <c r="H222" s="9" t="n"/>
      <c r="I222" s="9" t="n"/>
      <c r="J222" s="9" t="n"/>
      <c r="K222" s="9" t="n"/>
      <c r="L222">
        <f>IF($A222="","",IF($P222="Yes","Disputed / Review",IF($I222&lt;&gt;"Yes","Not Reimbursable",IF($M222&lt;=0.004,"Pending",IF($N222&lt;=0.004,"Reimbursed","Partially Reimbursed")))))</f>
        <v/>
      </c>
      <c r="M222" s="12">
        <f>IF($A222="",0,SUMIF('Family Contributions'!$I$4:$I$1003,$A222,'Family Contributions'!$G$4:$G$1003))</f>
        <v/>
      </c>
      <c r="N222" s="12">
        <f>IF($A222="",0,IF($I222="Yes",IF(ISNUMBER($G222),$G222,0)-$M222,0))</f>
        <v/>
      </c>
      <c r="O222" s="9" t="n"/>
      <c r="P222" s="9" t="n"/>
    </row>
    <row r="223">
      <c r="A223" s="9" t="n"/>
      <c r="B223" s="19" t="n"/>
      <c r="C223" s="9" t="n"/>
      <c r="D223" s="9" t="n"/>
      <c r="E223" s="9" t="n"/>
      <c r="F223" s="9" t="n"/>
      <c r="G223" s="10" t="n"/>
      <c r="H223" s="9" t="n"/>
      <c r="I223" s="9" t="n"/>
      <c r="J223" s="9" t="n"/>
      <c r="K223" s="9" t="n"/>
      <c r="L223">
        <f>IF($A223="","",IF($P223="Yes","Disputed / Review",IF($I223&lt;&gt;"Yes","Not Reimbursable",IF($M223&lt;=0.004,"Pending",IF($N223&lt;=0.004,"Reimbursed","Partially Reimbursed")))))</f>
        <v/>
      </c>
      <c r="M223" s="12">
        <f>IF($A223="",0,SUMIF('Family Contributions'!$I$4:$I$1003,$A223,'Family Contributions'!$G$4:$G$1003))</f>
        <v/>
      </c>
      <c r="N223" s="12">
        <f>IF($A223="",0,IF($I223="Yes",IF(ISNUMBER($G223),$G223,0)-$M223,0))</f>
        <v/>
      </c>
      <c r="O223" s="9" t="n"/>
      <c r="P223" s="9" t="n"/>
    </row>
    <row r="224">
      <c r="A224" s="9" t="n"/>
      <c r="B224" s="19" t="n"/>
      <c r="C224" s="9" t="n"/>
      <c r="D224" s="9" t="n"/>
      <c r="E224" s="9" t="n"/>
      <c r="F224" s="9" t="n"/>
      <c r="G224" s="10" t="n"/>
      <c r="H224" s="9" t="n"/>
      <c r="I224" s="9" t="n"/>
      <c r="J224" s="9" t="n"/>
      <c r="K224" s="9" t="n"/>
      <c r="L224">
        <f>IF($A224="","",IF($P224="Yes","Disputed / Review",IF($I224&lt;&gt;"Yes","Not Reimbursable",IF($M224&lt;=0.004,"Pending",IF($N224&lt;=0.004,"Reimbursed","Partially Reimbursed")))))</f>
        <v/>
      </c>
      <c r="M224" s="12">
        <f>IF($A224="",0,SUMIF('Family Contributions'!$I$4:$I$1003,$A224,'Family Contributions'!$G$4:$G$1003))</f>
        <v/>
      </c>
      <c r="N224" s="12">
        <f>IF($A224="",0,IF($I224="Yes",IF(ISNUMBER($G224),$G224,0)-$M224,0))</f>
        <v/>
      </c>
      <c r="O224" s="9" t="n"/>
      <c r="P224" s="9" t="n"/>
    </row>
    <row r="225">
      <c r="A225" s="9" t="n"/>
      <c r="B225" s="19" t="n"/>
      <c r="C225" s="9" t="n"/>
      <c r="D225" s="9" t="n"/>
      <c r="E225" s="9" t="n"/>
      <c r="F225" s="9" t="n"/>
      <c r="G225" s="10" t="n"/>
      <c r="H225" s="9" t="n"/>
      <c r="I225" s="9" t="n"/>
      <c r="J225" s="9" t="n"/>
      <c r="K225" s="9" t="n"/>
      <c r="L225">
        <f>IF($A225="","",IF($P225="Yes","Disputed / Review",IF($I225&lt;&gt;"Yes","Not Reimbursable",IF($M225&lt;=0.004,"Pending",IF($N225&lt;=0.004,"Reimbursed","Partially Reimbursed")))))</f>
        <v/>
      </c>
      <c r="M225" s="12">
        <f>IF($A225="",0,SUMIF('Family Contributions'!$I$4:$I$1003,$A225,'Family Contributions'!$G$4:$G$1003))</f>
        <v/>
      </c>
      <c r="N225" s="12">
        <f>IF($A225="",0,IF($I225="Yes",IF(ISNUMBER($G225),$G225,0)-$M225,0))</f>
        <v/>
      </c>
      <c r="O225" s="9" t="n"/>
      <c r="P225" s="9" t="n"/>
    </row>
    <row r="226">
      <c r="A226" s="9" t="n"/>
      <c r="B226" s="19" t="n"/>
      <c r="C226" s="9" t="n"/>
      <c r="D226" s="9" t="n"/>
      <c r="E226" s="9" t="n"/>
      <c r="F226" s="9" t="n"/>
      <c r="G226" s="10" t="n"/>
      <c r="H226" s="9" t="n"/>
      <c r="I226" s="9" t="n"/>
      <c r="J226" s="9" t="n"/>
      <c r="K226" s="9" t="n"/>
      <c r="L226">
        <f>IF($A226="","",IF($P226="Yes","Disputed / Review",IF($I226&lt;&gt;"Yes","Not Reimbursable",IF($M226&lt;=0.004,"Pending",IF($N226&lt;=0.004,"Reimbursed","Partially Reimbursed")))))</f>
        <v/>
      </c>
      <c r="M226" s="12">
        <f>IF($A226="",0,SUMIF('Family Contributions'!$I$4:$I$1003,$A226,'Family Contributions'!$G$4:$G$1003))</f>
        <v/>
      </c>
      <c r="N226" s="12">
        <f>IF($A226="",0,IF($I226="Yes",IF(ISNUMBER($G226),$G226,0)-$M226,0))</f>
        <v/>
      </c>
      <c r="O226" s="9" t="n"/>
      <c r="P226" s="9" t="n"/>
    </row>
    <row r="227">
      <c r="A227" s="9" t="n"/>
      <c r="B227" s="19" t="n"/>
      <c r="C227" s="9" t="n"/>
      <c r="D227" s="9" t="n"/>
      <c r="E227" s="9" t="n"/>
      <c r="F227" s="9" t="n"/>
      <c r="G227" s="10" t="n"/>
      <c r="H227" s="9" t="n"/>
      <c r="I227" s="9" t="n"/>
      <c r="J227" s="9" t="n"/>
      <c r="K227" s="9" t="n"/>
      <c r="L227">
        <f>IF($A227="","",IF($P227="Yes","Disputed / Review",IF($I227&lt;&gt;"Yes","Not Reimbursable",IF($M227&lt;=0.004,"Pending",IF($N227&lt;=0.004,"Reimbursed","Partially Reimbursed")))))</f>
        <v/>
      </c>
      <c r="M227" s="12">
        <f>IF($A227="",0,SUMIF('Family Contributions'!$I$4:$I$1003,$A227,'Family Contributions'!$G$4:$G$1003))</f>
        <v/>
      </c>
      <c r="N227" s="12">
        <f>IF($A227="",0,IF($I227="Yes",IF(ISNUMBER($G227),$G227,0)-$M227,0))</f>
        <v/>
      </c>
      <c r="O227" s="9" t="n"/>
      <c r="P227" s="9" t="n"/>
    </row>
    <row r="228">
      <c r="A228" s="9" t="n"/>
      <c r="B228" s="19" t="n"/>
      <c r="C228" s="9" t="n"/>
      <c r="D228" s="9" t="n"/>
      <c r="E228" s="9" t="n"/>
      <c r="F228" s="9" t="n"/>
      <c r="G228" s="10" t="n"/>
      <c r="H228" s="9" t="n"/>
      <c r="I228" s="9" t="n"/>
      <c r="J228" s="9" t="n"/>
      <c r="K228" s="9" t="n"/>
      <c r="L228">
        <f>IF($A228="","",IF($P228="Yes","Disputed / Review",IF($I228&lt;&gt;"Yes","Not Reimbursable",IF($M228&lt;=0.004,"Pending",IF($N228&lt;=0.004,"Reimbursed","Partially Reimbursed")))))</f>
        <v/>
      </c>
      <c r="M228" s="12">
        <f>IF($A228="",0,SUMIF('Family Contributions'!$I$4:$I$1003,$A228,'Family Contributions'!$G$4:$G$1003))</f>
        <v/>
      </c>
      <c r="N228" s="12">
        <f>IF($A228="",0,IF($I228="Yes",IF(ISNUMBER($G228),$G228,0)-$M228,0))</f>
        <v/>
      </c>
      <c r="O228" s="9" t="n"/>
      <c r="P228" s="9" t="n"/>
    </row>
    <row r="229">
      <c r="A229" s="9" t="n"/>
      <c r="B229" s="19" t="n"/>
      <c r="C229" s="9" t="n"/>
      <c r="D229" s="9" t="n"/>
      <c r="E229" s="9" t="n"/>
      <c r="F229" s="9" t="n"/>
      <c r="G229" s="10" t="n"/>
      <c r="H229" s="9" t="n"/>
      <c r="I229" s="9" t="n"/>
      <c r="J229" s="9" t="n"/>
      <c r="K229" s="9" t="n"/>
      <c r="L229">
        <f>IF($A229="","",IF($P229="Yes","Disputed / Review",IF($I229&lt;&gt;"Yes","Not Reimbursable",IF($M229&lt;=0.004,"Pending",IF($N229&lt;=0.004,"Reimbursed","Partially Reimbursed")))))</f>
        <v/>
      </c>
      <c r="M229" s="12">
        <f>IF($A229="",0,SUMIF('Family Contributions'!$I$4:$I$1003,$A229,'Family Contributions'!$G$4:$G$1003))</f>
        <v/>
      </c>
      <c r="N229" s="12">
        <f>IF($A229="",0,IF($I229="Yes",IF(ISNUMBER($G229),$G229,0)-$M229,0))</f>
        <v/>
      </c>
      <c r="O229" s="9" t="n"/>
      <c r="P229" s="9" t="n"/>
    </row>
    <row r="230">
      <c r="A230" s="9" t="n"/>
      <c r="B230" s="19" t="n"/>
      <c r="C230" s="9" t="n"/>
      <c r="D230" s="9" t="n"/>
      <c r="E230" s="9" t="n"/>
      <c r="F230" s="9" t="n"/>
      <c r="G230" s="10" t="n"/>
      <c r="H230" s="9" t="n"/>
      <c r="I230" s="9" t="n"/>
      <c r="J230" s="9" t="n"/>
      <c r="K230" s="9" t="n"/>
      <c r="L230">
        <f>IF($A230="","",IF($P230="Yes","Disputed / Review",IF($I230&lt;&gt;"Yes","Not Reimbursable",IF($M230&lt;=0.004,"Pending",IF($N230&lt;=0.004,"Reimbursed","Partially Reimbursed")))))</f>
        <v/>
      </c>
      <c r="M230" s="12">
        <f>IF($A230="",0,SUMIF('Family Contributions'!$I$4:$I$1003,$A230,'Family Contributions'!$G$4:$G$1003))</f>
        <v/>
      </c>
      <c r="N230" s="12">
        <f>IF($A230="",0,IF($I230="Yes",IF(ISNUMBER($G230),$G230,0)-$M230,0))</f>
        <v/>
      </c>
      <c r="O230" s="9" t="n"/>
      <c r="P230" s="9" t="n"/>
    </row>
    <row r="231">
      <c r="A231" s="9" t="n"/>
      <c r="B231" s="19" t="n"/>
      <c r="C231" s="9" t="n"/>
      <c r="D231" s="9" t="n"/>
      <c r="E231" s="9" t="n"/>
      <c r="F231" s="9" t="n"/>
      <c r="G231" s="10" t="n"/>
      <c r="H231" s="9" t="n"/>
      <c r="I231" s="9" t="n"/>
      <c r="J231" s="9" t="n"/>
      <c r="K231" s="9" t="n"/>
      <c r="L231">
        <f>IF($A231="","",IF($P231="Yes","Disputed / Review",IF($I231&lt;&gt;"Yes","Not Reimbursable",IF($M231&lt;=0.004,"Pending",IF($N231&lt;=0.004,"Reimbursed","Partially Reimbursed")))))</f>
        <v/>
      </c>
      <c r="M231" s="12">
        <f>IF($A231="",0,SUMIF('Family Contributions'!$I$4:$I$1003,$A231,'Family Contributions'!$G$4:$G$1003))</f>
        <v/>
      </c>
      <c r="N231" s="12">
        <f>IF($A231="",0,IF($I231="Yes",IF(ISNUMBER($G231),$G231,0)-$M231,0))</f>
        <v/>
      </c>
      <c r="O231" s="9" t="n"/>
      <c r="P231" s="9" t="n"/>
    </row>
    <row r="232">
      <c r="A232" s="9" t="n"/>
      <c r="B232" s="19" t="n"/>
      <c r="C232" s="9" t="n"/>
      <c r="D232" s="9" t="n"/>
      <c r="E232" s="9" t="n"/>
      <c r="F232" s="9" t="n"/>
      <c r="G232" s="10" t="n"/>
      <c r="H232" s="9" t="n"/>
      <c r="I232" s="9" t="n"/>
      <c r="J232" s="9" t="n"/>
      <c r="K232" s="9" t="n"/>
      <c r="L232">
        <f>IF($A232="","",IF($P232="Yes","Disputed / Review",IF($I232&lt;&gt;"Yes","Not Reimbursable",IF($M232&lt;=0.004,"Pending",IF($N232&lt;=0.004,"Reimbursed","Partially Reimbursed")))))</f>
        <v/>
      </c>
      <c r="M232" s="12">
        <f>IF($A232="",0,SUMIF('Family Contributions'!$I$4:$I$1003,$A232,'Family Contributions'!$G$4:$G$1003))</f>
        <v/>
      </c>
      <c r="N232" s="12">
        <f>IF($A232="",0,IF($I232="Yes",IF(ISNUMBER($G232),$G232,0)-$M232,0))</f>
        <v/>
      </c>
      <c r="O232" s="9" t="n"/>
      <c r="P232" s="9" t="n"/>
    </row>
    <row r="233">
      <c r="A233" s="9" t="n"/>
      <c r="B233" s="19" t="n"/>
      <c r="C233" s="9" t="n"/>
      <c r="D233" s="9" t="n"/>
      <c r="E233" s="9" t="n"/>
      <c r="F233" s="9" t="n"/>
      <c r="G233" s="10" t="n"/>
      <c r="H233" s="9" t="n"/>
      <c r="I233" s="9" t="n"/>
      <c r="J233" s="9" t="n"/>
      <c r="K233" s="9" t="n"/>
      <c r="L233">
        <f>IF($A233="","",IF($P233="Yes","Disputed / Review",IF($I233&lt;&gt;"Yes","Not Reimbursable",IF($M233&lt;=0.004,"Pending",IF($N233&lt;=0.004,"Reimbursed","Partially Reimbursed")))))</f>
        <v/>
      </c>
      <c r="M233" s="12">
        <f>IF($A233="",0,SUMIF('Family Contributions'!$I$4:$I$1003,$A233,'Family Contributions'!$G$4:$G$1003))</f>
        <v/>
      </c>
      <c r="N233" s="12">
        <f>IF($A233="",0,IF($I233="Yes",IF(ISNUMBER($G233),$G233,0)-$M233,0))</f>
        <v/>
      </c>
      <c r="O233" s="9" t="n"/>
      <c r="P233" s="9" t="n"/>
    </row>
    <row r="234">
      <c r="A234" s="9" t="n"/>
      <c r="B234" s="19" t="n"/>
      <c r="C234" s="9" t="n"/>
      <c r="D234" s="9" t="n"/>
      <c r="E234" s="9" t="n"/>
      <c r="F234" s="9" t="n"/>
      <c r="G234" s="10" t="n"/>
      <c r="H234" s="9" t="n"/>
      <c r="I234" s="9" t="n"/>
      <c r="J234" s="9" t="n"/>
      <c r="K234" s="9" t="n"/>
      <c r="L234">
        <f>IF($A234="","",IF($P234="Yes","Disputed / Review",IF($I234&lt;&gt;"Yes","Not Reimbursable",IF($M234&lt;=0.004,"Pending",IF($N234&lt;=0.004,"Reimbursed","Partially Reimbursed")))))</f>
        <v/>
      </c>
      <c r="M234" s="12">
        <f>IF($A234="",0,SUMIF('Family Contributions'!$I$4:$I$1003,$A234,'Family Contributions'!$G$4:$G$1003))</f>
        <v/>
      </c>
      <c r="N234" s="12">
        <f>IF($A234="",0,IF($I234="Yes",IF(ISNUMBER($G234),$G234,0)-$M234,0))</f>
        <v/>
      </c>
      <c r="O234" s="9" t="n"/>
      <c r="P234" s="9" t="n"/>
    </row>
    <row r="235">
      <c r="A235" s="9" t="n"/>
      <c r="B235" s="19" t="n"/>
      <c r="C235" s="9" t="n"/>
      <c r="D235" s="9" t="n"/>
      <c r="E235" s="9" t="n"/>
      <c r="F235" s="9" t="n"/>
      <c r="G235" s="10" t="n"/>
      <c r="H235" s="9" t="n"/>
      <c r="I235" s="9" t="n"/>
      <c r="J235" s="9" t="n"/>
      <c r="K235" s="9" t="n"/>
      <c r="L235">
        <f>IF($A235="","",IF($P235="Yes","Disputed / Review",IF($I235&lt;&gt;"Yes","Not Reimbursable",IF($M235&lt;=0.004,"Pending",IF($N235&lt;=0.004,"Reimbursed","Partially Reimbursed")))))</f>
        <v/>
      </c>
      <c r="M235" s="12">
        <f>IF($A235="",0,SUMIF('Family Contributions'!$I$4:$I$1003,$A235,'Family Contributions'!$G$4:$G$1003))</f>
        <v/>
      </c>
      <c r="N235" s="12">
        <f>IF($A235="",0,IF($I235="Yes",IF(ISNUMBER($G235),$G235,0)-$M235,0))</f>
        <v/>
      </c>
      <c r="O235" s="9" t="n"/>
      <c r="P235" s="9" t="n"/>
    </row>
    <row r="236">
      <c r="A236" s="9" t="n"/>
      <c r="B236" s="19" t="n"/>
      <c r="C236" s="9" t="n"/>
      <c r="D236" s="9" t="n"/>
      <c r="E236" s="9" t="n"/>
      <c r="F236" s="9" t="n"/>
      <c r="G236" s="10" t="n"/>
      <c r="H236" s="9" t="n"/>
      <c r="I236" s="9" t="n"/>
      <c r="J236" s="9" t="n"/>
      <c r="K236" s="9" t="n"/>
      <c r="L236">
        <f>IF($A236="","",IF($P236="Yes","Disputed / Review",IF($I236&lt;&gt;"Yes","Not Reimbursable",IF($M236&lt;=0.004,"Pending",IF($N236&lt;=0.004,"Reimbursed","Partially Reimbursed")))))</f>
        <v/>
      </c>
      <c r="M236" s="12">
        <f>IF($A236="",0,SUMIF('Family Contributions'!$I$4:$I$1003,$A236,'Family Contributions'!$G$4:$G$1003))</f>
        <v/>
      </c>
      <c r="N236" s="12">
        <f>IF($A236="",0,IF($I236="Yes",IF(ISNUMBER($G236),$G236,0)-$M236,0))</f>
        <v/>
      </c>
      <c r="O236" s="9" t="n"/>
      <c r="P236" s="9" t="n"/>
    </row>
    <row r="237">
      <c r="A237" s="9" t="n"/>
      <c r="B237" s="19" t="n"/>
      <c r="C237" s="9" t="n"/>
      <c r="D237" s="9" t="n"/>
      <c r="E237" s="9" t="n"/>
      <c r="F237" s="9" t="n"/>
      <c r="G237" s="10" t="n"/>
      <c r="H237" s="9" t="n"/>
      <c r="I237" s="9" t="n"/>
      <c r="J237" s="9" t="n"/>
      <c r="K237" s="9" t="n"/>
      <c r="L237">
        <f>IF($A237="","",IF($P237="Yes","Disputed / Review",IF($I237&lt;&gt;"Yes","Not Reimbursable",IF($M237&lt;=0.004,"Pending",IF($N237&lt;=0.004,"Reimbursed","Partially Reimbursed")))))</f>
        <v/>
      </c>
      <c r="M237" s="12">
        <f>IF($A237="",0,SUMIF('Family Contributions'!$I$4:$I$1003,$A237,'Family Contributions'!$G$4:$G$1003))</f>
        <v/>
      </c>
      <c r="N237" s="12">
        <f>IF($A237="",0,IF($I237="Yes",IF(ISNUMBER($G237),$G237,0)-$M237,0))</f>
        <v/>
      </c>
      <c r="O237" s="9" t="n"/>
      <c r="P237" s="9" t="n"/>
    </row>
    <row r="238">
      <c r="A238" s="9" t="n"/>
      <c r="B238" s="19" t="n"/>
      <c r="C238" s="9" t="n"/>
      <c r="D238" s="9" t="n"/>
      <c r="E238" s="9" t="n"/>
      <c r="F238" s="9" t="n"/>
      <c r="G238" s="10" t="n"/>
      <c r="H238" s="9" t="n"/>
      <c r="I238" s="9" t="n"/>
      <c r="J238" s="9" t="n"/>
      <c r="K238" s="9" t="n"/>
      <c r="L238">
        <f>IF($A238="","",IF($P238="Yes","Disputed / Review",IF($I238&lt;&gt;"Yes","Not Reimbursable",IF($M238&lt;=0.004,"Pending",IF($N238&lt;=0.004,"Reimbursed","Partially Reimbursed")))))</f>
        <v/>
      </c>
      <c r="M238" s="12">
        <f>IF($A238="",0,SUMIF('Family Contributions'!$I$4:$I$1003,$A238,'Family Contributions'!$G$4:$G$1003))</f>
        <v/>
      </c>
      <c r="N238" s="12">
        <f>IF($A238="",0,IF($I238="Yes",IF(ISNUMBER($G238),$G238,0)-$M238,0))</f>
        <v/>
      </c>
      <c r="O238" s="9" t="n"/>
      <c r="P238" s="9" t="n"/>
    </row>
    <row r="239">
      <c r="A239" s="9" t="n"/>
      <c r="B239" s="19" t="n"/>
      <c r="C239" s="9" t="n"/>
      <c r="D239" s="9" t="n"/>
      <c r="E239" s="9" t="n"/>
      <c r="F239" s="9" t="n"/>
      <c r="G239" s="10" t="n"/>
      <c r="H239" s="9" t="n"/>
      <c r="I239" s="9" t="n"/>
      <c r="J239" s="9" t="n"/>
      <c r="K239" s="9" t="n"/>
      <c r="L239">
        <f>IF($A239="","",IF($P239="Yes","Disputed / Review",IF($I239&lt;&gt;"Yes","Not Reimbursable",IF($M239&lt;=0.004,"Pending",IF($N239&lt;=0.004,"Reimbursed","Partially Reimbursed")))))</f>
        <v/>
      </c>
      <c r="M239" s="12">
        <f>IF($A239="",0,SUMIF('Family Contributions'!$I$4:$I$1003,$A239,'Family Contributions'!$G$4:$G$1003))</f>
        <v/>
      </c>
      <c r="N239" s="12">
        <f>IF($A239="",0,IF($I239="Yes",IF(ISNUMBER($G239),$G239,0)-$M239,0))</f>
        <v/>
      </c>
      <c r="O239" s="9" t="n"/>
      <c r="P239" s="9" t="n"/>
    </row>
    <row r="240">
      <c r="A240" s="9" t="n"/>
      <c r="B240" s="19" t="n"/>
      <c r="C240" s="9" t="n"/>
      <c r="D240" s="9" t="n"/>
      <c r="E240" s="9" t="n"/>
      <c r="F240" s="9" t="n"/>
      <c r="G240" s="10" t="n"/>
      <c r="H240" s="9" t="n"/>
      <c r="I240" s="9" t="n"/>
      <c r="J240" s="9" t="n"/>
      <c r="K240" s="9" t="n"/>
      <c r="L240">
        <f>IF($A240="","",IF($P240="Yes","Disputed / Review",IF($I240&lt;&gt;"Yes","Not Reimbursable",IF($M240&lt;=0.004,"Pending",IF($N240&lt;=0.004,"Reimbursed","Partially Reimbursed")))))</f>
        <v/>
      </c>
      <c r="M240" s="12">
        <f>IF($A240="",0,SUMIF('Family Contributions'!$I$4:$I$1003,$A240,'Family Contributions'!$G$4:$G$1003))</f>
        <v/>
      </c>
      <c r="N240" s="12">
        <f>IF($A240="",0,IF($I240="Yes",IF(ISNUMBER($G240),$G240,0)-$M240,0))</f>
        <v/>
      </c>
      <c r="O240" s="9" t="n"/>
      <c r="P240" s="9" t="n"/>
    </row>
    <row r="241">
      <c r="A241" s="9" t="n"/>
      <c r="B241" s="19" t="n"/>
      <c r="C241" s="9" t="n"/>
      <c r="D241" s="9" t="n"/>
      <c r="E241" s="9" t="n"/>
      <c r="F241" s="9" t="n"/>
      <c r="G241" s="10" t="n"/>
      <c r="H241" s="9" t="n"/>
      <c r="I241" s="9" t="n"/>
      <c r="J241" s="9" t="n"/>
      <c r="K241" s="9" t="n"/>
      <c r="L241">
        <f>IF($A241="","",IF($P241="Yes","Disputed / Review",IF($I241&lt;&gt;"Yes","Not Reimbursable",IF($M241&lt;=0.004,"Pending",IF($N241&lt;=0.004,"Reimbursed","Partially Reimbursed")))))</f>
        <v/>
      </c>
      <c r="M241" s="12">
        <f>IF($A241="",0,SUMIF('Family Contributions'!$I$4:$I$1003,$A241,'Family Contributions'!$G$4:$G$1003))</f>
        <v/>
      </c>
      <c r="N241" s="12">
        <f>IF($A241="",0,IF($I241="Yes",IF(ISNUMBER($G241),$G241,0)-$M241,0))</f>
        <v/>
      </c>
      <c r="O241" s="9" t="n"/>
      <c r="P241" s="9" t="n"/>
    </row>
    <row r="242">
      <c r="A242" s="9" t="n"/>
      <c r="B242" s="19" t="n"/>
      <c r="C242" s="9" t="n"/>
      <c r="D242" s="9" t="n"/>
      <c r="E242" s="9" t="n"/>
      <c r="F242" s="9" t="n"/>
      <c r="G242" s="10" t="n"/>
      <c r="H242" s="9" t="n"/>
      <c r="I242" s="9" t="n"/>
      <c r="J242" s="9" t="n"/>
      <c r="K242" s="9" t="n"/>
      <c r="L242">
        <f>IF($A242="","",IF($P242="Yes","Disputed / Review",IF($I242&lt;&gt;"Yes","Not Reimbursable",IF($M242&lt;=0.004,"Pending",IF($N242&lt;=0.004,"Reimbursed","Partially Reimbursed")))))</f>
        <v/>
      </c>
      <c r="M242" s="12">
        <f>IF($A242="",0,SUMIF('Family Contributions'!$I$4:$I$1003,$A242,'Family Contributions'!$G$4:$G$1003))</f>
        <v/>
      </c>
      <c r="N242" s="12">
        <f>IF($A242="",0,IF($I242="Yes",IF(ISNUMBER($G242),$G242,0)-$M242,0))</f>
        <v/>
      </c>
      <c r="O242" s="9" t="n"/>
      <c r="P242" s="9" t="n"/>
    </row>
    <row r="243">
      <c r="A243" s="9" t="n"/>
      <c r="B243" s="19" t="n"/>
      <c r="C243" s="9" t="n"/>
      <c r="D243" s="9" t="n"/>
      <c r="E243" s="9" t="n"/>
      <c r="F243" s="9" t="n"/>
      <c r="G243" s="10" t="n"/>
      <c r="H243" s="9" t="n"/>
      <c r="I243" s="9" t="n"/>
      <c r="J243" s="9" t="n"/>
      <c r="K243" s="9" t="n"/>
      <c r="L243">
        <f>IF($A243="","",IF($P243="Yes","Disputed / Review",IF($I243&lt;&gt;"Yes","Not Reimbursable",IF($M243&lt;=0.004,"Pending",IF($N243&lt;=0.004,"Reimbursed","Partially Reimbursed")))))</f>
        <v/>
      </c>
      <c r="M243" s="12">
        <f>IF($A243="",0,SUMIF('Family Contributions'!$I$4:$I$1003,$A243,'Family Contributions'!$G$4:$G$1003))</f>
        <v/>
      </c>
      <c r="N243" s="12">
        <f>IF($A243="",0,IF($I243="Yes",IF(ISNUMBER($G243),$G243,0)-$M243,0))</f>
        <v/>
      </c>
      <c r="O243" s="9" t="n"/>
      <c r="P243" s="9" t="n"/>
    </row>
    <row r="244">
      <c r="A244" s="9" t="n"/>
      <c r="B244" s="19" t="n"/>
      <c r="C244" s="9" t="n"/>
      <c r="D244" s="9" t="n"/>
      <c r="E244" s="9" t="n"/>
      <c r="F244" s="9" t="n"/>
      <c r="G244" s="10" t="n"/>
      <c r="H244" s="9" t="n"/>
      <c r="I244" s="9" t="n"/>
      <c r="J244" s="9" t="n"/>
      <c r="K244" s="9" t="n"/>
      <c r="L244">
        <f>IF($A244="","",IF($P244="Yes","Disputed / Review",IF($I244&lt;&gt;"Yes","Not Reimbursable",IF($M244&lt;=0.004,"Pending",IF($N244&lt;=0.004,"Reimbursed","Partially Reimbursed")))))</f>
        <v/>
      </c>
      <c r="M244" s="12">
        <f>IF($A244="",0,SUMIF('Family Contributions'!$I$4:$I$1003,$A244,'Family Contributions'!$G$4:$G$1003))</f>
        <v/>
      </c>
      <c r="N244" s="12">
        <f>IF($A244="",0,IF($I244="Yes",IF(ISNUMBER($G244),$G244,0)-$M244,0))</f>
        <v/>
      </c>
      <c r="O244" s="9" t="n"/>
      <c r="P244" s="9" t="n"/>
    </row>
    <row r="245">
      <c r="A245" s="9" t="n"/>
      <c r="B245" s="19" t="n"/>
      <c r="C245" s="9" t="n"/>
      <c r="D245" s="9" t="n"/>
      <c r="E245" s="9" t="n"/>
      <c r="F245" s="9" t="n"/>
      <c r="G245" s="10" t="n"/>
      <c r="H245" s="9" t="n"/>
      <c r="I245" s="9" t="n"/>
      <c r="J245" s="9" t="n"/>
      <c r="K245" s="9" t="n"/>
      <c r="L245">
        <f>IF($A245="","",IF($P245="Yes","Disputed / Review",IF($I245&lt;&gt;"Yes","Not Reimbursable",IF($M245&lt;=0.004,"Pending",IF($N245&lt;=0.004,"Reimbursed","Partially Reimbursed")))))</f>
        <v/>
      </c>
      <c r="M245" s="12">
        <f>IF($A245="",0,SUMIF('Family Contributions'!$I$4:$I$1003,$A245,'Family Contributions'!$G$4:$G$1003))</f>
        <v/>
      </c>
      <c r="N245" s="12">
        <f>IF($A245="",0,IF($I245="Yes",IF(ISNUMBER($G245),$G245,0)-$M245,0))</f>
        <v/>
      </c>
      <c r="O245" s="9" t="n"/>
      <c r="P245" s="9" t="n"/>
    </row>
    <row r="246">
      <c r="A246" s="9" t="n"/>
      <c r="B246" s="19" t="n"/>
      <c r="C246" s="9" t="n"/>
      <c r="D246" s="9" t="n"/>
      <c r="E246" s="9" t="n"/>
      <c r="F246" s="9" t="n"/>
      <c r="G246" s="10" t="n"/>
      <c r="H246" s="9" t="n"/>
      <c r="I246" s="9" t="n"/>
      <c r="J246" s="9" t="n"/>
      <c r="K246" s="9" t="n"/>
      <c r="L246">
        <f>IF($A246="","",IF($P246="Yes","Disputed / Review",IF($I246&lt;&gt;"Yes","Not Reimbursable",IF($M246&lt;=0.004,"Pending",IF($N246&lt;=0.004,"Reimbursed","Partially Reimbursed")))))</f>
        <v/>
      </c>
      <c r="M246" s="12">
        <f>IF($A246="",0,SUMIF('Family Contributions'!$I$4:$I$1003,$A246,'Family Contributions'!$G$4:$G$1003))</f>
        <v/>
      </c>
      <c r="N246" s="12">
        <f>IF($A246="",0,IF($I246="Yes",IF(ISNUMBER($G246),$G246,0)-$M246,0))</f>
        <v/>
      </c>
      <c r="O246" s="9" t="n"/>
      <c r="P246" s="9" t="n"/>
    </row>
    <row r="247">
      <c r="A247" s="9" t="n"/>
      <c r="B247" s="19" t="n"/>
      <c r="C247" s="9" t="n"/>
      <c r="D247" s="9" t="n"/>
      <c r="E247" s="9" t="n"/>
      <c r="F247" s="9" t="n"/>
      <c r="G247" s="10" t="n"/>
      <c r="H247" s="9" t="n"/>
      <c r="I247" s="9" t="n"/>
      <c r="J247" s="9" t="n"/>
      <c r="K247" s="9" t="n"/>
      <c r="L247">
        <f>IF($A247="","",IF($P247="Yes","Disputed / Review",IF($I247&lt;&gt;"Yes","Not Reimbursable",IF($M247&lt;=0.004,"Pending",IF($N247&lt;=0.004,"Reimbursed","Partially Reimbursed")))))</f>
        <v/>
      </c>
      <c r="M247" s="12">
        <f>IF($A247="",0,SUMIF('Family Contributions'!$I$4:$I$1003,$A247,'Family Contributions'!$G$4:$G$1003))</f>
        <v/>
      </c>
      <c r="N247" s="12">
        <f>IF($A247="",0,IF($I247="Yes",IF(ISNUMBER($G247),$G247,0)-$M247,0))</f>
        <v/>
      </c>
      <c r="O247" s="9" t="n"/>
      <c r="P247" s="9" t="n"/>
    </row>
    <row r="248">
      <c r="A248" s="9" t="n"/>
      <c r="B248" s="19" t="n"/>
      <c r="C248" s="9" t="n"/>
      <c r="D248" s="9" t="n"/>
      <c r="E248" s="9" t="n"/>
      <c r="F248" s="9" t="n"/>
      <c r="G248" s="10" t="n"/>
      <c r="H248" s="9" t="n"/>
      <c r="I248" s="9" t="n"/>
      <c r="J248" s="9" t="n"/>
      <c r="K248" s="9" t="n"/>
      <c r="L248">
        <f>IF($A248="","",IF($P248="Yes","Disputed / Review",IF($I248&lt;&gt;"Yes","Not Reimbursable",IF($M248&lt;=0.004,"Pending",IF($N248&lt;=0.004,"Reimbursed","Partially Reimbursed")))))</f>
        <v/>
      </c>
      <c r="M248" s="12">
        <f>IF($A248="",0,SUMIF('Family Contributions'!$I$4:$I$1003,$A248,'Family Contributions'!$G$4:$G$1003))</f>
        <v/>
      </c>
      <c r="N248" s="12">
        <f>IF($A248="",0,IF($I248="Yes",IF(ISNUMBER($G248),$G248,0)-$M248,0))</f>
        <v/>
      </c>
      <c r="O248" s="9" t="n"/>
      <c r="P248" s="9" t="n"/>
    </row>
    <row r="249">
      <c r="A249" s="9" t="n"/>
      <c r="B249" s="19" t="n"/>
      <c r="C249" s="9" t="n"/>
      <c r="D249" s="9" t="n"/>
      <c r="E249" s="9" t="n"/>
      <c r="F249" s="9" t="n"/>
      <c r="G249" s="10" t="n"/>
      <c r="H249" s="9" t="n"/>
      <c r="I249" s="9" t="n"/>
      <c r="J249" s="9" t="n"/>
      <c r="K249" s="9" t="n"/>
      <c r="L249">
        <f>IF($A249="","",IF($P249="Yes","Disputed / Review",IF($I249&lt;&gt;"Yes","Not Reimbursable",IF($M249&lt;=0.004,"Pending",IF($N249&lt;=0.004,"Reimbursed","Partially Reimbursed")))))</f>
        <v/>
      </c>
      <c r="M249" s="12">
        <f>IF($A249="",0,SUMIF('Family Contributions'!$I$4:$I$1003,$A249,'Family Contributions'!$G$4:$G$1003))</f>
        <v/>
      </c>
      <c r="N249" s="12">
        <f>IF($A249="",0,IF($I249="Yes",IF(ISNUMBER($G249),$G249,0)-$M249,0))</f>
        <v/>
      </c>
      <c r="O249" s="9" t="n"/>
      <c r="P249" s="9" t="n"/>
    </row>
    <row r="250">
      <c r="A250" s="9" t="n"/>
      <c r="B250" s="19" t="n"/>
      <c r="C250" s="9" t="n"/>
      <c r="D250" s="9" t="n"/>
      <c r="E250" s="9" t="n"/>
      <c r="F250" s="9" t="n"/>
      <c r="G250" s="10" t="n"/>
      <c r="H250" s="9" t="n"/>
      <c r="I250" s="9" t="n"/>
      <c r="J250" s="9" t="n"/>
      <c r="K250" s="9" t="n"/>
      <c r="L250">
        <f>IF($A250="","",IF($P250="Yes","Disputed / Review",IF($I250&lt;&gt;"Yes","Not Reimbursable",IF($M250&lt;=0.004,"Pending",IF($N250&lt;=0.004,"Reimbursed","Partially Reimbursed")))))</f>
        <v/>
      </c>
      <c r="M250" s="12">
        <f>IF($A250="",0,SUMIF('Family Contributions'!$I$4:$I$1003,$A250,'Family Contributions'!$G$4:$G$1003))</f>
        <v/>
      </c>
      <c r="N250" s="12">
        <f>IF($A250="",0,IF($I250="Yes",IF(ISNUMBER($G250),$G250,0)-$M250,0))</f>
        <v/>
      </c>
      <c r="O250" s="9" t="n"/>
      <c r="P250" s="9" t="n"/>
    </row>
    <row r="251">
      <c r="A251" s="9" t="n"/>
      <c r="B251" s="19" t="n"/>
      <c r="C251" s="9" t="n"/>
      <c r="D251" s="9" t="n"/>
      <c r="E251" s="9" t="n"/>
      <c r="F251" s="9" t="n"/>
      <c r="G251" s="10" t="n"/>
      <c r="H251" s="9" t="n"/>
      <c r="I251" s="9" t="n"/>
      <c r="J251" s="9" t="n"/>
      <c r="K251" s="9" t="n"/>
      <c r="L251">
        <f>IF($A251="","",IF($P251="Yes","Disputed / Review",IF($I251&lt;&gt;"Yes","Not Reimbursable",IF($M251&lt;=0.004,"Pending",IF($N251&lt;=0.004,"Reimbursed","Partially Reimbursed")))))</f>
        <v/>
      </c>
      <c r="M251" s="12">
        <f>IF($A251="",0,SUMIF('Family Contributions'!$I$4:$I$1003,$A251,'Family Contributions'!$G$4:$G$1003))</f>
        <v/>
      </c>
      <c r="N251" s="12">
        <f>IF($A251="",0,IF($I251="Yes",IF(ISNUMBER($G251),$G251,0)-$M251,0))</f>
        <v/>
      </c>
      <c r="O251" s="9" t="n"/>
      <c r="P251" s="9" t="n"/>
    </row>
    <row r="252">
      <c r="A252" s="9" t="n"/>
      <c r="B252" s="19" t="n"/>
      <c r="C252" s="9" t="n"/>
      <c r="D252" s="9" t="n"/>
      <c r="E252" s="9" t="n"/>
      <c r="F252" s="9" t="n"/>
      <c r="G252" s="10" t="n"/>
      <c r="H252" s="9" t="n"/>
      <c r="I252" s="9" t="n"/>
      <c r="J252" s="9" t="n"/>
      <c r="K252" s="9" t="n"/>
      <c r="L252">
        <f>IF($A252="","",IF($P252="Yes","Disputed / Review",IF($I252&lt;&gt;"Yes","Not Reimbursable",IF($M252&lt;=0.004,"Pending",IF($N252&lt;=0.004,"Reimbursed","Partially Reimbursed")))))</f>
        <v/>
      </c>
      <c r="M252" s="12">
        <f>IF($A252="",0,SUMIF('Family Contributions'!$I$4:$I$1003,$A252,'Family Contributions'!$G$4:$G$1003))</f>
        <v/>
      </c>
      <c r="N252" s="12">
        <f>IF($A252="",0,IF($I252="Yes",IF(ISNUMBER($G252),$G252,0)-$M252,0))</f>
        <v/>
      </c>
      <c r="O252" s="9" t="n"/>
      <c r="P252" s="9" t="n"/>
    </row>
    <row r="253">
      <c r="A253" s="9" t="n"/>
      <c r="B253" s="19" t="n"/>
      <c r="C253" s="9" t="n"/>
      <c r="D253" s="9" t="n"/>
      <c r="E253" s="9" t="n"/>
      <c r="F253" s="9" t="n"/>
      <c r="G253" s="10" t="n"/>
      <c r="H253" s="9" t="n"/>
      <c r="I253" s="9" t="n"/>
      <c r="J253" s="9" t="n"/>
      <c r="K253" s="9" t="n"/>
      <c r="L253">
        <f>IF($A253="","",IF($P253="Yes","Disputed / Review",IF($I253&lt;&gt;"Yes","Not Reimbursable",IF($M253&lt;=0.004,"Pending",IF($N253&lt;=0.004,"Reimbursed","Partially Reimbursed")))))</f>
        <v/>
      </c>
      <c r="M253" s="12">
        <f>IF($A253="",0,SUMIF('Family Contributions'!$I$4:$I$1003,$A253,'Family Contributions'!$G$4:$G$1003))</f>
        <v/>
      </c>
      <c r="N253" s="12">
        <f>IF($A253="",0,IF($I253="Yes",IF(ISNUMBER($G253),$G253,0)-$M253,0))</f>
        <v/>
      </c>
      <c r="O253" s="9" t="n"/>
      <c r="P253" s="9" t="n"/>
    </row>
    <row r="254">
      <c r="A254" s="9" t="n"/>
      <c r="B254" s="19" t="n"/>
      <c r="C254" s="9" t="n"/>
      <c r="D254" s="9" t="n"/>
      <c r="E254" s="9" t="n"/>
      <c r="F254" s="9" t="n"/>
      <c r="G254" s="10" t="n"/>
      <c r="H254" s="9" t="n"/>
      <c r="I254" s="9" t="n"/>
      <c r="J254" s="9" t="n"/>
      <c r="K254" s="9" t="n"/>
      <c r="L254">
        <f>IF($A254="","",IF($P254="Yes","Disputed / Review",IF($I254&lt;&gt;"Yes","Not Reimbursable",IF($M254&lt;=0.004,"Pending",IF($N254&lt;=0.004,"Reimbursed","Partially Reimbursed")))))</f>
        <v/>
      </c>
      <c r="M254" s="12">
        <f>IF($A254="",0,SUMIF('Family Contributions'!$I$4:$I$1003,$A254,'Family Contributions'!$G$4:$G$1003))</f>
        <v/>
      </c>
      <c r="N254" s="12">
        <f>IF($A254="",0,IF($I254="Yes",IF(ISNUMBER($G254),$G254,0)-$M254,0))</f>
        <v/>
      </c>
      <c r="O254" s="9" t="n"/>
      <c r="P254" s="9" t="n"/>
    </row>
    <row r="255">
      <c r="A255" s="9" t="n"/>
      <c r="B255" s="19" t="n"/>
      <c r="C255" s="9" t="n"/>
      <c r="D255" s="9" t="n"/>
      <c r="E255" s="9" t="n"/>
      <c r="F255" s="9" t="n"/>
      <c r="G255" s="10" t="n"/>
      <c r="H255" s="9" t="n"/>
      <c r="I255" s="9" t="n"/>
      <c r="J255" s="9" t="n"/>
      <c r="K255" s="9" t="n"/>
      <c r="L255">
        <f>IF($A255="","",IF($P255="Yes","Disputed / Review",IF($I255&lt;&gt;"Yes","Not Reimbursable",IF($M255&lt;=0.004,"Pending",IF($N255&lt;=0.004,"Reimbursed","Partially Reimbursed")))))</f>
        <v/>
      </c>
      <c r="M255" s="12">
        <f>IF($A255="",0,SUMIF('Family Contributions'!$I$4:$I$1003,$A255,'Family Contributions'!$G$4:$G$1003))</f>
        <v/>
      </c>
      <c r="N255" s="12">
        <f>IF($A255="",0,IF($I255="Yes",IF(ISNUMBER($G255),$G255,0)-$M255,0))</f>
        <v/>
      </c>
      <c r="O255" s="9" t="n"/>
      <c r="P255" s="9" t="n"/>
    </row>
    <row r="256">
      <c r="A256" s="9" t="n"/>
      <c r="B256" s="19" t="n"/>
      <c r="C256" s="9" t="n"/>
      <c r="D256" s="9" t="n"/>
      <c r="E256" s="9" t="n"/>
      <c r="F256" s="9" t="n"/>
      <c r="G256" s="10" t="n"/>
      <c r="H256" s="9" t="n"/>
      <c r="I256" s="9" t="n"/>
      <c r="J256" s="9" t="n"/>
      <c r="K256" s="9" t="n"/>
      <c r="L256">
        <f>IF($A256="","",IF($P256="Yes","Disputed / Review",IF($I256&lt;&gt;"Yes","Not Reimbursable",IF($M256&lt;=0.004,"Pending",IF($N256&lt;=0.004,"Reimbursed","Partially Reimbursed")))))</f>
        <v/>
      </c>
      <c r="M256" s="12">
        <f>IF($A256="",0,SUMIF('Family Contributions'!$I$4:$I$1003,$A256,'Family Contributions'!$G$4:$G$1003))</f>
        <v/>
      </c>
      <c r="N256" s="12">
        <f>IF($A256="",0,IF($I256="Yes",IF(ISNUMBER($G256),$G256,0)-$M256,0))</f>
        <v/>
      </c>
      <c r="O256" s="9" t="n"/>
      <c r="P256" s="9" t="n"/>
    </row>
    <row r="257">
      <c r="A257" s="9" t="n"/>
      <c r="B257" s="19" t="n"/>
      <c r="C257" s="9" t="n"/>
      <c r="D257" s="9" t="n"/>
      <c r="E257" s="9" t="n"/>
      <c r="F257" s="9" t="n"/>
      <c r="G257" s="10" t="n"/>
      <c r="H257" s="9" t="n"/>
      <c r="I257" s="9" t="n"/>
      <c r="J257" s="9" t="n"/>
      <c r="K257" s="9" t="n"/>
      <c r="L257">
        <f>IF($A257="","",IF($P257="Yes","Disputed / Review",IF($I257&lt;&gt;"Yes","Not Reimbursable",IF($M257&lt;=0.004,"Pending",IF($N257&lt;=0.004,"Reimbursed","Partially Reimbursed")))))</f>
        <v/>
      </c>
      <c r="M257" s="12">
        <f>IF($A257="",0,SUMIF('Family Contributions'!$I$4:$I$1003,$A257,'Family Contributions'!$G$4:$G$1003))</f>
        <v/>
      </c>
      <c r="N257" s="12">
        <f>IF($A257="",0,IF($I257="Yes",IF(ISNUMBER($G257),$G257,0)-$M257,0))</f>
        <v/>
      </c>
      <c r="O257" s="9" t="n"/>
      <c r="P257" s="9" t="n"/>
    </row>
    <row r="258">
      <c r="A258" s="9" t="n"/>
      <c r="B258" s="19" t="n"/>
      <c r="C258" s="9" t="n"/>
      <c r="D258" s="9" t="n"/>
      <c r="E258" s="9" t="n"/>
      <c r="F258" s="9" t="n"/>
      <c r="G258" s="10" t="n"/>
      <c r="H258" s="9" t="n"/>
      <c r="I258" s="9" t="n"/>
      <c r="J258" s="9" t="n"/>
      <c r="K258" s="9" t="n"/>
      <c r="L258">
        <f>IF($A258="","",IF($P258="Yes","Disputed / Review",IF($I258&lt;&gt;"Yes","Not Reimbursable",IF($M258&lt;=0.004,"Pending",IF($N258&lt;=0.004,"Reimbursed","Partially Reimbursed")))))</f>
        <v/>
      </c>
      <c r="M258" s="12">
        <f>IF($A258="",0,SUMIF('Family Contributions'!$I$4:$I$1003,$A258,'Family Contributions'!$G$4:$G$1003))</f>
        <v/>
      </c>
      <c r="N258" s="12">
        <f>IF($A258="",0,IF($I258="Yes",IF(ISNUMBER($G258),$G258,0)-$M258,0))</f>
        <v/>
      </c>
      <c r="O258" s="9" t="n"/>
      <c r="P258" s="9" t="n"/>
    </row>
    <row r="259">
      <c r="A259" s="9" t="n"/>
      <c r="B259" s="19" t="n"/>
      <c r="C259" s="9" t="n"/>
      <c r="D259" s="9" t="n"/>
      <c r="E259" s="9" t="n"/>
      <c r="F259" s="9" t="n"/>
      <c r="G259" s="10" t="n"/>
      <c r="H259" s="9" t="n"/>
      <c r="I259" s="9" t="n"/>
      <c r="J259" s="9" t="n"/>
      <c r="K259" s="9" t="n"/>
      <c r="L259">
        <f>IF($A259="","",IF($P259="Yes","Disputed / Review",IF($I259&lt;&gt;"Yes","Not Reimbursable",IF($M259&lt;=0.004,"Pending",IF($N259&lt;=0.004,"Reimbursed","Partially Reimbursed")))))</f>
        <v/>
      </c>
      <c r="M259" s="12">
        <f>IF($A259="",0,SUMIF('Family Contributions'!$I$4:$I$1003,$A259,'Family Contributions'!$G$4:$G$1003))</f>
        <v/>
      </c>
      <c r="N259" s="12">
        <f>IF($A259="",0,IF($I259="Yes",IF(ISNUMBER($G259),$G259,0)-$M259,0))</f>
        <v/>
      </c>
      <c r="O259" s="9" t="n"/>
      <c r="P259" s="9" t="n"/>
    </row>
    <row r="260">
      <c r="A260" s="9" t="n"/>
      <c r="B260" s="19" t="n"/>
      <c r="C260" s="9" t="n"/>
      <c r="D260" s="9" t="n"/>
      <c r="E260" s="9" t="n"/>
      <c r="F260" s="9" t="n"/>
      <c r="G260" s="10" t="n"/>
      <c r="H260" s="9" t="n"/>
      <c r="I260" s="9" t="n"/>
      <c r="J260" s="9" t="n"/>
      <c r="K260" s="9" t="n"/>
      <c r="L260">
        <f>IF($A260="","",IF($P260="Yes","Disputed / Review",IF($I260&lt;&gt;"Yes","Not Reimbursable",IF($M260&lt;=0.004,"Pending",IF($N260&lt;=0.004,"Reimbursed","Partially Reimbursed")))))</f>
        <v/>
      </c>
      <c r="M260" s="12">
        <f>IF($A260="",0,SUMIF('Family Contributions'!$I$4:$I$1003,$A260,'Family Contributions'!$G$4:$G$1003))</f>
        <v/>
      </c>
      <c r="N260" s="12">
        <f>IF($A260="",0,IF($I260="Yes",IF(ISNUMBER($G260),$G260,0)-$M260,0))</f>
        <v/>
      </c>
      <c r="O260" s="9" t="n"/>
      <c r="P260" s="9" t="n"/>
    </row>
    <row r="261">
      <c r="A261" s="9" t="n"/>
      <c r="B261" s="19" t="n"/>
      <c r="C261" s="9" t="n"/>
      <c r="D261" s="9" t="n"/>
      <c r="E261" s="9" t="n"/>
      <c r="F261" s="9" t="n"/>
      <c r="G261" s="10" t="n"/>
      <c r="H261" s="9" t="n"/>
      <c r="I261" s="9" t="n"/>
      <c r="J261" s="9" t="n"/>
      <c r="K261" s="9" t="n"/>
      <c r="L261">
        <f>IF($A261="","",IF($P261="Yes","Disputed / Review",IF($I261&lt;&gt;"Yes","Not Reimbursable",IF($M261&lt;=0.004,"Pending",IF($N261&lt;=0.004,"Reimbursed","Partially Reimbursed")))))</f>
        <v/>
      </c>
      <c r="M261" s="12">
        <f>IF($A261="",0,SUMIF('Family Contributions'!$I$4:$I$1003,$A261,'Family Contributions'!$G$4:$G$1003))</f>
        <v/>
      </c>
      <c r="N261" s="12">
        <f>IF($A261="",0,IF($I261="Yes",IF(ISNUMBER($G261),$G261,0)-$M261,0))</f>
        <v/>
      </c>
      <c r="O261" s="9" t="n"/>
      <c r="P261" s="9" t="n"/>
    </row>
    <row r="262">
      <c r="A262" s="9" t="n"/>
      <c r="B262" s="19" t="n"/>
      <c r="C262" s="9" t="n"/>
      <c r="D262" s="9" t="n"/>
      <c r="E262" s="9" t="n"/>
      <c r="F262" s="9" t="n"/>
      <c r="G262" s="10" t="n"/>
      <c r="H262" s="9" t="n"/>
      <c r="I262" s="9" t="n"/>
      <c r="J262" s="9" t="n"/>
      <c r="K262" s="9" t="n"/>
      <c r="L262">
        <f>IF($A262="","",IF($P262="Yes","Disputed / Review",IF($I262&lt;&gt;"Yes","Not Reimbursable",IF($M262&lt;=0.004,"Pending",IF($N262&lt;=0.004,"Reimbursed","Partially Reimbursed")))))</f>
        <v/>
      </c>
      <c r="M262" s="12">
        <f>IF($A262="",0,SUMIF('Family Contributions'!$I$4:$I$1003,$A262,'Family Contributions'!$G$4:$G$1003))</f>
        <v/>
      </c>
      <c r="N262" s="12">
        <f>IF($A262="",0,IF($I262="Yes",IF(ISNUMBER($G262),$G262,0)-$M262,0))</f>
        <v/>
      </c>
      <c r="O262" s="9" t="n"/>
      <c r="P262" s="9" t="n"/>
    </row>
    <row r="263">
      <c r="A263" s="9" t="n"/>
      <c r="B263" s="19" t="n"/>
      <c r="C263" s="9" t="n"/>
      <c r="D263" s="9" t="n"/>
      <c r="E263" s="9" t="n"/>
      <c r="F263" s="9" t="n"/>
      <c r="G263" s="10" t="n"/>
      <c r="H263" s="9" t="n"/>
      <c r="I263" s="9" t="n"/>
      <c r="J263" s="9" t="n"/>
      <c r="K263" s="9" t="n"/>
      <c r="L263">
        <f>IF($A263="","",IF($P263="Yes","Disputed / Review",IF($I263&lt;&gt;"Yes","Not Reimbursable",IF($M263&lt;=0.004,"Pending",IF($N263&lt;=0.004,"Reimbursed","Partially Reimbursed")))))</f>
        <v/>
      </c>
      <c r="M263" s="12">
        <f>IF($A263="",0,SUMIF('Family Contributions'!$I$4:$I$1003,$A263,'Family Contributions'!$G$4:$G$1003))</f>
        <v/>
      </c>
      <c r="N263" s="12">
        <f>IF($A263="",0,IF($I263="Yes",IF(ISNUMBER($G263),$G263,0)-$M263,0))</f>
        <v/>
      </c>
      <c r="O263" s="9" t="n"/>
      <c r="P263" s="9" t="n"/>
    </row>
    <row r="264">
      <c r="A264" s="9" t="n"/>
      <c r="B264" s="19" t="n"/>
      <c r="C264" s="9" t="n"/>
      <c r="D264" s="9" t="n"/>
      <c r="E264" s="9" t="n"/>
      <c r="F264" s="9" t="n"/>
      <c r="G264" s="10" t="n"/>
      <c r="H264" s="9" t="n"/>
      <c r="I264" s="9" t="n"/>
      <c r="J264" s="9" t="n"/>
      <c r="K264" s="9" t="n"/>
      <c r="L264">
        <f>IF($A264="","",IF($P264="Yes","Disputed / Review",IF($I264&lt;&gt;"Yes","Not Reimbursable",IF($M264&lt;=0.004,"Pending",IF($N264&lt;=0.004,"Reimbursed","Partially Reimbursed")))))</f>
        <v/>
      </c>
      <c r="M264" s="12">
        <f>IF($A264="",0,SUMIF('Family Contributions'!$I$4:$I$1003,$A264,'Family Contributions'!$G$4:$G$1003))</f>
        <v/>
      </c>
      <c r="N264" s="12">
        <f>IF($A264="",0,IF($I264="Yes",IF(ISNUMBER($G264),$G264,0)-$M264,0))</f>
        <v/>
      </c>
      <c r="O264" s="9" t="n"/>
      <c r="P264" s="9" t="n"/>
    </row>
    <row r="265">
      <c r="A265" s="9" t="n"/>
      <c r="B265" s="19" t="n"/>
      <c r="C265" s="9" t="n"/>
      <c r="D265" s="9" t="n"/>
      <c r="E265" s="9" t="n"/>
      <c r="F265" s="9" t="n"/>
      <c r="G265" s="10" t="n"/>
      <c r="H265" s="9" t="n"/>
      <c r="I265" s="9" t="n"/>
      <c r="J265" s="9" t="n"/>
      <c r="K265" s="9" t="n"/>
      <c r="L265">
        <f>IF($A265="","",IF($P265="Yes","Disputed / Review",IF($I265&lt;&gt;"Yes","Not Reimbursable",IF($M265&lt;=0.004,"Pending",IF($N265&lt;=0.004,"Reimbursed","Partially Reimbursed")))))</f>
        <v/>
      </c>
      <c r="M265" s="12">
        <f>IF($A265="",0,SUMIF('Family Contributions'!$I$4:$I$1003,$A265,'Family Contributions'!$G$4:$G$1003))</f>
        <v/>
      </c>
      <c r="N265" s="12">
        <f>IF($A265="",0,IF($I265="Yes",IF(ISNUMBER($G265),$G265,0)-$M265,0))</f>
        <v/>
      </c>
      <c r="O265" s="9" t="n"/>
      <c r="P265" s="9" t="n"/>
    </row>
    <row r="266">
      <c r="A266" s="9" t="n"/>
      <c r="B266" s="19" t="n"/>
      <c r="C266" s="9" t="n"/>
      <c r="D266" s="9" t="n"/>
      <c r="E266" s="9" t="n"/>
      <c r="F266" s="9" t="n"/>
      <c r="G266" s="10" t="n"/>
      <c r="H266" s="9" t="n"/>
      <c r="I266" s="9" t="n"/>
      <c r="J266" s="9" t="n"/>
      <c r="K266" s="9" t="n"/>
      <c r="L266">
        <f>IF($A266="","",IF($P266="Yes","Disputed / Review",IF($I266&lt;&gt;"Yes","Not Reimbursable",IF($M266&lt;=0.004,"Pending",IF($N266&lt;=0.004,"Reimbursed","Partially Reimbursed")))))</f>
        <v/>
      </c>
      <c r="M266" s="12">
        <f>IF($A266="",0,SUMIF('Family Contributions'!$I$4:$I$1003,$A266,'Family Contributions'!$G$4:$G$1003))</f>
        <v/>
      </c>
      <c r="N266" s="12">
        <f>IF($A266="",0,IF($I266="Yes",IF(ISNUMBER($G266),$G266,0)-$M266,0))</f>
        <v/>
      </c>
      <c r="O266" s="9" t="n"/>
      <c r="P266" s="9" t="n"/>
    </row>
    <row r="267">
      <c r="A267" s="9" t="n"/>
      <c r="B267" s="19" t="n"/>
      <c r="C267" s="9" t="n"/>
      <c r="D267" s="9" t="n"/>
      <c r="E267" s="9" t="n"/>
      <c r="F267" s="9" t="n"/>
      <c r="G267" s="10" t="n"/>
      <c r="H267" s="9" t="n"/>
      <c r="I267" s="9" t="n"/>
      <c r="J267" s="9" t="n"/>
      <c r="K267" s="9" t="n"/>
      <c r="L267">
        <f>IF($A267="","",IF($P267="Yes","Disputed / Review",IF($I267&lt;&gt;"Yes","Not Reimbursable",IF($M267&lt;=0.004,"Pending",IF($N267&lt;=0.004,"Reimbursed","Partially Reimbursed")))))</f>
        <v/>
      </c>
      <c r="M267" s="12">
        <f>IF($A267="",0,SUMIF('Family Contributions'!$I$4:$I$1003,$A267,'Family Contributions'!$G$4:$G$1003))</f>
        <v/>
      </c>
      <c r="N267" s="12">
        <f>IF($A267="",0,IF($I267="Yes",IF(ISNUMBER($G267),$G267,0)-$M267,0))</f>
        <v/>
      </c>
      <c r="O267" s="9" t="n"/>
      <c r="P267" s="9" t="n"/>
    </row>
    <row r="268">
      <c r="A268" s="9" t="n"/>
      <c r="B268" s="19" t="n"/>
      <c r="C268" s="9" t="n"/>
      <c r="D268" s="9" t="n"/>
      <c r="E268" s="9" t="n"/>
      <c r="F268" s="9" t="n"/>
      <c r="G268" s="10" t="n"/>
      <c r="H268" s="9" t="n"/>
      <c r="I268" s="9" t="n"/>
      <c r="J268" s="9" t="n"/>
      <c r="K268" s="9" t="n"/>
      <c r="L268">
        <f>IF($A268="","",IF($P268="Yes","Disputed / Review",IF($I268&lt;&gt;"Yes","Not Reimbursable",IF($M268&lt;=0.004,"Pending",IF($N268&lt;=0.004,"Reimbursed","Partially Reimbursed")))))</f>
        <v/>
      </c>
      <c r="M268" s="12">
        <f>IF($A268="",0,SUMIF('Family Contributions'!$I$4:$I$1003,$A268,'Family Contributions'!$G$4:$G$1003))</f>
        <v/>
      </c>
      <c r="N268" s="12">
        <f>IF($A268="",0,IF($I268="Yes",IF(ISNUMBER($G268),$G268,0)-$M268,0))</f>
        <v/>
      </c>
      <c r="O268" s="9" t="n"/>
      <c r="P268" s="9" t="n"/>
    </row>
    <row r="269">
      <c r="A269" s="9" t="n"/>
      <c r="B269" s="19" t="n"/>
      <c r="C269" s="9" t="n"/>
      <c r="D269" s="9" t="n"/>
      <c r="E269" s="9" t="n"/>
      <c r="F269" s="9" t="n"/>
      <c r="G269" s="10" t="n"/>
      <c r="H269" s="9" t="n"/>
      <c r="I269" s="9" t="n"/>
      <c r="J269" s="9" t="n"/>
      <c r="K269" s="9" t="n"/>
      <c r="L269">
        <f>IF($A269="","",IF($P269="Yes","Disputed / Review",IF($I269&lt;&gt;"Yes","Not Reimbursable",IF($M269&lt;=0.004,"Pending",IF($N269&lt;=0.004,"Reimbursed","Partially Reimbursed")))))</f>
        <v/>
      </c>
      <c r="M269" s="12">
        <f>IF($A269="",0,SUMIF('Family Contributions'!$I$4:$I$1003,$A269,'Family Contributions'!$G$4:$G$1003))</f>
        <v/>
      </c>
      <c r="N269" s="12">
        <f>IF($A269="",0,IF($I269="Yes",IF(ISNUMBER($G269),$G269,0)-$M269,0))</f>
        <v/>
      </c>
      <c r="O269" s="9" t="n"/>
      <c r="P269" s="9" t="n"/>
    </row>
    <row r="270">
      <c r="A270" s="9" t="n"/>
      <c r="B270" s="19" t="n"/>
      <c r="C270" s="9" t="n"/>
      <c r="D270" s="9" t="n"/>
      <c r="E270" s="9" t="n"/>
      <c r="F270" s="9" t="n"/>
      <c r="G270" s="10" t="n"/>
      <c r="H270" s="9" t="n"/>
      <c r="I270" s="9" t="n"/>
      <c r="J270" s="9" t="n"/>
      <c r="K270" s="9" t="n"/>
      <c r="L270">
        <f>IF($A270="","",IF($P270="Yes","Disputed / Review",IF($I270&lt;&gt;"Yes","Not Reimbursable",IF($M270&lt;=0.004,"Pending",IF($N270&lt;=0.004,"Reimbursed","Partially Reimbursed")))))</f>
        <v/>
      </c>
      <c r="M270" s="12">
        <f>IF($A270="",0,SUMIF('Family Contributions'!$I$4:$I$1003,$A270,'Family Contributions'!$G$4:$G$1003))</f>
        <v/>
      </c>
      <c r="N270" s="12">
        <f>IF($A270="",0,IF($I270="Yes",IF(ISNUMBER($G270),$G270,0)-$M270,0))</f>
        <v/>
      </c>
      <c r="O270" s="9" t="n"/>
      <c r="P270" s="9" t="n"/>
    </row>
    <row r="271">
      <c r="A271" s="9" t="n"/>
      <c r="B271" s="19" t="n"/>
      <c r="C271" s="9" t="n"/>
      <c r="D271" s="9" t="n"/>
      <c r="E271" s="9" t="n"/>
      <c r="F271" s="9" t="n"/>
      <c r="G271" s="10" t="n"/>
      <c r="H271" s="9" t="n"/>
      <c r="I271" s="9" t="n"/>
      <c r="J271" s="9" t="n"/>
      <c r="K271" s="9" t="n"/>
      <c r="L271">
        <f>IF($A271="","",IF($P271="Yes","Disputed / Review",IF($I271&lt;&gt;"Yes","Not Reimbursable",IF($M271&lt;=0.004,"Pending",IF($N271&lt;=0.004,"Reimbursed","Partially Reimbursed")))))</f>
        <v/>
      </c>
      <c r="M271" s="12">
        <f>IF($A271="",0,SUMIF('Family Contributions'!$I$4:$I$1003,$A271,'Family Contributions'!$G$4:$G$1003))</f>
        <v/>
      </c>
      <c r="N271" s="12">
        <f>IF($A271="",0,IF($I271="Yes",IF(ISNUMBER($G271),$G271,0)-$M271,0))</f>
        <v/>
      </c>
      <c r="O271" s="9" t="n"/>
      <c r="P271" s="9" t="n"/>
    </row>
    <row r="272">
      <c r="A272" s="9" t="n"/>
      <c r="B272" s="19" t="n"/>
      <c r="C272" s="9" t="n"/>
      <c r="D272" s="9" t="n"/>
      <c r="E272" s="9" t="n"/>
      <c r="F272" s="9" t="n"/>
      <c r="G272" s="10" t="n"/>
      <c r="H272" s="9" t="n"/>
      <c r="I272" s="9" t="n"/>
      <c r="J272" s="9" t="n"/>
      <c r="K272" s="9" t="n"/>
      <c r="L272">
        <f>IF($A272="","",IF($P272="Yes","Disputed / Review",IF($I272&lt;&gt;"Yes","Not Reimbursable",IF($M272&lt;=0.004,"Pending",IF($N272&lt;=0.004,"Reimbursed","Partially Reimbursed")))))</f>
        <v/>
      </c>
      <c r="M272" s="12">
        <f>IF($A272="",0,SUMIF('Family Contributions'!$I$4:$I$1003,$A272,'Family Contributions'!$G$4:$G$1003))</f>
        <v/>
      </c>
      <c r="N272" s="12">
        <f>IF($A272="",0,IF($I272="Yes",IF(ISNUMBER($G272),$G272,0)-$M272,0))</f>
        <v/>
      </c>
      <c r="O272" s="9" t="n"/>
      <c r="P272" s="9" t="n"/>
    </row>
    <row r="273">
      <c r="A273" s="9" t="n"/>
      <c r="B273" s="19" t="n"/>
      <c r="C273" s="9" t="n"/>
      <c r="D273" s="9" t="n"/>
      <c r="E273" s="9" t="n"/>
      <c r="F273" s="9" t="n"/>
      <c r="G273" s="10" t="n"/>
      <c r="H273" s="9" t="n"/>
      <c r="I273" s="9" t="n"/>
      <c r="J273" s="9" t="n"/>
      <c r="K273" s="9" t="n"/>
      <c r="L273">
        <f>IF($A273="","",IF($P273="Yes","Disputed / Review",IF($I273&lt;&gt;"Yes","Not Reimbursable",IF($M273&lt;=0.004,"Pending",IF($N273&lt;=0.004,"Reimbursed","Partially Reimbursed")))))</f>
        <v/>
      </c>
      <c r="M273" s="12">
        <f>IF($A273="",0,SUMIF('Family Contributions'!$I$4:$I$1003,$A273,'Family Contributions'!$G$4:$G$1003))</f>
        <v/>
      </c>
      <c r="N273" s="12">
        <f>IF($A273="",0,IF($I273="Yes",IF(ISNUMBER($G273),$G273,0)-$M273,0))</f>
        <v/>
      </c>
      <c r="O273" s="9" t="n"/>
      <c r="P273" s="9" t="n"/>
    </row>
    <row r="274">
      <c r="A274" s="9" t="n"/>
      <c r="B274" s="19" t="n"/>
      <c r="C274" s="9" t="n"/>
      <c r="D274" s="9" t="n"/>
      <c r="E274" s="9" t="n"/>
      <c r="F274" s="9" t="n"/>
      <c r="G274" s="10" t="n"/>
      <c r="H274" s="9" t="n"/>
      <c r="I274" s="9" t="n"/>
      <c r="J274" s="9" t="n"/>
      <c r="K274" s="9" t="n"/>
      <c r="L274">
        <f>IF($A274="","",IF($P274="Yes","Disputed / Review",IF($I274&lt;&gt;"Yes","Not Reimbursable",IF($M274&lt;=0.004,"Pending",IF($N274&lt;=0.004,"Reimbursed","Partially Reimbursed")))))</f>
        <v/>
      </c>
      <c r="M274" s="12">
        <f>IF($A274="",0,SUMIF('Family Contributions'!$I$4:$I$1003,$A274,'Family Contributions'!$G$4:$G$1003))</f>
        <v/>
      </c>
      <c r="N274" s="12">
        <f>IF($A274="",0,IF($I274="Yes",IF(ISNUMBER($G274),$G274,0)-$M274,0))</f>
        <v/>
      </c>
      <c r="O274" s="9" t="n"/>
      <c r="P274" s="9" t="n"/>
    </row>
    <row r="275">
      <c r="A275" s="9" t="n"/>
      <c r="B275" s="19" t="n"/>
      <c r="C275" s="9" t="n"/>
      <c r="D275" s="9" t="n"/>
      <c r="E275" s="9" t="n"/>
      <c r="F275" s="9" t="n"/>
      <c r="G275" s="10" t="n"/>
      <c r="H275" s="9" t="n"/>
      <c r="I275" s="9" t="n"/>
      <c r="J275" s="9" t="n"/>
      <c r="K275" s="9" t="n"/>
      <c r="L275">
        <f>IF($A275="","",IF($P275="Yes","Disputed / Review",IF($I275&lt;&gt;"Yes","Not Reimbursable",IF($M275&lt;=0.004,"Pending",IF($N275&lt;=0.004,"Reimbursed","Partially Reimbursed")))))</f>
        <v/>
      </c>
      <c r="M275" s="12">
        <f>IF($A275="",0,SUMIF('Family Contributions'!$I$4:$I$1003,$A275,'Family Contributions'!$G$4:$G$1003))</f>
        <v/>
      </c>
      <c r="N275" s="12">
        <f>IF($A275="",0,IF($I275="Yes",IF(ISNUMBER($G275),$G275,0)-$M275,0))</f>
        <v/>
      </c>
      <c r="O275" s="9" t="n"/>
      <c r="P275" s="9" t="n"/>
    </row>
    <row r="276">
      <c r="A276" s="9" t="n"/>
      <c r="B276" s="19" t="n"/>
      <c r="C276" s="9" t="n"/>
      <c r="D276" s="9" t="n"/>
      <c r="E276" s="9" t="n"/>
      <c r="F276" s="9" t="n"/>
      <c r="G276" s="10" t="n"/>
      <c r="H276" s="9" t="n"/>
      <c r="I276" s="9" t="n"/>
      <c r="J276" s="9" t="n"/>
      <c r="K276" s="9" t="n"/>
      <c r="L276">
        <f>IF($A276="","",IF($P276="Yes","Disputed / Review",IF($I276&lt;&gt;"Yes","Not Reimbursable",IF($M276&lt;=0.004,"Pending",IF($N276&lt;=0.004,"Reimbursed","Partially Reimbursed")))))</f>
        <v/>
      </c>
      <c r="M276" s="12">
        <f>IF($A276="",0,SUMIF('Family Contributions'!$I$4:$I$1003,$A276,'Family Contributions'!$G$4:$G$1003))</f>
        <v/>
      </c>
      <c r="N276" s="12">
        <f>IF($A276="",0,IF($I276="Yes",IF(ISNUMBER($G276),$G276,0)-$M276,0))</f>
        <v/>
      </c>
      <c r="O276" s="9" t="n"/>
      <c r="P276" s="9" t="n"/>
    </row>
    <row r="277">
      <c r="A277" s="9" t="n"/>
      <c r="B277" s="19" t="n"/>
      <c r="C277" s="9" t="n"/>
      <c r="D277" s="9" t="n"/>
      <c r="E277" s="9" t="n"/>
      <c r="F277" s="9" t="n"/>
      <c r="G277" s="10" t="n"/>
      <c r="H277" s="9" t="n"/>
      <c r="I277" s="9" t="n"/>
      <c r="J277" s="9" t="n"/>
      <c r="K277" s="9" t="n"/>
      <c r="L277">
        <f>IF($A277="","",IF($P277="Yes","Disputed / Review",IF($I277&lt;&gt;"Yes","Not Reimbursable",IF($M277&lt;=0.004,"Pending",IF($N277&lt;=0.004,"Reimbursed","Partially Reimbursed")))))</f>
        <v/>
      </c>
      <c r="M277" s="12">
        <f>IF($A277="",0,SUMIF('Family Contributions'!$I$4:$I$1003,$A277,'Family Contributions'!$G$4:$G$1003))</f>
        <v/>
      </c>
      <c r="N277" s="12">
        <f>IF($A277="",0,IF($I277="Yes",IF(ISNUMBER($G277),$G277,0)-$M277,0))</f>
        <v/>
      </c>
      <c r="O277" s="9" t="n"/>
      <c r="P277" s="9" t="n"/>
    </row>
    <row r="278">
      <c r="A278" s="9" t="n"/>
      <c r="B278" s="19" t="n"/>
      <c r="C278" s="9" t="n"/>
      <c r="D278" s="9" t="n"/>
      <c r="E278" s="9" t="n"/>
      <c r="F278" s="9" t="n"/>
      <c r="G278" s="10" t="n"/>
      <c r="H278" s="9" t="n"/>
      <c r="I278" s="9" t="n"/>
      <c r="J278" s="9" t="n"/>
      <c r="K278" s="9" t="n"/>
      <c r="L278">
        <f>IF($A278="","",IF($P278="Yes","Disputed / Review",IF($I278&lt;&gt;"Yes","Not Reimbursable",IF($M278&lt;=0.004,"Pending",IF($N278&lt;=0.004,"Reimbursed","Partially Reimbursed")))))</f>
        <v/>
      </c>
      <c r="M278" s="12">
        <f>IF($A278="",0,SUMIF('Family Contributions'!$I$4:$I$1003,$A278,'Family Contributions'!$G$4:$G$1003))</f>
        <v/>
      </c>
      <c r="N278" s="12">
        <f>IF($A278="",0,IF($I278="Yes",IF(ISNUMBER($G278),$G278,0)-$M278,0))</f>
        <v/>
      </c>
      <c r="O278" s="9" t="n"/>
      <c r="P278" s="9" t="n"/>
    </row>
    <row r="279">
      <c r="A279" s="9" t="n"/>
      <c r="B279" s="19" t="n"/>
      <c r="C279" s="9" t="n"/>
      <c r="D279" s="9" t="n"/>
      <c r="E279" s="9" t="n"/>
      <c r="F279" s="9" t="n"/>
      <c r="G279" s="10" t="n"/>
      <c r="H279" s="9" t="n"/>
      <c r="I279" s="9" t="n"/>
      <c r="J279" s="9" t="n"/>
      <c r="K279" s="9" t="n"/>
      <c r="L279">
        <f>IF($A279="","",IF($P279="Yes","Disputed / Review",IF($I279&lt;&gt;"Yes","Not Reimbursable",IF($M279&lt;=0.004,"Pending",IF($N279&lt;=0.004,"Reimbursed","Partially Reimbursed")))))</f>
        <v/>
      </c>
      <c r="M279" s="12">
        <f>IF($A279="",0,SUMIF('Family Contributions'!$I$4:$I$1003,$A279,'Family Contributions'!$G$4:$G$1003))</f>
        <v/>
      </c>
      <c r="N279" s="12">
        <f>IF($A279="",0,IF($I279="Yes",IF(ISNUMBER($G279),$G279,0)-$M279,0))</f>
        <v/>
      </c>
      <c r="O279" s="9" t="n"/>
      <c r="P279" s="9" t="n"/>
    </row>
    <row r="280">
      <c r="A280" s="9" t="n"/>
      <c r="B280" s="19" t="n"/>
      <c r="C280" s="9" t="n"/>
      <c r="D280" s="9" t="n"/>
      <c r="E280" s="9" t="n"/>
      <c r="F280" s="9" t="n"/>
      <c r="G280" s="10" t="n"/>
      <c r="H280" s="9" t="n"/>
      <c r="I280" s="9" t="n"/>
      <c r="J280" s="9" t="n"/>
      <c r="K280" s="9" t="n"/>
      <c r="L280">
        <f>IF($A280="","",IF($P280="Yes","Disputed / Review",IF($I280&lt;&gt;"Yes","Not Reimbursable",IF($M280&lt;=0.004,"Pending",IF($N280&lt;=0.004,"Reimbursed","Partially Reimbursed")))))</f>
        <v/>
      </c>
      <c r="M280" s="12">
        <f>IF($A280="",0,SUMIF('Family Contributions'!$I$4:$I$1003,$A280,'Family Contributions'!$G$4:$G$1003))</f>
        <v/>
      </c>
      <c r="N280" s="12">
        <f>IF($A280="",0,IF($I280="Yes",IF(ISNUMBER($G280),$G280,0)-$M280,0))</f>
        <v/>
      </c>
      <c r="O280" s="9" t="n"/>
      <c r="P280" s="9" t="n"/>
    </row>
    <row r="281">
      <c r="A281" s="9" t="n"/>
      <c r="B281" s="19" t="n"/>
      <c r="C281" s="9" t="n"/>
      <c r="D281" s="9" t="n"/>
      <c r="E281" s="9" t="n"/>
      <c r="F281" s="9" t="n"/>
      <c r="G281" s="10" t="n"/>
      <c r="H281" s="9" t="n"/>
      <c r="I281" s="9" t="n"/>
      <c r="J281" s="9" t="n"/>
      <c r="K281" s="9" t="n"/>
      <c r="L281">
        <f>IF($A281="","",IF($P281="Yes","Disputed / Review",IF($I281&lt;&gt;"Yes","Not Reimbursable",IF($M281&lt;=0.004,"Pending",IF($N281&lt;=0.004,"Reimbursed","Partially Reimbursed")))))</f>
        <v/>
      </c>
      <c r="M281" s="12">
        <f>IF($A281="",0,SUMIF('Family Contributions'!$I$4:$I$1003,$A281,'Family Contributions'!$G$4:$G$1003))</f>
        <v/>
      </c>
      <c r="N281" s="12">
        <f>IF($A281="",0,IF($I281="Yes",IF(ISNUMBER($G281),$G281,0)-$M281,0))</f>
        <v/>
      </c>
      <c r="O281" s="9" t="n"/>
      <c r="P281" s="9" t="n"/>
    </row>
    <row r="282">
      <c r="A282" s="9" t="n"/>
      <c r="B282" s="19" t="n"/>
      <c r="C282" s="9" t="n"/>
      <c r="D282" s="9" t="n"/>
      <c r="E282" s="9" t="n"/>
      <c r="F282" s="9" t="n"/>
      <c r="G282" s="10" t="n"/>
      <c r="H282" s="9" t="n"/>
      <c r="I282" s="9" t="n"/>
      <c r="J282" s="9" t="n"/>
      <c r="K282" s="9" t="n"/>
      <c r="L282">
        <f>IF($A282="","",IF($P282="Yes","Disputed / Review",IF($I282&lt;&gt;"Yes","Not Reimbursable",IF($M282&lt;=0.004,"Pending",IF($N282&lt;=0.004,"Reimbursed","Partially Reimbursed")))))</f>
        <v/>
      </c>
      <c r="M282" s="12">
        <f>IF($A282="",0,SUMIF('Family Contributions'!$I$4:$I$1003,$A282,'Family Contributions'!$G$4:$G$1003))</f>
        <v/>
      </c>
      <c r="N282" s="12">
        <f>IF($A282="",0,IF($I282="Yes",IF(ISNUMBER($G282),$G282,0)-$M282,0))</f>
        <v/>
      </c>
      <c r="O282" s="9" t="n"/>
      <c r="P282" s="9" t="n"/>
    </row>
    <row r="283">
      <c r="A283" s="9" t="n"/>
      <c r="B283" s="19" t="n"/>
      <c r="C283" s="9" t="n"/>
      <c r="D283" s="9" t="n"/>
      <c r="E283" s="9" t="n"/>
      <c r="F283" s="9" t="n"/>
      <c r="G283" s="10" t="n"/>
      <c r="H283" s="9" t="n"/>
      <c r="I283" s="9" t="n"/>
      <c r="J283" s="9" t="n"/>
      <c r="K283" s="9" t="n"/>
      <c r="L283">
        <f>IF($A283="","",IF($P283="Yes","Disputed / Review",IF($I283&lt;&gt;"Yes","Not Reimbursable",IF($M283&lt;=0.004,"Pending",IF($N283&lt;=0.004,"Reimbursed","Partially Reimbursed")))))</f>
        <v/>
      </c>
      <c r="M283" s="12">
        <f>IF($A283="",0,SUMIF('Family Contributions'!$I$4:$I$1003,$A283,'Family Contributions'!$G$4:$G$1003))</f>
        <v/>
      </c>
      <c r="N283" s="12">
        <f>IF($A283="",0,IF($I283="Yes",IF(ISNUMBER($G283),$G283,0)-$M283,0))</f>
        <v/>
      </c>
      <c r="O283" s="9" t="n"/>
      <c r="P283" s="9" t="n"/>
    </row>
    <row r="284">
      <c r="A284" s="9" t="n"/>
      <c r="B284" s="19" t="n"/>
      <c r="C284" s="9" t="n"/>
      <c r="D284" s="9" t="n"/>
      <c r="E284" s="9" t="n"/>
      <c r="F284" s="9" t="n"/>
      <c r="G284" s="10" t="n"/>
      <c r="H284" s="9" t="n"/>
      <c r="I284" s="9" t="n"/>
      <c r="J284" s="9" t="n"/>
      <c r="K284" s="9" t="n"/>
      <c r="L284">
        <f>IF($A284="","",IF($P284="Yes","Disputed / Review",IF($I284&lt;&gt;"Yes","Not Reimbursable",IF($M284&lt;=0.004,"Pending",IF($N284&lt;=0.004,"Reimbursed","Partially Reimbursed")))))</f>
        <v/>
      </c>
      <c r="M284" s="12">
        <f>IF($A284="",0,SUMIF('Family Contributions'!$I$4:$I$1003,$A284,'Family Contributions'!$G$4:$G$1003))</f>
        <v/>
      </c>
      <c r="N284" s="12">
        <f>IF($A284="",0,IF($I284="Yes",IF(ISNUMBER($G284),$G284,0)-$M284,0))</f>
        <v/>
      </c>
      <c r="O284" s="9" t="n"/>
      <c r="P284" s="9" t="n"/>
    </row>
    <row r="285">
      <c r="A285" s="9" t="n"/>
      <c r="B285" s="19" t="n"/>
      <c r="C285" s="9" t="n"/>
      <c r="D285" s="9" t="n"/>
      <c r="E285" s="9" t="n"/>
      <c r="F285" s="9" t="n"/>
      <c r="G285" s="10" t="n"/>
      <c r="H285" s="9" t="n"/>
      <c r="I285" s="9" t="n"/>
      <c r="J285" s="9" t="n"/>
      <c r="K285" s="9" t="n"/>
      <c r="L285">
        <f>IF($A285="","",IF($P285="Yes","Disputed / Review",IF($I285&lt;&gt;"Yes","Not Reimbursable",IF($M285&lt;=0.004,"Pending",IF($N285&lt;=0.004,"Reimbursed","Partially Reimbursed")))))</f>
        <v/>
      </c>
      <c r="M285" s="12">
        <f>IF($A285="",0,SUMIF('Family Contributions'!$I$4:$I$1003,$A285,'Family Contributions'!$G$4:$G$1003))</f>
        <v/>
      </c>
      <c r="N285" s="12">
        <f>IF($A285="",0,IF($I285="Yes",IF(ISNUMBER($G285),$G285,0)-$M285,0))</f>
        <v/>
      </c>
      <c r="O285" s="9" t="n"/>
      <c r="P285" s="9" t="n"/>
    </row>
    <row r="286">
      <c r="A286" s="9" t="n"/>
      <c r="B286" s="19" t="n"/>
      <c r="C286" s="9" t="n"/>
      <c r="D286" s="9" t="n"/>
      <c r="E286" s="9" t="n"/>
      <c r="F286" s="9" t="n"/>
      <c r="G286" s="10" t="n"/>
      <c r="H286" s="9" t="n"/>
      <c r="I286" s="9" t="n"/>
      <c r="J286" s="9" t="n"/>
      <c r="K286" s="9" t="n"/>
      <c r="L286">
        <f>IF($A286="","",IF($P286="Yes","Disputed / Review",IF($I286&lt;&gt;"Yes","Not Reimbursable",IF($M286&lt;=0.004,"Pending",IF($N286&lt;=0.004,"Reimbursed","Partially Reimbursed")))))</f>
        <v/>
      </c>
      <c r="M286" s="12">
        <f>IF($A286="",0,SUMIF('Family Contributions'!$I$4:$I$1003,$A286,'Family Contributions'!$G$4:$G$1003))</f>
        <v/>
      </c>
      <c r="N286" s="12">
        <f>IF($A286="",0,IF($I286="Yes",IF(ISNUMBER($G286),$G286,0)-$M286,0))</f>
        <v/>
      </c>
      <c r="O286" s="9" t="n"/>
      <c r="P286" s="9" t="n"/>
    </row>
    <row r="287">
      <c r="A287" s="9" t="n"/>
      <c r="B287" s="19" t="n"/>
      <c r="C287" s="9" t="n"/>
      <c r="D287" s="9" t="n"/>
      <c r="E287" s="9" t="n"/>
      <c r="F287" s="9" t="n"/>
      <c r="G287" s="10" t="n"/>
      <c r="H287" s="9" t="n"/>
      <c r="I287" s="9" t="n"/>
      <c r="J287" s="9" t="n"/>
      <c r="K287" s="9" t="n"/>
      <c r="L287">
        <f>IF($A287="","",IF($P287="Yes","Disputed / Review",IF($I287&lt;&gt;"Yes","Not Reimbursable",IF($M287&lt;=0.004,"Pending",IF($N287&lt;=0.004,"Reimbursed","Partially Reimbursed")))))</f>
        <v/>
      </c>
      <c r="M287" s="12">
        <f>IF($A287="",0,SUMIF('Family Contributions'!$I$4:$I$1003,$A287,'Family Contributions'!$G$4:$G$1003))</f>
        <v/>
      </c>
      <c r="N287" s="12">
        <f>IF($A287="",0,IF($I287="Yes",IF(ISNUMBER($G287),$G287,0)-$M287,0))</f>
        <v/>
      </c>
      <c r="O287" s="9" t="n"/>
      <c r="P287" s="9" t="n"/>
    </row>
    <row r="288">
      <c r="A288" s="9" t="n"/>
      <c r="B288" s="19" t="n"/>
      <c r="C288" s="9" t="n"/>
      <c r="D288" s="9" t="n"/>
      <c r="E288" s="9" t="n"/>
      <c r="F288" s="9" t="n"/>
      <c r="G288" s="10" t="n"/>
      <c r="H288" s="9" t="n"/>
      <c r="I288" s="9" t="n"/>
      <c r="J288" s="9" t="n"/>
      <c r="K288" s="9" t="n"/>
      <c r="L288">
        <f>IF($A288="","",IF($P288="Yes","Disputed / Review",IF($I288&lt;&gt;"Yes","Not Reimbursable",IF($M288&lt;=0.004,"Pending",IF($N288&lt;=0.004,"Reimbursed","Partially Reimbursed")))))</f>
        <v/>
      </c>
      <c r="M288" s="12">
        <f>IF($A288="",0,SUMIF('Family Contributions'!$I$4:$I$1003,$A288,'Family Contributions'!$G$4:$G$1003))</f>
        <v/>
      </c>
      <c r="N288" s="12">
        <f>IF($A288="",0,IF($I288="Yes",IF(ISNUMBER($G288),$G288,0)-$M288,0))</f>
        <v/>
      </c>
      <c r="O288" s="9" t="n"/>
      <c r="P288" s="9" t="n"/>
    </row>
    <row r="289">
      <c r="A289" s="9" t="n"/>
      <c r="B289" s="19" t="n"/>
      <c r="C289" s="9" t="n"/>
      <c r="D289" s="9" t="n"/>
      <c r="E289" s="9" t="n"/>
      <c r="F289" s="9" t="n"/>
      <c r="G289" s="10" t="n"/>
      <c r="H289" s="9" t="n"/>
      <c r="I289" s="9" t="n"/>
      <c r="J289" s="9" t="n"/>
      <c r="K289" s="9" t="n"/>
      <c r="L289">
        <f>IF($A289="","",IF($P289="Yes","Disputed / Review",IF($I289&lt;&gt;"Yes","Not Reimbursable",IF($M289&lt;=0.004,"Pending",IF($N289&lt;=0.004,"Reimbursed","Partially Reimbursed")))))</f>
        <v/>
      </c>
      <c r="M289" s="12">
        <f>IF($A289="",0,SUMIF('Family Contributions'!$I$4:$I$1003,$A289,'Family Contributions'!$G$4:$G$1003))</f>
        <v/>
      </c>
      <c r="N289" s="12">
        <f>IF($A289="",0,IF($I289="Yes",IF(ISNUMBER($G289),$G289,0)-$M289,0))</f>
        <v/>
      </c>
      <c r="O289" s="9" t="n"/>
      <c r="P289" s="9" t="n"/>
    </row>
    <row r="290">
      <c r="A290" s="9" t="n"/>
      <c r="B290" s="19" t="n"/>
      <c r="C290" s="9" t="n"/>
      <c r="D290" s="9" t="n"/>
      <c r="E290" s="9" t="n"/>
      <c r="F290" s="9" t="n"/>
      <c r="G290" s="10" t="n"/>
      <c r="H290" s="9" t="n"/>
      <c r="I290" s="9" t="n"/>
      <c r="J290" s="9" t="n"/>
      <c r="K290" s="9" t="n"/>
      <c r="L290">
        <f>IF($A290="","",IF($P290="Yes","Disputed / Review",IF($I290&lt;&gt;"Yes","Not Reimbursable",IF($M290&lt;=0.004,"Pending",IF($N290&lt;=0.004,"Reimbursed","Partially Reimbursed")))))</f>
        <v/>
      </c>
      <c r="M290" s="12">
        <f>IF($A290="",0,SUMIF('Family Contributions'!$I$4:$I$1003,$A290,'Family Contributions'!$G$4:$G$1003))</f>
        <v/>
      </c>
      <c r="N290" s="12">
        <f>IF($A290="",0,IF($I290="Yes",IF(ISNUMBER($G290),$G290,0)-$M290,0))</f>
        <v/>
      </c>
      <c r="O290" s="9" t="n"/>
      <c r="P290" s="9" t="n"/>
    </row>
    <row r="291">
      <c r="A291" s="9" t="n"/>
      <c r="B291" s="19" t="n"/>
      <c r="C291" s="9" t="n"/>
      <c r="D291" s="9" t="n"/>
      <c r="E291" s="9" t="n"/>
      <c r="F291" s="9" t="n"/>
      <c r="G291" s="10" t="n"/>
      <c r="H291" s="9" t="n"/>
      <c r="I291" s="9" t="n"/>
      <c r="J291" s="9" t="n"/>
      <c r="K291" s="9" t="n"/>
      <c r="L291">
        <f>IF($A291="","",IF($P291="Yes","Disputed / Review",IF($I291&lt;&gt;"Yes","Not Reimbursable",IF($M291&lt;=0.004,"Pending",IF($N291&lt;=0.004,"Reimbursed","Partially Reimbursed")))))</f>
        <v/>
      </c>
      <c r="M291" s="12">
        <f>IF($A291="",0,SUMIF('Family Contributions'!$I$4:$I$1003,$A291,'Family Contributions'!$G$4:$G$1003))</f>
        <v/>
      </c>
      <c r="N291" s="12">
        <f>IF($A291="",0,IF($I291="Yes",IF(ISNUMBER($G291),$G291,0)-$M291,0))</f>
        <v/>
      </c>
      <c r="O291" s="9" t="n"/>
      <c r="P291" s="9" t="n"/>
    </row>
    <row r="292">
      <c r="A292" s="9" t="n"/>
      <c r="B292" s="19" t="n"/>
      <c r="C292" s="9" t="n"/>
      <c r="D292" s="9" t="n"/>
      <c r="E292" s="9" t="n"/>
      <c r="F292" s="9" t="n"/>
      <c r="G292" s="10" t="n"/>
      <c r="H292" s="9" t="n"/>
      <c r="I292" s="9" t="n"/>
      <c r="J292" s="9" t="n"/>
      <c r="K292" s="9" t="n"/>
      <c r="L292">
        <f>IF($A292="","",IF($P292="Yes","Disputed / Review",IF($I292&lt;&gt;"Yes","Not Reimbursable",IF($M292&lt;=0.004,"Pending",IF($N292&lt;=0.004,"Reimbursed","Partially Reimbursed")))))</f>
        <v/>
      </c>
      <c r="M292" s="12">
        <f>IF($A292="",0,SUMIF('Family Contributions'!$I$4:$I$1003,$A292,'Family Contributions'!$G$4:$G$1003))</f>
        <v/>
      </c>
      <c r="N292" s="12">
        <f>IF($A292="",0,IF($I292="Yes",IF(ISNUMBER($G292),$G292,0)-$M292,0))</f>
        <v/>
      </c>
      <c r="O292" s="9" t="n"/>
      <c r="P292" s="9" t="n"/>
    </row>
    <row r="293">
      <c r="A293" s="9" t="n"/>
      <c r="B293" s="19" t="n"/>
      <c r="C293" s="9" t="n"/>
      <c r="D293" s="9" t="n"/>
      <c r="E293" s="9" t="n"/>
      <c r="F293" s="9" t="n"/>
      <c r="G293" s="10" t="n"/>
      <c r="H293" s="9" t="n"/>
      <c r="I293" s="9" t="n"/>
      <c r="J293" s="9" t="n"/>
      <c r="K293" s="9" t="n"/>
      <c r="L293">
        <f>IF($A293="","",IF($P293="Yes","Disputed / Review",IF($I293&lt;&gt;"Yes","Not Reimbursable",IF($M293&lt;=0.004,"Pending",IF($N293&lt;=0.004,"Reimbursed","Partially Reimbursed")))))</f>
        <v/>
      </c>
      <c r="M293" s="12">
        <f>IF($A293="",0,SUMIF('Family Contributions'!$I$4:$I$1003,$A293,'Family Contributions'!$G$4:$G$1003))</f>
        <v/>
      </c>
      <c r="N293" s="12">
        <f>IF($A293="",0,IF($I293="Yes",IF(ISNUMBER($G293),$G293,0)-$M293,0))</f>
        <v/>
      </c>
      <c r="O293" s="9" t="n"/>
      <c r="P293" s="9" t="n"/>
    </row>
    <row r="294">
      <c r="A294" s="9" t="n"/>
      <c r="B294" s="19" t="n"/>
      <c r="C294" s="9" t="n"/>
      <c r="D294" s="9" t="n"/>
      <c r="E294" s="9" t="n"/>
      <c r="F294" s="9" t="n"/>
      <c r="G294" s="10" t="n"/>
      <c r="H294" s="9" t="n"/>
      <c r="I294" s="9" t="n"/>
      <c r="J294" s="9" t="n"/>
      <c r="K294" s="9" t="n"/>
      <c r="L294">
        <f>IF($A294="","",IF($P294="Yes","Disputed / Review",IF($I294&lt;&gt;"Yes","Not Reimbursable",IF($M294&lt;=0.004,"Pending",IF($N294&lt;=0.004,"Reimbursed","Partially Reimbursed")))))</f>
        <v/>
      </c>
      <c r="M294" s="12">
        <f>IF($A294="",0,SUMIF('Family Contributions'!$I$4:$I$1003,$A294,'Family Contributions'!$G$4:$G$1003))</f>
        <v/>
      </c>
      <c r="N294" s="12">
        <f>IF($A294="",0,IF($I294="Yes",IF(ISNUMBER($G294),$G294,0)-$M294,0))</f>
        <v/>
      </c>
      <c r="O294" s="9" t="n"/>
      <c r="P294" s="9" t="n"/>
    </row>
    <row r="295">
      <c r="A295" s="9" t="n"/>
      <c r="B295" s="19" t="n"/>
      <c r="C295" s="9" t="n"/>
      <c r="D295" s="9" t="n"/>
      <c r="E295" s="9" t="n"/>
      <c r="F295" s="9" t="n"/>
      <c r="G295" s="10" t="n"/>
      <c r="H295" s="9" t="n"/>
      <c r="I295" s="9" t="n"/>
      <c r="J295" s="9" t="n"/>
      <c r="K295" s="9" t="n"/>
      <c r="L295">
        <f>IF($A295="","",IF($P295="Yes","Disputed / Review",IF($I295&lt;&gt;"Yes","Not Reimbursable",IF($M295&lt;=0.004,"Pending",IF($N295&lt;=0.004,"Reimbursed","Partially Reimbursed")))))</f>
        <v/>
      </c>
      <c r="M295" s="12">
        <f>IF($A295="",0,SUMIF('Family Contributions'!$I$4:$I$1003,$A295,'Family Contributions'!$G$4:$G$1003))</f>
        <v/>
      </c>
      <c r="N295" s="12">
        <f>IF($A295="",0,IF($I295="Yes",IF(ISNUMBER($G295),$G295,0)-$M295,0))</f>
        <v/>
      </c>
      <c r="O295" s="9" t="n"/>
      <c r="P295" s="9" t="n"/>
    </row>
    <row r="296">
      <c r="A296" s="9" t="n"/>
      <c r="B296" s="19" t="n"/>
      <c r="C296" s="9" t="n"/>
      <c r="D296" s="9" t="n"/>
      <c r="E296" s="9" t="n"/>
      <c r="F296" s="9" t="n"/>
      <c r="G296" s="10" t="n"/>
      <c r="H296" s="9" t="n"/>
      <c r="I296" s="9" t="n"/>
      <c r="J296" s="9" t="n"/>
      <c r="K296" s="9" t="n"/>
      <c r="L296">
        <f>IF($A296="","",IF($P296="Yes","Disputed / Review",IF($I296&lt;&gt;"Yes","Not Reimbursable",IF($M296&lt;=0.004,"Pending",IF($N296&lt;=0.004,"Reimbursed","Partially Reimbursed")))))</f>
        <v/>
      </c>
      <c r="M296" s="12">
        <f>IF($A296="",0,SUMIF('Family Contributions'!$I$4:$I$1003,$A296,'Family Contributions'!$G$4:$G$1003))</f>
        <v/>
      </c>
      <c r="N296" s="12">
        <f>IF($A296="",0,IF($I296="Yes",IF(ISNUMBER($G296),$G296,0)-$M296,0))</f>
        <v/>
      </c>
      <c r="O296" s="9" t="n"/>
      <c r="P296" s="9" t="n"/>
    </row>
    <row r="297">
      <c r="A297" s="9" t="n"/>
      <c r="B297" s="19" t="n"/>
      <c r="C297" s="9" t="n"/>
      <c r="D297" s="9" t="n"/>
      <c r="E297" s="9" t="n"/>
      <c r="F297" s="9" t="n"/>
      <c r="G297" s="10" t="n"/>
      <c r="H297" s="9" t="n"/>
      <c r="I297" s="9" t="n"/>
      <c r="J297" s="9" t="n"/>
      <c r="K297" s="9" t="n"/>
      <c r="L297">
        <f>IF($A297="","",IF($P297="Yes","Disputed / Review",IF($I297&lt;&gt;"Yes","Not Reimbursable",IF($M297&lt;=0.004,"Pending",IF($N297&lt;=0.004,"Reimbursed","Partially Reimbursed")))))</f>
        <v/>
      </c>
      <c r="M297" s="12">
        <f>IF($A297="",0,SUMIF('Family Contributions'!$I$4:$I$1003,$A297,'Family Contributions'!$G$4:$G$1003))</f>
        <v/>
      </c>
      <c r="N297" s="12">
        <f>IF($A297="",0,IF($I297="Yes",IF(ISNUMBER($G297),$G297,0)-$M297,0))</f>
        <v/>
      </c>
      <c r="O297" s="9" t="n"/>
      <c r="P297" s="9" t="n"/>
    </row>
    <row r="298">
      <c r="A298" s="9" t="n"/>
      <c r="B298" s="19" t="n"/>
      <c r="C298" s="9" t="n"/>
      <c r="D298" s="9" t="n"/>
      <c r="E298" s="9" t="n"/>
      <c r="F298" s="9" t="n"/>
      <c r="G298" s="10" t="n"/>
      <c r="H298" s="9" t="n"/>
      <c r="I298" s="9" t="n"/>
      <c r="J298" s="9" t="n"/>
      <c r="K298" s="9" t="n"/>
      <c r="L298">
        <f>IF($A298="","",IF($P298="Yes","Disputed / Review",IF($I298&lt;&gt;"Yes","Not Reimbursable",IF($M298&lt;=0.004,"Pending",IF($N298&lt;=0.004,"Reimbursed","Partially Reimbursed")))))</f>
        <v/>
      </c>
      <c r="M298" s="12">
        <f>IF($A298="",0,SUMIF('Family Contributions'!$I$4:$I$1003,$A298,'Family Contributions'!$G$4:$G$1003))</f>
        <v/>
      </c>
      <c r="N298" s="12">
        <f>IF($A298="",0,IF($I298="Yes",IF(ISNUMBER($G298),$G298,0)-$M298,0))</f>
        <v/>
      </c>
      <c r="O298" s="9" t="n"/>
      <c r="P298" s="9" t="n"/>
    </row>
    <row r="299">
      <c r="A299" s="9" t="n"/>
      <c r="B299" s="19" t="n"/>
      <c r="C299" s="9" t="n"/>
      <c r="D299" s="9" t="n"/>
      <c r="E299" s="9" t="n"/>
      <c r="F299" s="9" t="n"/>
      <c r="G299" s="10" t="n"/>
      <c r="H299" s="9" t="n"/>
      <c r="I299" s="9" t="n"/>
      <c r="J299" s="9" t="n"/>
      <c r="K299" s="9" t="n"/>
      <c r="L299">
        <f>IF($A299="","",IF($P299="Yes","Disputed / Review",IF($I299&lt;&gt;"Yes","Not Reimbursable",IF($M299&lt;=0.004,"Pending",IF($N299&lt;=0.004,"Reimbursed","Partially Reimbursed")))))</f>
        <v/>
      </c>
      <c r="M299" s="12">
        <f>IF($A299="",0,SUMIF('Family Contributions'!$I$4:$I$1003,$A299,'Family Contributions'!$G$4:$G$1003))</f>
        <v/>
      </c>
      <c r="N299" s="12">
        <f>IF($A299="",0,IF($I299="Yes",IF(ISNUMBER($G299),$G299,0)-$M299,0))</f>
        <v/>
      </c>
      <c r="O299" s="9" t="n"/>
      <c r="P299" s="9" t="n"/>
    </row>
    <row r="300">
      <c r="A300" s="9" t="n"/>
      <c r="B300" s="19" t="n"/>
      <c r="C300" s="9" t="n"/>
      <c r="D300" s="9" t="n"/>
      <c r="E300" s="9" t="n"/>
      <c r="F300" s="9" t="n"/>
      <c r="G300" s="10" t="n"/>
      <c r="H300" s="9" t="n"/>
      <c r="I300" s="9" t="n"/>
      <c r="J300" s="9" t="n"/>
      <c r="K300" s="9" t="n"/>
      <c r="L300">
        <f>IF($A300="","",IF($P300="Yes","Disputed / Review",IF($I300&lt;&gt;"Yes","Not Reimbursable",IF($M300&lt;=0.004,"Pending",IF($N300&lt;=0.004,"Reimbursed","Partially Reimbursed")))))</f>
        <v/>
      </c>
      <c r="M300" s="12">
        <f>IF($A300="",0,SUMIF('Family Contributions'!$I$4:$I$1003,$A300,'Family Contributions'!$G$4:$G$1003))</f>
        <v/>
      </c>
      <c r="N300" s="12">
        <f>IF($A300="",0,IF($I300="Yes",IF(ISNUMBER($G300),$G300,0)-$M300,0))</f>
        <v/>
      </c>
      <c r="O300" s="9" t="n"/>
      <c r="P300" s="9" t="n"/>
    </row>
    <row r="301">
      <c r="A301" s="9" t="n"/>
      <c r="B301" s="19" t="n"/>
      <c r="C301" s="9" t="n"/>
      <c r="D301" s="9" t="n"/>
      <c r="E301" s="9" t="n"/>
      <c r="F301" s="9" t="n"/>
      <c r="G301" s="10" t="n"/>
      <c r="H301" s="9" t="n"/>
      <c r="I301" s="9" t="n"/>
      <c r="J301" s="9" t="n"/>
      <c r="K301" s="9" t="n"/>
      <c r="L301">
        <f>IF($A301="","",IF($P301="Yes","Disputed / Review",IF($I301&lt;&gt;"Yes","Not Reimbursable",IF($M301&lt;=0.004,"Pending",IF($N301&lt;=0.004,"Reimbursed","Partially Reimbursed")))))</f>
        <v/>
      </c>
      <c r="M301" s="12">
        <f>IF($A301="",0,SUMIF('Family Contributions'!$I$4:$I$1003,$A301,'Family Contributions'!$G$4:$G$1003))</f>
        <v/>
      </c>
      <c r="N301" s="12">
        <f>IF($A301="",0,IF($I301="Yes",IF(ISNUMBER($G301),$G301,0)-$M301,0))</f>
        <v/>
      </c>
      <c r="O301" s="9" t="n"/>
      <c r="P301" s="9" t="n"/>
    </row>
    <row r="302">
      <c r="A302" s="9" t="n"/>
      <c r="B302" s="19" t="n"/>
      <c r="C302" s="9" t="n"/>
      <c r="D302" s="9" t="n"/>
      <c r="E302" s="9" t="n"/>
      <c r="F302" s="9" t="n"/>
      <c r="G302" s="10" t="n"/>
      <c r="H302" s="9" t="n"/>
      <c r="I302" s="9" t="n"/>
      <c r="J302" s="9" t="n"/>
      <c r="K302" s="9" t="n"/>
      <c r="L302">
        <f>IF($A302="","",IF($P302="Yes","Disputed / Review",IF($I302&lt;&gt;"Yes","Not Reimbursable",IF($M302&lt;=0.004,"Pending",IF($N302&lt;=0.004,"Reimbursed","Partially Reimbursed")))))</f>
        <v/>
      </c>
      <c r="M302" s="12">
        <f>IF($A302="",0,SUMIF('Family Contributions'!$I$4:$I$1003,$A302,'Family Contributions'!$G$4:$G$1003))</f>
        <v/>
      </c>
      <c r="N302" s="12">
        <f>IF($A302="",0,IF($I302="Yes",IF(ISNUMBER($G302),$G302,0)-$M302,0))</f>
        <v/>
      </c>
      <c r="O302" s="9" t="n"/>
      <c r="P302" s="9" t="n"/>
    </row>
    <row r="303">
      <c r="A303" s="9" t="n"/>
      <c r="B303" s="19" t="n"/>
      <c r="C303" s="9" t="n"/>
      <c r="D303" s="9" t="n"/>
      <c r="E303" s="9" t="n"/>
      <c r="F303" s="9" t="n"/>
      <c r="G303" s="10" t="n"/>
      <c r="H303" s="9" t="n"/>
      <c r="I303" s="9" t="n"/>
      <c r="J303" s="9" t="n"/>
      <c r="K303" s="9" t="n"/>
      <c r="L303">
        <f>IF($A303="","",IF($P303="Yes","Disputed / Review",IF($I303&lt;&gt;"Yes","Not Reimbursable",IF($M303&lt;=0.004,"Pending",IF($N303&lt;=0.004,"Reimbursed","Partially Reimbursed")))))</f>
        <v/>
      </c>
      <c r="M303" s="12">
        <f>IF($A303="",0,SUMIF('Family Contributions'!$I$4:$I$1003,$A303,'Family Contributions'!$G$4:$G$1003))</f>
        <v/>
      </c>
      <c r="N303" s="12">
        <f>IF($A303="",0,IF($I303="Yes",IF(ISNUMBER($G303),$G303,0)-$M303,0))</f>
        <v/>
      </c>
      <c r="O303" s="9" t="n"/>
      <c r="P303" s="9" t="n"/>
    </row>
    <row r="304">
      <c r="A304" s="9" t="n"/>
      <c r="B304" s="19" t="n"/>
      <c r="C304" s="9" t="n"/>
      <c r="D304" s="9" t="n"/>
      <c r="E304" s="9" t="n"/>
      <c r="F304" s="9" t="n"/>
      <c r="G304" s="10" t="n"/>
      <c r="H304" s="9" t="n"/>
      <c r="I304" s="9" t="n"/>
      <c r="J304" s="9" t="n"/>
      <c r="K304" s="9" t="n"/>
      <c r="L304">
        <f>IF($A304="","",IF($P304="Yes","Disputed / Review",IF($I304&lt;&gt;"Yes","Not Reimbursable",IF($M304&lt;=0.004,"Pending",IF($N304&lt;=0.004,"Reimbursed","Partially Reimbursed")))))</f>
        <v/>
      </c>
      <c r="M304" s="12">
        <f>IF($A304="",0,SUMIF('Family Contributions'!$I$4:$I$1003,$A304,'Family Contributions'!$G$4:$G$1003))</f>
        <v/>
      </c>
      <c r="N304" s="12">
        <f>IF($A304="",0,IF($I304="Yes",IF(ISNUMBER($G304),$G304,0)-$M304,0))</f>
        <v/>
      </c>
      <c r="O304" s="9" t="n"/>
      <c r="P304" s="9" t="n"/>
    </row>
    <row r="305">
      <c r="A305" s="9" t="n"/>
      <c r="B305" s="19" t="n"/>
      <c r="C305" s="9" t="n"/>
      <c r="D305" s="9" t="n"/>
      <c r="E305" s="9" t="n"/>
      <c r="F305" s="9" t="n"/>
      <c r="G305" s="10" t="n"/>
      <c r="H305" s="9" t="n"/>
      <c r="I305" s="9" t="n"/>
      <c r="J305" s="9" t="n"/>
      <c r="K305" s="9" t="n"/>
      <c r="L305">
        <f>IF($A305="","",IF($P305="Yes","Disputed / Review",IF($I305&lt;&gt;"Yes","Not Reimbursable",IF($M305&lt;=0.004,"Pending",IF($N305&lt;=0.004,"Reimbursed","Partially Reimbursed")))))</f>
        <v/>
      </c>
      <c r="M305" s="12">
        <f>IF($A305="",0,SUMIF('Family Contributions'!$I$4:$I$1003,$A305,'Family Contributions'!$G$4:$G$1003))</f>
        <v/>
      </c>
      <c r="N305" s="12">
        <f>IF($A305="",0,IF($I305="Yes",IF(ISNUMBER($G305),$G305,0)-$M305,0))</f>
        <v/>
      </c>
      <c r="O305" s="9" t="n"/>
      <c r="P305" s="9" t="n"/>
    </row>
    <row r="306">
      <c r="A306" s="9" t="n"/>
      <c r="B306" s="19" t="n"/>
      <c r="C306" s="9" t="n"/>
      <c r="D306" s="9" t="n"/>
      <c r="E306" s="9" t="n"/>
      <c r="F306" s="9" t="n"/>
      <c r="G306" s="10" t="n"/>
      <c r="H306" s="9" t="n"/>
      <c r="I306" s="9" t="n"/>
      <c r="J306" s="9" t="n"/>
      <c r="K306" s="9" t="n"/>
      <c r="L306">
        <f>IF($A306="","",IF($P306="Yes","Disputed / Review",IF($I306&lt;&gt;"Yes","Not Reimbursable",IF($M306&lt;=0.004,"Pending",IF($N306&lt;=0.004,"Reimbursed","Partially Reimbursed")))))</f>
        <v/>
      </c>
      <c r="M306" s="12">
        <f>IF($A306="",0,SUMIF('Family Contributions'!$I$4:$I$1003,$A306,'Family Contributions'!$G$4:$G$1003))</f>
        <v/>
      </c>
      <c r="N306" s="12">
        <f>IF($A306="",0,IF($I306="Yes",IF(ISNUMBER($G306),$G306,0)-$M306,0))</f>
        <v/>
      </c>
      <c r="O306" s="9" t="n"/>
      <c r="P306" s="9" t="n"/>
    </row>
    <row r="307">
      <c r="A307" s="9" t="n"/>
      <c r="B307" s="19" t="n"/>
      <c r="C307" s="9" t="n"/>
      <c r="D307" s="9" t="n"/>
      <c r="E307" s="9" t="n"/>
      <c r="F307" s="9" t="n"/>
      <c r="G307" s="10" t="n"/>
      <c r="H307" s="9" t="n"/>
      <c r="I307" s="9" t="n"/>
      <c r="J307" s="9" t="n"/>
      <c r="K307" s="9" t="n"/>
      <c r="L307">
        <f>IF($A307="","",IF($P307="Yes","Disputed / Review",IF($I307&lt;&gt;"Yes","Not Reimbursable",IF($M307&lt;=0.004,"Pending",IF($N307&lt;=0.004,"Reimbursed","Partially Reimbursed")))))</f>
        <v/>
      </c>
      <c r="M307" s="12">
        <f>IF($A307="",0,SUMIF('Family Contributions'!$I$4:$I$1003,$A307,'Family Contributions'!$G$4:$G$1003))</f>
        <v/>
      </c>
      <c r="N307" s="12">
        <f>IF($A307="",0,IF($I307="Yes",IF(ISNUMBER($G307),$G307,0)-$M307,0))</f>
        <v/>
      </c>
      <c r="O307" s="9" t="n"/>
      <c r="P307" s="9" t="n"/>
    </row>
    <row r="308">
      <c r="A308" s="9" t="n"/>
      <c r="B308" s="19" t="n"/>
      <c r="C308" s="9" t="n"/>
      <c r="D308" s="9" t="n"/>
      <c r="E308" s="9" t="n"/>
      <c r="F308" s="9" t="n"/>
      <c r="G308" s="10" t="n"/>
      <c r="H308" s="9" t="n"/>
      <c r="I308" s="9" t="n"/>
      <c r="J308" s="9" t="n"/>
      <c r="K308" s="9" t="n"/>
      <c r="L308">
        <f>IF($A308="","",IF($P308="Yes","Disputed / Review",IF($I308&lt;&gt;"Yes","Not Reimbursable",IF($M308&lt;=0.004,"Pending",IF($N308&lt;=0.004,"Reimbursed","Partially Reimbursed")))))</f>
        <v/>
      </c>
      <c r="M308" s="12">
        <f>IF($A308="",0,SUMIF('Family Contributions'!$I$4:$I$1003,$A308,'Family Contributions'!$G$4:$G$1003))</f>
        <v/>
      </c>
      <c r="N308" s="12">
        <f>IF($A308="",0,IF($I308="Yes",IF(ISNUMBER($G308),$G308,0)-$M308,0))</f>
        <v/>
      </c>
      <c r="O308" s="9" t="n"/>
      <c r="P308" s="9" t="n"/>
    </row>
    <row r="309">
      <c r="A309" s="9" t="n"/>
      <c r="B309" s="19" t="n"/>
      <c r="C309" s="9" t="n"/>
      <c r="D309" s="9" t="n"/>
      <c r="E309" s="9" t="n"/>
      <c r="F309" s="9" t="n"/>
      <c r="G309" s="10" t="n"/>
      <c r="H309" s="9" t="n"/>
      <c r="I309" s="9" t="n"/>
      <c r="J309" s="9" t="n"/>
      <c r="K309" s="9" t="n"/>
      <c r="L309">
        <f>IF($A309="","",IF($P309="Yes","Disputed / Review",IF($I309&lt;&gt;"Yes","Not Reimbursable",IF($M309&lt;=0.004,"Pending",IF($N309&lt;=0.004,"Reimbursed","Partially Reimbursed")))))</f>
        <v/>
      </c>
      <c r="M309" s="12">
        <f>IF($A309="",0,SUMIF('Family Contributions'!$I$4:$I$1003,$A309,'Family Contributions'!$G$4:$G$1003))</f>
        <v/>
      </c>
      <c r="N309" s="12">
        <f>IF($A309="",0,IF($I309="Yes",IF(ISNUMBER($G309),$G309,0)-$M309,0))</f>
        <v/>
      </c>
      <c r="O309" s="9" t="n"/>
      <c r="P309" s="9" t="n"/>
    </row>
    <row r="310">
      <c r="A310" s="9" t="n"/>
      <c r="B310" s="19" t="n"/>
      <c r="C310" s="9" t="n"/>
      <c r="D310" s="9" t="n"/>
      <c r="E310" s="9" t="n"/>
      <c r="F310" s="9" t="n"/>
      <c r="G310" s="10" t="n"/>
      <c r="H310" s="9" t="n"/>
      <c r="I310" s="9" t="n"/>
      <c r="J310" s="9" t="n"/>
      <c r="K310" s="9" t="n"/>
      <c r="L310">
        <f>IF($A310="","",IF($P310="Yes","Disputed / Review",IF($I310&lt;&gt;"Yes","Not Reimbursable",IF($M310&lt;=0.004,"Pending",IF($N310&lt;=0.004,"Reimbursed","Partially Reimbursed")))))</f>
        <v/>
      </c>
      <c r="M310" s="12">
        <f>IF($A310="",0,SUMIF('Family Contributions'!$I$4:$I$1003,$A310,'Family Contributions'!$G$4:$G$1003))</f>
        <v/>
      </c>
      <c r="N310" s="12">
        <f>IF($A310="",0,IF($I310="Yes",IF(ISNUMBER($G310),$G310,0)-$M310,0))</f>
        <v/>
      </c>
      <c r="O310" s="9" t="n"/>
      <c r="P310" s="9" t="n"/>
    </row>
    <row r="311">
      <c r="A311" s="9" t="n"/>
      <c r="B311" s="19" t="n"/>
      <c r="C311" s="9" t="n"/>
      <c r="D311" s="9" t="n"/>
      <c r="E311" s="9" t="n"/>
      <c r="F311" s="9" t="n"/>
      <c r="G311" s="10" t="n"/>
      <c r="H311" s="9" t="n"/>
      <c r="I311" s="9" t="n"/>
      <c r="J311" s="9" t="n"/>
      <c r="K311" s="9" t="n"/>
      <c r="L311">
        <f>IF($A311="","",IF($P311="Yes","Disputed / Review",IF($I311&lt;&gt;"Yes","Not Reimbursable",IF($M311&lt;=0.004,"Pending",IF($N311&lt;=0.004,"Reimbursed","Partially Reimbursed")))))</f>
        <v/>
      </c>
      <c r="M311" s="12">
        <f>IF($A311="",0,SUMIF('Family Contributions'!$I$4:$I$1003,$A311,'Family Contributions'!$G$4:$G$1003))</f>
        <v/>
      </c>
      <c r="N311" s="12">
        <f>IF($A311="",0,IF($I311="Yes",IF(ISNUMBER($G311),$G311,0)-$M311,0))</f>
        <v/>
      </c>
      <c r="O311" s="9" t="n"/>
      <c r="P311" s="9" t="n"/>
    </row>
    <row r="312">
      <c r="A312" s="9" t="n"/>
      <c r="B312" s="19" t="n"/>
      <c r="C312" s="9" t="n"/>
      <c r="D312" s="9" t="n"/>
      <c r="E312" s="9" t="n"/>
      <c r="F312" s="9" t="n"/>
      <c r="G312" s="10" t="n"/>
      <c r="H312" s="9" t="n"/>
      <c r="I312" s="9" t="n"/>
      <c r="J312" s="9" t="n"/>
      <c r="K312" s="9" t="n"/>
      <c r="L312">
        <f>IF($A312="","",IF($P312="Yes","Disputed / Review",IF($I312&lt;&gt;"Yes","Not Reimbursable",IF($M312&lt;=0.004,"Pending",IF($N312&lt;=0.004,"Reimbursed","Partially Reimbursed")))))</f>
        <v/>
      </c>
      <c r="M312" s="12">
        <f>IF($A312="",0,SUMIF('Family Contributions'!$I$4:$I$1003,$A312,'Family Contributions'!$G$4:$G$1003))</f>
        <v/>
      </c>
      <c r="N312" s="12">
        <f>IF($A312="",0,IF($I312="Yes",IF(ISNUMBER($G312),$G312,0)-$M312,0))</f>
        <v/>
      </c>
      <c r="O312" s="9" t="n"/>
      <c r="P312" s="9" t="n"/>
    </row>
    <row r="313">
      <c r="A313" s="9" t="n"/>
      <c r="B313" s="19" t="n"/>
      <c r="C313" s="9" t="n"/>
      <c r="D313" s="9" t="n"/>
      <c r="E313" s="9" t="n"/>
      <c r="F313" s="9" t="n"/>
      <c r="G313" s="10" t="n"/>
      <c r="H313" s="9" t="n"/>
      <c r="I313" s="9" t="n"/>
      <c r="J313" s="9" t="n"/>
      <c r="K313" s="9" t="n"/>
      <c r="L313">
        <f>IF($A313="","",IF($P313="Yes","Disputed / Review",IF($I313&lt;&gt;"Yes","Not Reimbursable",IF($M313&lt;=0.004,"Pending",IF($N313&lt;=0.004,"Reimbursed","Partially Reimbursed")))))</f>
        <v/>
      </c>
      <c r="M313" s="12">
        <f>IF($A313="",0,SUMIF('Family Contributions'!$I$4:$I$1003,$A313,'Family Contributions'!$G$4:$G$1003))</f>
        <v/>
      </c>
      <c r="N313" s="12">
        <f>IF($A313="",0,IF($I313="Yes",IF(ISNUMBER($G313),$G313,0)-$M313,0))</f>
        <v/>
      </c>
      <c r="O313" s="9" t="n"/>
      <c r="P313" s="9" t="n"/>
    </row>
    <row r="314">
      <c r="A314" s="9" t="n"/>
      <c r="B314" s="19" t="n"/>
      <c r="C314" s="9" t="n"/>
      <c r="D314" s="9" t="n"/>
      <c r="E314" s="9" t="n"/>
      <c r="F314" s="9" t="n"/>
      <c r="G314" s="10" t="n"/>
      <c r="H314" s="9" t="n"/>
      <c r="I314" s="9" t="n"/>
      <c r="J314" s="9" t="n"/>
      <c r="K314" s="9" t="n"/>
      <c r="L314">
        <f>IF($A314="","",IF($P314="Yes","Disputed / Review",IF($I314&lt;&gt;"Yes","Not Reimbursable",IF($M314&lt;=0.004,"Pending",IF($N314&lt;=0.004,"Reimbursed","Partially Reimbursed")))))</f>
        <v/>
      </c>
      <c r="M314" s="12">
        <f>IF($A314="",0,SUMIF('Family Contributions'!$I$4:$I$1003,$A314,'Family Contributions'!$G$4:$G$1003))</f>
        <v/>
      </c>
      <c r="N314" s="12">
        <f>IF($A314="",0,IF($I314="Yes",IF(ISNUMBER($G314),$G314,0)-$M314,0))</f>
        <v/>
      </c>
      <c r="O314" s="9" t="n"/>
      <c r="P314" s="9" t="n"/>
    </row>
    <row r="315">
      <c r="A315" s="9" t="n"/>
      <c r="B315" s="19" t="n"/>
      <c r="C315" s="9" t="n"/>
      <c r="D315" s="9" t="n"/>
      <c r="E315" s="9" t="n"/>
      <c r="F315" s="9" t="n"/>
      <c r="G315" s="10" t="n"/>
      <c r="H315" s="9" t="n"/>
      <c r="I315" s="9" t="n"/>
      <c r="J315" s="9" t="n"/>
      <c r="K315" s="9" t="n"/>
      <c r="L315">
        <f>IF($A315="","",IF($P315="Yes","Disputed / Review",IF($I315&lt;&gt;"Yes","Not Reimbursable",IF($M315&lt;=0.004,"Pending",IF($N315&lt;=0.004,"Reimbursed","Partially Reimbursed")))))</f>
        <v/>
      </c>
      <c r="M315" s="12">
        <f>IF($A315="",0,SUMIF('Family Contributions'!$I$4:$I$1003,$A315,'Family Contributions'!$G$4:$G$1003))</f>
        <v/>
      </c>
      <c r="N315" s="12">
        <f>IF($A315="",0,IF($I315="Yes",IF(ISNUMBER($G315),$G315,0)-$M315,0))</f>
        <v/>
      </c>
      <c r="O315" s="9" t="n"/>
      <c r="P315" s="9" t="n"/>
    </row>
    <row r="316">
      <c r="A316" s="9" t="n"/>
      <c r="B316" s="19" t="n"/>
      <c r="C316" s="9" t="n"/>
      <c r="D316" s="9" t="n"/>
      <c r="E316" s="9" t="n"/>
      <c r="F316" s="9" t="n"/>
      <c r="G316" s="10" t="n"/>
      <c r="H316" s="9" t="n"/>
      <c r="I316" s="9" t="n"/>
      <c r="J316" s="9" t="n"/>
      <c r="K316" s="9" t="n"/>
      <c r="L316">
        <f>IF($A316="","",IF($P316="Yes","Disputed / Review",IF($I316&lt;&gt;"Yes","Not Reimbursable",IF($M316&lt;=0.004,"Pending",IF($N316&lt;=0.004,"Reimbursed","Partially Reimbursed")))))</f>
        <v/>
      </c>
      <c r="M316" s="12">
        <f>IF($A316="",0,SUMIF('Family Contributions'!$I$4:$I$1003,$A316,'Family Contributions'!$G$4:$G$1003))</f>
        <v/>
      </c>
      <c r="N316" s="12">
        <f>IF($A316="",0,IF($I316="Yes",IF(ISNUMBER($G316),$G316,0)-$M316,0))</f>
        <v/>
      </c>
      <c r="O316" s="9" t="n"/>
      <c r="P316" s="9" t="n"/>
    </row>
    <row r="317">
      <c r="A317" s="9" t="n"/>
      <c r="B317" s="19" t="n"/>
      <c r="C317" s="9" t="n"/>
      <c r="D317" s="9" t="n"/>
      <c r="E317" s="9" t="n"/>
      <c r="F317" s="9" t="n"/>
      <c r="G317" s="10" t="n"/>
      <c r="H317" s="9" t="n"/>
      <c r="I317" s="9" t="n"/>
      <c r="J317" s="9" t="n"/>
      <c r="K317" s="9" t="n"/>
      <c r="L317">
        <f>IF($A317="","",IF($P317="Yes","Disputed / Review",IF($I317&lt;&gt;"Yes","Not Reimbursable",IF($M317&lt;=0.004,"Pending",IF($N317&lt;=0.004,"Reimbursed","Partially Reimbursed")))))</f>
        <v/>
      </c>
      <c r="M317" s="12">
        <f>IF($A317="",0,SUMIF('Family Contributions'!$I$4:$I$1003,$A317,'Family Contributions'!$G$4:$G$1003))</f>
        <v/>
      </c>
      <c r="N317" s="12">
        <f>IF($A317="",0,IF($I317="Yes",IF(ISNUMBER($G317),$G317,0)-$M317,0))</f>
        <v/>
      </c>
      <c r="O317" s="9" t="n"/>
      <c r="P317" s="9" t="n"/>
    </row>
    <row r="318">
      <c r="A318" s="9" t="n"/>
      <c r="B318" s="19" t="n"/>
      <c r="C318" s="9" t="n"/>
      <c r="D318" s="9" t="n"/>
      <c r="E318" s="9" t="n"/>
      <c r="F318" s="9" t="n"/>
      <c r="G318" s="10" t="n"/>
      <c r="H318" s="9" t="n"/>
      <c r="I318" s="9" t="n"/>
      <c r="J318" s="9" t="n"/>
      <c r="K318" s="9" t="n"/>
      <c r="L318">
        <f>IF($A318="","",IF($P318="Yes","Disputed / Review",IF($I318&lt;&gt;"Yes","Not Reimbursable",IF($M318&lt;=0.004,"Pending",IF($N318&lt;=0.004,"Reimbursed","Partially Reimbursed")))))</f>
        <v/>
      </c>
      <c r="M318" s="12">
        <f>IF($A318="",0,SUMIF('Family Contributions'!$I$4:$I$1003,$A318,'Family Contributions'!$G$4:$G$1003))</f>
        <v/>
      </c>
      <c r="N318" s="12">
        <f>IF($A318="",0,IF($I318="Yes",IF(ISNUMBER($G318),$G318,0)-$M318,0))</f>
        <v/>
      </c>
      <c r="O318" s="9" t="n"/>
      <c r="P318" s="9" t="n"/>
    </row>
    <row r="319">
      <c r="A319" s="9" t="n"/>
      <c r="B319" s="19" t="n"/>
      <c r="C319" s="9" t="n"/>
      <c r="D319" s="9" t="n"/>
      <c r="E319" s="9" t="n"/>
      <c r="F319" s="9" t="n"/>
      <c r="G319" s="10" t="n"/>
      <c r="H319" s="9" t="n"/>
      <c r="I319" s="9" t="n"/>
      <c r="J319" s="9" t="n"/>
      <c r="K319" s="9" t="n"/>
      <c r="L319">
        <f>IF($A319="","",IF($P319="Yes","Disputed / Review",IF($I319&lt;&gt;"Yes","Not Reimbursable",IF($M319&lt;=0.004,"Pending",IF($N319&lt;=0.004,"Reimbursed","Partially Reimbursed")))))</f>
        <v/>
      </c>
      <c r="M319" s="12">
        <f>IF($A319="",0,SUMIF('Family Contributions'!$I$4:$I$1003,$A319,'Family Contributions'!$G$4:$G$1003))</f>
        <v/>
      </c>
      <c r="N319" s="12">
        <f>IF($A319="",0,IF($I319="Yes",IF(ISNUMBER($G319),$G319,0)-$M319,0))</f>
        <v/>
      </c>
      <c r="O319" s="9" t="n"/>
      <c r="P319" s="9" t="n"/>
    </row>
    <row r="320">
      <c r="A320" s="9" t="n"/>
      <c r="B320" s="19" t="n"/>
      <c r="C320" s="9" t="n"/>
      <c r="D320" s="9" t="n"/>
      <c r="E320" s="9" t="n"/>
      <c r="F320" s="9" t="n"/>
      <c r="G320" s="10" t="n"/>
      <c r="H320" s="9" t="n"/>
      <c r="I320" s="9" t="n"/>
      <c r="J320" s="9" t="n"/>
      <c r="K320" s="9" t="n"/>
      <c r="L320">
        <f>IF($A320="","",IF($P320="Yes","Disputed / Review",IF($I320&lt;&gt;"Yes","Not Reimbursable",IF($M320&lt;=0.004,"Pending",IF($N320&lt;=0.004,"Reimbursed","Partially Reimbursed")))))</f>
        <v/>
      </c>
      <c r="M320" s="12">
        <f>IF($A320="",0,SUMIF('Family Contributions'!$I$4:$I$1003,$A320,'Family Contributions'!$G$4:$G$1003))</f>
        <v/>
      </c>
      <c r="N320" s="12">
        <f>IF($A320="",0,IF($I320="Yes",IF(ISNUMBER($G320),$G320,0)-$M320,0))</f>
        <v/>
      </c>
      <c r="O320" s="9" t="n"/>
      <c r="P320" s="9" t="n"/>
    </row>
    <row r="321">
      <c r="A321" s="9" t="n"/>
      <c r="B321" s="19" t="n"/>
      <c r="C321" s="9" t="n"/>
      <c r="D321" s="9" t="n"/>
      <c r="E321" s="9" t="n"/>
      <c r="F321" s="9" t="n"/>
      <c r="G321" s="10" t="n"/>
      <c r="H321" s="9" t="n"/>
      <c r="I321" s="9" t="n"/>
      <c r="J321" s="9" t="n"/>
      <c r="K321" s="9" t="n"/>
      <c r="L321">
        <f>IF($A321="","",IF($P321="Yes","Disputed / Review",IF($I321&lt;&gt;"Yes","Not Reimbursable",IF($M321&lt;=0.004,"Pending",IF($N321&lt;=0.004,"Reimbursed","Partially Reimbursed")))))</f>
        <v/>
      </c>
      <c r="M321" s="12">
        <f>IF($A321="",0,SUMIF('Family Contributions'!$I$4:$I$1003,$A321,'Family Contributions'!$G$4:$G$1003))</f>
        <v/>
      </c>
      <c r="N321" s="12">
        <f>IF($A321="",0,IF($I321="Yes",IF(ISNUMBER($G321),$G321,0)-$M321,0))</f>
        <v/>
      </c>
      <c r="O321" s="9" t="n"/>
      <c r="P321" s="9" t="n"/>
    </row>
    <row r="322">
      <c r="A322" s="9" t="n"/>
      <c r="B322" s="19" t="n"/>
      <c r="C322" s="9" t="n"/>
      <c r="D322" s="9" t="n"/>
      <c r="E322" s="9" t="n"/>
      <c r="F322" s="9" t="n"/>
      <c r="G322" s="10" t="n"/>
      <c r="H322" s="9" t="n"/>
      <c r="I322" s="9" t="n"/>
      <c r="J322" s="9" t="n"/>
      <c r="K322" s="9" t="n"/>
      <c r="L322">
        <f>IF($A322="","",IF($P322="Yes","Disputed / Review",IF($I322&lt;&gt;"Yes","Not Reimbursable",IF($M322&lt;=0.004,"Pending",IF($N322&lt;=0.004,"Reimbursed","Partially Reimbursed")))))</f>
        <v/>
      </c>
      <c r="M322" s="12">
        <f>IF($A322="",0,SUMIF('Family Contributions'!$I$4:$I$1003,$A322,'Family Contributions'!$G$4:$G$1003))</f>
        <v/>
      </c>
      <c r="N322" s="12">
        <f>IF($A322="",0,IF($I322="Yes",IF(ISNUMBER($G322),$G322,0)-$M322,0))</f>
        <v/>
      </c>
      <c r="O322" s="9" t="n"/>
      <c r="P322" s="9" t="n"/>
    </row>
    <row r="323">
      <c r="A323" s="9" t="n"/>
      <c r="B323" s="19" t="n"/>
      <c r="C323" s="9" t="n"/>
      <c r="D323" s="9" t="n"/>
      <c r="E323" s="9" t="n"/>
      <c r="F323" s="9" t="n"/>
      <c r="G323" s="10" t="n"/>
      <c r="H323" s="9" t="n"/>
      <c r="I323" s="9" t="n"/>
      <c r="J323" s="9" t="n"/>
      <c r="K323" s="9" t="n"/>
      <c r="L323">
        <f>IF($A323="","",IF($P323="Yes","Disputed / Review",IF($I323&lt;&gt;"Yes","Not Reimbursable",IF($M323&lt;=0.004,"Pending",IF($N323&lt;=0.004,"Reimbursed","Partially Reimbursed")))))</f>
        <v/>
      </c>
      <c r="M323" s="12">
        <f>IF($A323="",0,SUMIF('Family Contributions'!$I$4:$I$1003,$A323,'Family Contributions'!$G$4:$G$1003))</f>
        <v/>
      </c>
      <c r="N323" s="12">
        <f>IF($A323="",0,IF($I323="Yes",IF(ISNUMBER($G323),$G323,0)-$M323,0))</f>
        <v/>
      </c>
      <c r="O323" s="9" t="n"/>
      <c r="P323" s="9" t="n"/>
    </row>
    <row r="324">
      <c r="A324" s="9" t="n"/>
      <c r="B324" s="19" t="n"/>
      <c r="C324" s="9" t="n"/>
      <c r="D324" s="9" t="n"/>
      <c r="E324" s="9" t="n"/>
      <c r="F324" s="9" t="n"/>
      <c r="G324" s="10" t="n"/>
      <c r="H324" s="9" t="n"/>
      <c r="I324" s="9" t="n"/>
      <c r="J324" s="9" t="n"/>
      <c r="K324" s="9" t="n"/>
      <c r="L324">
        <f>IF($A324="","",IF($P324="Yes","Disputed / Review",IF($I324&lt;&gt;"Yes","Not Reimbursable",IF($M324&lt;=0.004,"Pending",IF($N324&lt;=0.004,"Reimbursed","Partially Reimbursed")))))</f>
        <v/>
      </c>
      <c r="M324" s="12">
        <f>IF($A324="",0,SUMIF('Family Contributions'!$I$4:$I$1003,$A324,'Family Contributions'!$G$4:$G$1003))</f>
        <v/>
      </c>
      <c r="N324" s="12">
        <f>IF($A324="",0,IF($I324="Yes",IF(ISNUMBER($G324),$G324,0)-$M324,0))</f>
        <v/>
      </c>
      <c r="O324" s="9" t="n"/>
      <c r="P324" s="9" t="n"/>
    </row>
    <row r="325">
      <c r="A325" s="9" t="n"/>
      <c r="B325" s="19" t="n"/>
      <c r="C325" s="9" t="n"/>
      <c r="D325" s="9" t="n"/>
      <c r="E325" s="9" t="n"/>
      <c r="F325" s="9" t="n"/>
      <c r="G325" s="10" t="n"/>
      <c r="H325" s="9" t="n"/>
      <c r="I325" s="9" t="n"/>
      <c r="J325" s="9" t="n"/>
      <c r="K325" s="9" t="n"/>
      <c r="L325">
        <f>IF($A325="","",IF($P325="Yes","Disputed / Review",IF($I325&lt;&gt;"Yes","Not Reimbursable",IF($M325&lt;=0.004,"Pending",IF($N325&lt;=0.004,"Reimbursed","Partially Reimbursed")))))</f>
        <v/>
      </c>
      <c r="M325" s="12">
        <f>IF($A325="",0,SUMIF('Family Contributions'!$I$4:$I$1003,$A325,'Family Contributions'!$G$4:$G$1003))</f>
        <v/>
      </c>
      <c r="N325" s="12">
        <f>IF($A325="",0,IF($I325="Yes",IF(ISNUMBER($G325),$G325,0)-$M325,0))</f>
        <v/>
      </c>
      <c r="O325" s="9" t="n"/>
      <c r="P325" s="9" t="n"/>
    </row>
    <row r="326">
      <c r="A326" s="9" t="n"/>
      <c r="B326" s="19" t="n"/>
      <c r="C326" s="9" t="n"/>
      <c r="D326" s="9" t="n"/>
      <c r="E326" s="9" t="n"/>
      <c r="F326" s="9" t="n"/>
      <c r="G326" s="10" t="n"/>
      <c r="H326" s="9" t="n"/>
      <c r="I326" s="9" t="n"/>
      <c r="J326" s="9" t="n"/>
      <c r="K326" s="9" t="n"/>
      <c r="L326">
        <f>IF($A326="","",IF($P326="Yes","Disputed / Review",IF($I326&lt;&gt;"Yes","Not Reimbursable",IF($M326&lt;=0.004,"Pending",IF($N326&lt;=0.004,"Reimbursed","Partially Reimbursed")))))</f>
        <v/>
      </c>
      <c r="M326" s="12">
        <f>IF($A326="",0,SUMIF('Family Contributions'!$I$4:$I$1003,$A326,'Family Contributions'!$G$4:$G$1003))</f>
        <v/>
      </c>
      <c r="N326" s="12">
        <f>IF($A326="",0,IF($I326="Yes",IF(ISNUMBER($G326),$G326,0)-$M326,0))</f>
        <v/>
      </c>
      <c r="O326" s="9" t="n"/>
      <c r="P326" s="9" t="n"/>
    </row>
    <row r="327">
      <c r="A327" s="9" t="n"/>
      <c r="B327" s="19" t="n"/>
      <c r="C327" s="9" t="n"/>
      <c r="D327" s="9" t="n"/>
      <c r="E327" s="9" t="n"/>
      <c r="F327" s="9" t="n"/>
      <c r="G327" s="10" t="n"/>
      <c r="H327" s="9" t="n"/>
      <c r="I327" s="9" t="n"/>
      <c r="J327" s="9" t="n"/>
      <c r="K327" s="9" t="n"/>
      <c r="L327">
        <f>IF($A327="","",IF($P327="Yes","Disputed / Review",IF($I327&lt;&gt;"Yes","Not Reimbursable",IF($M327&lt;=0.004,"Pending",IF($N327&lt;=0.004,"Reimbursed","Partially Reimbursed")))))</f>
        <v/>
      </c>
      <c r="M327" s="12">
        <f>IF($A327="",0,SUMIF('Family Contributions'!$I$4:$I$1003,$A327,'Family Contributions'!$G$4:$G$1003))</f>
        <v/>
      </c>
      <c r="N327" s="12">
        <f>IF($A327="",0,IF($I327="Yes",IF(ISNUMBER($G327),$G327,0)-$M327,0))</f>
        <v/>
      </c>
      <c r="O327" s="9" t="n"/>
      <c r="P327" s="9" t="n"/>
    </row>
    <row r="328">
      <c r="A328" s="9" t="n"/>
      <c r="B328" s="19" t="n"/>
      <c r="C328" s="9" t="n"/>
      <c r="D328" s="9" t="n"/>
      <c r="E328" s="9" t="n"/>
      <c r="F328" s="9" t="n"/>
      <c r="G328" s="10" t="n"/>
      <c r="H328" s="9" t="n"/>
      <c r="I328" s="9" t="n"/>
      <c r="J328" s="9" t="n"/>
      <c r="K328" s="9" t="n"/>
      <c r="L328">
        <f>IF($A328="","",IF($P328="Yes","Disputed / Review",IF($I328&lt;&gt;"Yes","Not Reimbursable",IF($M328&lt;=0.004,"Pending",IF($N328&lt;=0.004,"Reimbursed","Partially Reimbursed")))))</f>
        <v/>
      </c>
      <c r="M328" s="12">
        <f>IF($A328="",0,SUMIF('Family Contributions'!$I$4:$I$1003,$A328,'Family Contributions'!$G$4:$G$1003))</f>
        <v/>
      </c>
      <c r="N328" s="12">
        <f>IF($A328="",0,IF($I328="Yes",IF(ISNUMBER($G328),$G328,0)-$M328,0))</f>
        <v/>
      </c>
      <c r="O328" s="9" t="n"/>
      <c r="P328" s="9" t="n"/>
    </row>
    <row r="329">
      <c r="A329" s="9" t="n"/>
      <c r="B329" s="19" t="n"/>
      <c r="C329" s="9" t="n"/>
      <c r="D329" s="9" t="n"/>
      <c r="E329" s="9" t="n"/>
      <c r="F329" s="9" t="n"/>
      <c r="G329" s="10" t="n"/>
      <c r="H329" s="9" t="n"/>
      <c r="I329" s="9" t="n"/>
      <c r="J329" s="9" t="n"/>
      <c r="K329" s="9" t="n"/>
      <c r="L329">
        <f>IF($A329="","",IF($P329="Yes","Disputed / Review",IF($I329&lt;&gt;"Yes","Not Reimbursable",IF($M329&lt;=0.004,"Pending",IF($N329&lt;=0.004,"Reimbursed","Partially Reimbursed")))))</f>
        <v/>
      </c>
      <c r="M329" s="12">
        <f>IF($A329="",0,SUMIF('Family Contributions'!$I$4:$I$1003,$A329,'Family Contributions'!$G$4:$G$1003))</f>
        <v/>
      </c>
      <c r="N329" s="12">
        <f>IF($A329="",0,IF($I329="Yes",IF(ISNUMBER($G329),$G329,0)-$M329,0))</f>
        <v/>
      </c>
      <c r="O329" s="9" t="n"/>
      <c r="P329" s="9" t="n"/>
    </row>
    <row r="330">
      <c r="A330" s="9" t="n"/>
      <c r="B330" s="19" t="n"/>
      <c r="C330" s="9" t="n"/>
      <c r="D330" s="9" t="n"/>
      <c r="E330" s="9" t="n"/>
      <c r="F330" s="9" t="n"/>
      <c r="G330" s="10" t="n"/>
      <c r="H330" s="9" t="n"/>
      <c r="I330" s="9" t="n"/>
      <c r="J330" s="9" t="n"/>
      <c r="K330" s="9" t="n"/>
      <c r="L330">
        <f>IF($A330="","",IF($P330="Yes","Disputed / Review",IF($I330&lt;&gt;"Yes","Not Reimbursable",IF($M330&lt;=0.004,"Pending",IF($N330&lt;=0.004,"Reimbursed","Partially Reimbursed")))))</f>
        <v/>
      </c>
      <c r="M330" s="12">
        <f>IF($A330="",0,SUMIF('Family Contributions'!$I$4:$I$1003,$A330,'Family Contributions'!$G$4:$G$1003))</f>
        <v/>
      </c>
      <c r="N330" s="12">
        <f>IF($A330="",0,IF($I330="Yes",IF(ISNUMBER($G330),$G330,0)-$M330,0))</f>
        <v/>
      </c>
      <c r="O330" s="9" t="n"/>
      <c r="P330" s="9" t="n"/>
    </row>
    <row r="331">
      <c r="A331" s="9" t="n"/>
      <c r="B331" s="19" t="n"/>
      <c r="C331" s="9" t="n"/>
      <c r="D331" s="9" t="n"/>
      <c r="E331" s="9" t="n"/>
      <c r="F331" s="9" t="n"/>
      <c r="G331" s="10" t="n"/>
      <c r="H331" s="9" t="n"/>
      <c r="I331" s="9" t="n"/>
      <c r="J331" s="9" t="n"/>
      <c r="K331" s="9" t="n"/>
      <c r="L331">
        <f>IF($A331="","",IF($P331="Yes","Disputed / Review",IF($I331&lt;&gt;"Yes","Not Reimbursable",IF($M331&lt;=0.004,"Pending",IF($N331&lt;=0.004,"Reimbursed","Partially Reimbursed")))))</f>
        <v/>
      </c>
      <c r="M331" s="12">
        <f>IF($A331="",0,SUMIF('Family Contributions'!$I$4:$I$1003,$A331,'Family Contributions'!$G$4:$G$1003))</f>
        <v/>
      </c>
      <c r="N331" s="12">
        <f>IF($A331="",0,IF($I331="Yes",IF(ISNUMBER($G331),$G331,0)-$M331,0))</f>
        <v/>
      </c>
      <c r="O331" s="9" t="n"/>
      <c r="P331" s="9" t="n"/>
    </row>
    <row r="332">
      <c r="A332" s="9" t="n"/>
      <c r="B332" s="19" t="n"/>
      <c r="C332" s="9" t="n"/>
      <c r="D332" s="9" t="n"/>
      <c r="E332" s="9" t="n"/>
      <c r="F332" s="9" t="n"/>
      <c r="G332" s="10" t="n"/>
      <c r="H332" s="9" t="n"/>
      <c r="I332" s="9" t="n"/>
      <c r="J332" s="9" t="n"/>
      <c r="K332" s="9" t="n"/>
      <c r="L332">
        <f>IF($A332="","",IF($P332="Yes","Disputed / Review",IF($I332&lt;&gt;"Yes","Not Reimbursable",IF($M332&lt;=0.004,"Pending",IF($N332&lt;=0.004,"Reimbursed","Partially Reimbursed")))))</f>
        <v/>
      </c>
      <c r="M332" s="12">
        <f>IF($A332="",0,SUMIF('Family Contributions'!$I$4:$I$1003,$A332,'Family Contributions'!$G$4:$G$1003))</f>
        <v/>
      </c>
      <c r="N332" s="12">
        <f>IF($A332="",0,IF($I332="Yes",IF(ISNUMBER($G332),$G332,0)-$M332,0))</f>
        <v/>
      </c>
      <c r="O332" s="9" t="n"/>
      <c r="P332" s="9" t="n"/>
    </row>
    <row r="333">
      <c r="A333" s="9" t="n"/>
      <c r="B333" s="19" t="n"/>
      <c r="C333" s="9" t="n"/>
      <c r="D333" s="9" t="n"/>
      <c r="E333" s="9" t="n"/>
      <c r="F333" s="9" t="n"/>
      <c r="G333" s="10" t="n"/>
      <c r="H333" s="9" t="n"/>
      <c r="I333" s="9" t="n"/>
      <c r="J333" s="9" t="n"/>
      <c r="K333" s="9" t="n"/>
      <c r="L333">
        <f>IF($A333="","",IF($P333="Yes","Disputed / Review",IF($I333&lt;&gt;"Yes","Not Reimbursable",IF($M333&lt;=0.004,"Pending",IF($N333&lt;=0.004,"Reimbursed","Partially Reimbursed")))))</f>
        <v/>
      </c>
      <c r="M333" s="12">
        <f>IF($A333="",0,SUMIF('Family Contributions'!$I$4:$I$1003,$A333,'Family Contributions'!$G$4:$G$1003))</f>
        <v/>
      </c>
      <c r="N333" s="12">
        <f>IF($A333="",0,IF($I333="Yes",IF(ISNUMBER($G333),$G333,0)-$M333,0))</f>
        <v/>
      </c>
      <c r="O333" s="9" t="n"/>
      <c r="P333" s="9" t="n"/>
    </row>
    <row r="334">
      <c r="A334" s="9" t="n"/>
      <c r="B334" s="19" t="n"/>
      <c r="C334" s="9" t="n"/>
      <c r="D334" s="9" t="n"/>
      <c r="E334" s="9" t="n"/>
      <c r="F334" s="9" t="n"/>
      <c r="G334" s="10" t="n"/>
      <c r="H334" s="9" t="n"/>
      <c r="I334" s="9" t="n"/>
      <c r="J334" s="9" t="n"/>
      <c r="K334" s="9" t="n"/>
      <c r="L334">
        <f>IF($A334="","",IF($P334="Yes","Disputed / Review",IF($I334&lt;&gt;"Yes","Not Reimbursable",IF($M334&lt;=0.004,"Pending",IF($N334&lt;=0.004,"Reimbursed","Partially Reimbursed")))))</f>
        <v/>
      </c>
      <c r="M334" s="12">
        <f>IF($A334="",0,SUMIF('Family Contributions'!$I$4:$I$1003,$A334,'Family Contributions'!$G$4:$G$1003))</f>
        <v/>
      </c>
      <c r="N334" s="12">
        <f>IF($A334="",0,IF($I334="Yes",IF(ISNUMBER($G334),$G334,0)-$M334,0))</f>
        <v/>
      </c>
      <c r="O334" s="9" t="n"/>
      <c r="P334" s="9" t="n"/>
    </row>
    <row r="335">
      <c r="A335" s="9" t="n"/>
      <c r="B335" s="19" t="n"/>
      <c r="C335" s="9" t="n"/>
      <c r="D335" s="9" t="n"/>
      <c r="E335" s="9" t="n"/>
      <c r="F335" s="9" t="n"/>
      <c r="G335" s="10" t="n"/>
      <c r="H335" s="9" t="n"/>
      <c r="I335" s="9" t="n"/>
      <c r="J335" s="9" t="n"/>
      <c r="K335" s="9" t="n"/>
      <c r="L335">
        <f>IF($A335="","",IF($P335="Yes","Disputed / Review",IF($I335&lt;&gt;"Yes","Not Reimbursable",IF($M335&lt;=0.004,"Pending",IF($N335&lt;=0.004,"Reimbursed","Partially Reimbursed")))))</f>
        <v/>
      </c>
      <c r="M335" s="12">
        <f>IF($A335="",0,SUMIF('Family Contributions'!$I$4:$I$1003,$A335,'Family Contributions'!$G$4:$G$1003))</f>
        <v/>
      </c>
      <c r="N335" s="12">
        <f>IF($A335="",0,IF($I335="Yes",IF(ISNUMBER($G335),$G335,0)-$M335,0))</f>
        <v/>
      </c>
      <c r="O335" s="9" t="n"/>
      <c r="P335" s="9" t="n"/>
    </row>
    <row r="336">
      <c r="A336" s="9" t="n"/>
      <c r="B336" s="19" t="n"/>
      <c r="C336" s="9" t="n"/>
      <c r="D336" s="9" t="n"/>
      <c r="E336" s="9" t="n"/>
      <c r="F336" s="9" t="n"/>
      <c r="G336" s="10" t="n"/>
      <c r="H336" s="9" t="n"/>
      <c r="I336" s="9" t="n"/>
      <c r="J336" s="9" t="n"/>
      <c r="K336" s="9" t="n"/>
      <c r="L336">
        <f>IF($A336="","",IF($P336="Yes","Disputed / Review",IF($I336&lt;&gt;"Yes","Not Reimbursable",IF($M336&lt;=0.004,"Pending",IF($N336&lt;=0.004,"Reimbursed","Partially Reimbursed")))))</f>
        <v/>
      </c>
      <c r="M336" s="12">
        <f>IF($A336="",0,SUMIF('Family Contributions'!$I$4:$I$1003,$A336,'Family Contributions'!$G$4:$G$1003))</f>
        <v/>
      </c>
      <c r="N336" s="12">
        <f>IF($A336="",0,IF($I336="Yes",IF(ISNUMBER($G336),$G336,0)-$M336,0))</f>
        <v/>
      </c>
      <c r="O336" s="9" t="n"/>
      <c r="P336" s="9" t="n"/>
    </row>
    <row r="337">
      <c r="A337" s="9" t="n"/>
      <c r="B337" s="19" t="n"/>
      <c r="C337" s="9" t="n"/>
      <c r="D337" s="9" t="n"/>
      <c r="E337" s="9" t="n"/>
      <c r="F337" s="9" t="n"/>
      <c r="G337" s="10" t="n"/>
      <c r="H337" s="9" t="n"/>
      <c r="I337" s="9" t="n"/>
      <c r="J337" s="9" t="n"/>
      <c r="K337" s="9" t="n"/>
      <c r="L337">
        <f>IF($A337="","",IF($P337="Yes","Disputed / Review",IF($I337&lt;&gt;"Yes","Not Reimbursable",IF($M337&lt;=0.004,"Pending",IF($N337&lt;=0.004,"Reimbursed","Partially Reimbursed")))))</f>
        <v/>
      </c>
      <c r="M337" s="12">
        <f>IF($A337="",0,SUMIF('Family Contributions'!$I$4:$I$1003,$A337,'Family Contributions'!$G$4:$G$1003))</f>
        <v/>
      </c>
      <c r="N337" s="12">
        <f>IF($A337="",0,IF($I337="Yes",IF(ISNUMBER($G337),$G337,0)-$M337,0))</f>
        <v/>
      </c>
      <c r="O337" s="9" t="n"/>
      <c r="P337" s="9" t="n"/>
    </row>
    <row r="338">
      <c r="A338" s="9" t="n"/>
      <c r="B338" s="19" t="n"/>
      <c r="C338" s="9" t="n"/>
      <c r="D338" s="9" t="n"/>
      <c r="E338" s="9" t="n"/>
      <c r="F338" s="9" t="n"/>
      <c r="G338" s="10" t="n"/>
      <c r="H338" s="9" t="n"/>
      <c r="I338" s="9" t="n"/>
      <c r="J338" s="9" t="n"/>
      <c r="K338" s="9" t="n"/>
      <c r="L338">
        <f>IF($A338="","",IF($P338="Yes","Disputed / Review",IF($I338&lt;&gt;"Yes","Not Reimbursable",IF($M338&lt;=0.004,"Pending",IF($N338&lt;=0.004,"Reimbursed","Partially Reimbursed")))))</f>
        <v/>
      </c>
      <c r="M338" s="12">
        <f>IF($A338="",0,SUMIF('Family Contributions'!$I$4:$I$1003,$A338,'Family Contributions'!$G$4:$G$1003))</f>
        <v/>
      </c>
      <c r="N338" s="12">
        <f>IF($A338="",0,IF($I338="Yes",IF(ISNUMBER($G338),$G338,0)-$M338,0))</f>
        <v/>
      </c>
      <c r="O338" s="9" t="n"/>
      <c r="P338" s="9" t="n"/>
    </row>
    <row r="339">
      <c r="A339" s="9" t="n"/>
      <c r="B339" s="19" t="n"/>
      <c r="C339" s="9" t="n"/>
      <c r="D339" s="9" t="n"/>
      <c r="E339" s="9" t="n"/>
      <c r="F339" s="9" t="n"/>
      <c r="G339" s="10" t="n"/>
      <c r="H339" s="9" t="n"/>
      <c r="I339" s="9" t="n"/>
      <c r="J339" s="9" t="n"/>
      <c r="K339" s="9" t="n"/>
      <c r="L339">
        <f>IF($A339="","",IF($P339="Yes","Disputed / Review",IF($I339&lt;&gt;"Yes","Not Reimbursable",IF($M339&lt;=0.004,"Pending",IF($N339&lt;=0.004,"Reimbursed","Partially Reimbursed")))))</f>
        <v/>
      </c>
      <c r="M339" s="12">
        <f>IF($A339="",0,SUMIF('Family Contributions'!$I$4:$I$1003,$A339,'Family Contributions'!$G$4:$G$1003))</f>
        <v/>
      </c>
      <c r="N339" s="12">
        <f>IF($A339="",0,IF($I339="Yes",IF(ISNUMBER($G339),$G339,0)-$M339,0))</f>
        <v/>
      </c>
      <c r="O339" s="9" t="n"/>
      <c r="P339" s="9" t="n"/>
    </row>
    <row r="340">
      <c r="A340" s="9" t="n"/>
      <c r="B340" s="19" t="n"/>
      <c r="C340" s="9" t="n"/>
      <c r="D340" s="9" t="n"/>
      <c r="E340" s="9" t="n"/>
      <c r="F340" s="9" t="n"/>
      <c r="G340" s="10" t="n"/>
      <c r="H340" s="9" t="n"/>
      <c r="I340" s="9" t="n"/>
      <c r="J340" s="9" t="n"/>
      <c r="K340" s="9" t="n"/>
      <c r="L340">
        <f>IF($A340="","",IF($P340="Yes","Disputed / Review",IF($I340&lt;&gt;"Yes","Not Reimbursable",IF($M340&lt;=0.004,"Pending",IF($N340&lt;=0.004,"Reimbursed","Partially Reimbursed")))))</f>
        <v/>
      </c>
      <c r="M340" s="12">
        <f>IF($A340="",0,SUMIF('Family Contributions'!$I$4:$I$1003,$A340,'Family Contributions'!$G$4:$G$1003))</f>
        <v/>
      </c>
      <c r="N340" s="12">
        <f>IF($A340="",0,IF($I340="Yes",IF(ISNUMBER($G340),$G340,0)-$M340,0))</f>
        <v/>
      </c>
      <c r="O340" s="9" t="n"/>
      <c r="P340" s="9" t="n"/>
    </row>
    <row r="341">
      <c r="A341" s="9" t="n"/>
      <c r="B341" s="19" t="n"/>
      <c r="C341" s="9" t="n"/>
      <c r="D341" s="9" t="n"/>
      <c r="E341" s="9" t="n"/>
      <c r="F341" s="9" t="n"/>
      <c r="G341" s="10" t="n"/>
      <c r="H341" s="9" t="n"/>
      <c r="I341" s="9" t="n"/>
      <c r="J341" s="9" t="n"/>
      <c r="K341" s="9" t="n"/>
      <c r="L341">
        <f>IF($A341="","",IF($P341="Yes","Disputed / Review",IF($I341&lt;&gt;"Yes","Not Reimbursable",IF($M341&lt;=0.004,"Pending",IF($N341&lt;=0.004,"Reimbursed","Partially Reimbursed")))))</f>
        <v/>
      </c>
      <c r="M341" s="12">
        <f>IF($A341="",0,SUMIF('Family Contributions'!$I$4:$I$1003,$A341,'Family Contributions'!$G$4:$G$1003))</f>
        <v/>
      </c>
      <c r="N341" s="12">
        <f>IF($A341="",0,IF($I341="Yes",IF(ISNUMBER($G341),$G341,0)-$M341,0))</f>
        <v/>
      </c>
      <c r="O341" s="9" t="n"/>
      <c r="P341" s="9" t="n"/>
    </row>
    <row r="342">
      <c r="A342" s="9" t="n"/>
      <c r="B342" s="19" t="n"/>
      <c r="C342" s="9" t="n"/>
      <c r="D342" s="9" t="n"/>
      <c r="E342" s="9" t="n"/>
      <c r="F342" s="9" t="n"/>
      <c r="G342" s="10" t="n"/>
      <c r="H342" s="9" t="n"/>
      <c r="I342" s="9" t="n"/>
      <c r="J342" s="9" t="n"/>
      <c r="K342" s="9" t="n"/>
      <c r="L342">
        <f>IF($A342="","",IF($P342="Yes","Disputed / Review",IF($I342&lt;&gt;"Yes","Not Reimbursable",IF($M342&lt;=0.004,"Pending",IF($N342&lt;=0.004,"Reimbursed","Partially Reimbursed")))))</f>
        <v/>
      </c>
      <c r="M342" s="12">
        <f>IF($A342="",0,SUMIF('Family Contributions'!$I$4:$I$1003,$A342,'Family Contributions'!$G$4:$G$1003))</f>
        <v/>
      </c>
      <c r="N342" s="12">
        <f>IF($A342="",0,IF($I342="Yes",IF(ISNUMBER($G342),$G342,0)-$M342,0))</f>
        <v/>
      </c>
      <c r="O342" s="9" t="n"/>
      <c r="P342" s="9" t="n"/>
    </row>
    <row r="343">
      <c r="A343" s="9" t="n"/>
      <c r="B343" s="19" t="n"/>
      <c r="C343" s="9" t="n"/>
      <c r="D343" s="9" t="n"/>
      <c r="E343" s="9" t="n"/>
      <c r="F343" s="9" t="n"/>
      <c r="G343" s="10" t="n"/>
      <c r="H343" s="9" t="n"/>
      <c r="I343" s="9" t="n"/>
      <c r="J343" s="9" t="n"/>
      <c r="K343" s="9" t="n"/>
      <c r="L343">
        <f>IF($A343="","",IF($P343="Yes","Disputed / Review",IF($I343&lt;&gt;"Yes","Not Reimbursable",IF($M343&lt;=0.004,"Pending",IF($N343&lt;=0.004,"Reimbursed","Partially Reimbursed")))))</f>
        <v/>
      </c>
      <c r="M343" s="12">
        <f>IF($A343="",0,SUMIF('Family Contributions'!$I$4:$I$1003,$A343,'Family Contributions'!$G$4:$G$1003))</f>
        <v/>
      </c>
      <c r="N343" s="12">
        <f>IF($A343="",0,IF($I343="Yes",IF(ISNUMBER($G343),$G343,0)-$M343,0))</f>
        <v/>
      </c>
      <c r="O343" s="9" t="n"/>
      <c r="P343" s="9" t="n"/>
    </row>
    <row r="344">
      <c r="A344" s="9" t="n"/>
      <c r="B344" s="19" t="n"/>
      <c r="C344" s="9" t="n"/>
      <c r="D344" s="9" t="n"/>
      <c r="E344" s="9" t="n"/>
      <c r="F344" s="9" t="n"/>
      <c r="G344" s="10" t="n"/>
      <c r="H344" s="9" t="n"/>
      <c r="I344" s="9" t="n"/>
      <c r="J344" s="9" t="n"/>
      <c r="K344" s="9" t="n"/>
      <c r="L344">
        <f>IF($A344="","",IF($P344="Yes","Disputed / Review",IF($I344&lt;&gt;"Yes","Not Reimbursable",IF($M344&lt;=0.004,"Pending",IF($N344&lt;=0.004,"Reimbursed","Partially Reimbursed")))))</f>
        <v/>
      </c>
      <c r="M344" s="12">
        <f>IF($A344="",0,SUMIF('Family Contributions'!$I$4:$I$1003,$A344,'Family Contributions'!$G$4:$G$1003))</f>
        <v/>
      </c>
      <c r="N344" s="12">
        <f>IF($A344="",0,IF($I344="Yes",IF(ISNUMBER($G344),$G344,0)-$M344,0))</f>
        <v/>
      </c>
      <c r="O344" s="9" t="n"/>
      <c r="P344" s="9" t="n"/>
    </row>
    <row r="345">
      <c r="A345" s="9" t="n"/>
      <c r="B345" s="19" t="n"/>
      <c r="C345" s="9" t="n"/>
      <c r="D345" s="9" t="n"/>
      <c r="E345" s="9" t="n"/>
      <c r="F345" s="9" t="n"/>
      <c r="G345" s="10" t="n"/>
      <c r="H345" s="9" t="n"/>
      <c r="I345" s="9" t="n"/>
      <c r="J345" s="9" t="n"/>
      <c r="K345" s="9" t="n"/>
      <c r="L345">
        <f>IF($A345="","",IF($P345="Yes","Disputed / Review",IF($I345&lt;&gt;"Yes","Not Reimbursable",IF($M345&lt;=0.004,"Pending",IF($N345&lt;=0.004,"Reimbursed","Partially Reimbursed")))))</f>
        <v/>
      </c>
      <c r="M345" s="12">
        <f>IF($A345="",0,SUMIF('Family Contributions'!$I$4:$I$1003,$A345,'Family Contributions'!$G$4:$G$1003))</f>
        <v/>
      </c>
      <c r="N345" s="12">
        <f>IF($A345="",0,IF($I345="Yes",IF(ISNUMBER($G345),$G345,0)-$M345,0))</f>
        <v/>
      </c>
      <c r="O345" s="9" t="n"/>
      <c r="P345" s="9" t="n"/>
    </row>
    <row r="346">
      <c r="A346" s="9" t="n"/>
      <c r="B346" s="19" t="n"/>
      <c r="C346" s="9" t="n"/>
      <c r="D346" s="9" t="n"/>
      <c r="E346" s="9" t="n"/>
      <c r="F346" s="9" t="n"/>
      <c r="G346" s="10" t="n"/>
      <c r="H346" s="9" t="n"/>
      <c r="I346" s="9" t="n"/>
      <c r="J346" s="9" t="n"/>
      <c r="K346" s="9" t="n"/>
      <c r="L346">
        <f>IF($A346="","",IF($P346="Yes","Disputed / Review",IF($I346&lt;&gt;"Yes","Not Reimbursable",IF($M346&lt;=0.004,"Pending",IF($N346&lt;=0.004,"Reimbursed","Partially Reimbursed")))))</f>
        <v/>
      </c>
      <c r="M346" s="12">
        <f>IF($A346="",0,SUMIF('Family Contributions'!$I$4:$I$1003,$A346,'Family Contributions'!$G$4:$G$1003))</f>
        <v/>
      </c>
      <c r="N346" s="12">
        <f>IF($A346="",0,IF($I346="Yes",IF(ISNUMBER($G346),$G346,0)-$M346,0))</f>
        <v/>
      </c>
      <c r="O346" s="9" t="n"/>
      <c r="P346" s="9" t="n"/>
    </row>
    <row r="347">
      <c r="A347" s="9" t="n"/>
      <c r="B347" s="19" t="n"/>
      <c r="C347" s="9" t="n"/>
      <c r="D347" s="9" t="n"/>
      <c r="E347" s="9" t="n"/>
      <c r="F347" s="9" t="n"/>
      <c r="G347" s="10" t="n"/>
      <c r="H347" s="9" t="n"/>
      <c r="I347" s="9" t="n"/>
      <c r="J347" s="9" t="n"/>
      <c r="K347" s="9" t="n"/>
      <c r="L347">
        <f>IF($A347="","",IF($P347="Yes","Disputed / Review",IF($I347&lt;&gt;"Yes","Not Reimbursable",IF($M347&lt;=0.004,"Pending",IF($N347&lt;=0.004,"Reimbursed","Partially Reimbursed")))))</f>
        <v/>
      </c>
      <c r="M347" s="12">
        <f>IF($A347="",0,SUMIF('Family Contributions'!$I$4:$I$1003,$A347,'Family Contributions'!$G$4:$G$1003))</f>
        <v/>
      </c>
      <c r="N347" s="12">
        <f>IF($A347="",0,IF($I347="Yes",IF(ISNUMBER($G347),$G347,0)-$M347,0))</f>
        <v/>
      </c>
      <c r="O347" s="9" t="n"/>
      <c r="P347" s="9" t="n"/>
    </row>
    <row r="348">
      <c r="A348" s="9" t="n"/>
      <c r="B348" s="19" t="n"/>
      <c r="C348" s="9" t="n"/>
      <c r="D348" s="9" t="n"/>
      <c r="E348" s="9" t="n"/>
      <c r="F348" s="9" t="n"/>
      <c r="G348" s="10" t="n"/>
      <c r="H348" s="9" t="n"/>
      <c r="I348" s="9" t="n"/>
      <c r="J348" s="9" t="n"/>
      <c r="K348" s="9" t="n"/>
      <c r="L348">
        <f>IF($A348="","",IF($P348="Yes","Disputed / Review",IF($I348&lt;&gt;"Yes","Not Reimbursable",IF($M348&lt;=0.004,"Pending",IF($N348&lt;=0.004,"Reimbursed","Partially Reimbursed")))))</f>
        <v/>
      </c>
      <c r="M348" s="12">
        <f>IF($A348="",0,SUMIF('Family Contributions'!$I$4:$I$1003,$A348,'Family Contributions'!$G$4:$G$1003))</f>
        <v/>
      </c>
      <c r="N348" s="12">
        <f>IF($A348="",0,IF($I348="Yes",IF(ISNUMBER($G348),$G348,0)-$M348,0))</f>
        <v/>
      </c>
      <c r="O348" s="9" t="n"/>
      <c r="P348" s="9" t="n"/>
    </row>
    <row r="349">
      <c r="A349" s="9" t="n"/>
      <c r="B349" s="19" t="n"/>
      <c r="C349" s="9" t="n"/>
      <c r="D349" s="9" t="n"/>
      <c r="E349" s="9" t="n"/>
      <c r="F349" s="9" t="n"/>
      <c r="G349" s="10" t="n"/>
      <c r="H349" s="9" t="n"/>
      <c r="I349" s="9" t="n"/>
      <c r="J349" s="9" t="n"/>
      <c r="K349" s="9" t="n"/>
      <c r="L349">
        <f>IF($A349="","",IF($P349="Yes","Disputed / Review",IF($I349&lt;&gt;"Yes","Not Reimbursable",IF($M349&lt;=0.004,"Pending",IF($N349&lt;=0.004,"Reimbursed","Partially Reimbursed")))))</f>
        <v/>
      </c>
      <c r="M349" s="12">
        <f>IF($A349="",0,SUMIF('Family Contributions'!$I$4:$I$1003,$A349,'Family Contributions'!$G$4:$G$1003))</f>
        <v/>
      </c>
      <c r="N349" s="12">
        <f>IF($A349="",0,IF($I349="Yes",IF(ISNUMBER($G349),$G349,0)-$M349,0))</f>
        <v/>
      </c>
      <c r="O349" s="9" t="n"/>
      <c r="P349" s="9" t="n"/>
    </row>
    <row r="350">
      <c r="A350" s="9" t="n"/>
      <c r="B350" s="19" t="n"/>
      <c r="C350" s="9" t="n"/>
      <c r="D350" s="9" t="n"/>
      <c r="E350" s="9" t="n"/>
      <c r="F350" s="9" t="n"/>
      <c r="G350" s="10" t="n"/>
      <c r="H350" s="9" t="n"/>
      <c r="I350" s="9" t="n"/>
      <c r="J350" s="9" t="n"/>
      <c r="K350" s="9" t="n"/>
      <c r="L350">
        <f>IF($A350="","",IF($P350="Yes","Disputed / Review",IF($I350&lt;&gt;"Yes","Not Reimbursable",IF($M350&lt;=0.004,"Pending",IF($N350&lt;=0.004,"Reimbursed","Partially Reimbursed")))))</f>
        <v/>
      </c>
      <c r="M350" s="12">
        <f>IF($A350="",0,SUMIF('Family Contributions'!$I$4:$I$1003,$A350,'Family Contributions'!$G$4:$G$1003))</f>
        <v/>
      </c>
      <c r="N350" s="12">
        <f>IF($A350="",0,IF($I350="Yes",IF(ISNUMBER($G350),$G350,0)-$M350,0))</f>
        <v/>
      </c>
      <c r="O350" s="9" t="n"/>
      <c r="P350" s="9" t="n"/>
    </row>
    <row r="351">
      <c r="A351" s="9" t="n"/>
      <c r="B351" s="19" t="n"/>
      <c r="C351" s="9" t="n"/>
      <c r="D351" s="9" t="n"/>
      <c r="E351" s="9" t="n"/>
      <c r="F351" s="9" t="n"/>
      <c r="G351" s="10" t="n"/>
      <c r="H351" s="9" t="n"/>
      <c r="I351" s="9" t="n"/>
      <c r="J351" s="9" t="n"/>
      <c r="K351" s="9" t="n"/>
      <c r="L351">
        <f>IF($A351="","",IF($P351="Yes","Disputed / Review",IF($I351&lt;&gt;"Yes","Not Reimbursable",IF($M351&lt;=0.004,"Pending",IF($N351&lt;=0.004,"Reimbursed","Partially Reimbursed")))))</f>
        <v/>
      </c>
      <c r="M351" s="12">
        <f>IF($A351="",0,SUMIF('Family Contributions'!$I$4:$I$1003,$A351,'Family Contributions'!$G$4:$G$1003))</f>
        <v/>
      </c>
      <c r="N351" s="12">
        <f>IF($A351="",0,IF($I351="Yes",IF(ISNUMBER($G351),$G351,0)-$M351,0))</f>
        <v/>
      </c>
      <c r="O351" s="9" t="n"/>
      <c r="P351" s="9" t="n"/>
    </row>
    <row r="352">
      <c r="A352" s="9" t="n"/>
      <c r="B352" s="19" t="n"/>
      <c r="C352" s="9" t="n"/>
      <c r="D352" s="9" t="n"/>
      <c r="E352" s="9" t="n"/>
      <c r="F352" s="9" t="n"/>
      <c r="G352" s="10" t="n"/>
      <c r="H352" s="9" t="n"/>
      <c r="I352" s="9" t="n"/>
      <c r="J352" s="9" t="n"/>
      <c r="K352" s="9" t="n"/>
      <c r="L352">
        <f>IF($A352="","",IF($P352="Yes","Disputed / Review",IF($I352&lt;&gt;"Yes","Not Reimbursable",IF($M352&lt;=0.004,"Pending",IF($N352&lt;=0.004,"Reimbursed","Partially Reimbursed")))))</f>
        <v/>
      </c>
      <c r="M352" s="12">
        <f>IF($A352="",0,SUMIF('Family Contributions'!$I$4:$I$1003,$A352,'Family Contributions'!$G$4:$G$1003))</f>
        <v/>
      </c>
      <c r="N352" s="12">
        <f>IF($A352="",0,IF($I352="Yes",IF(ISNUMBER($G352),$G352,0)-$M352,0))</f>
        <v/>
      </c>
      <c r="O352" s="9" t="n"/>
      <c r="P352" s="9" t="n"/>
    </row>
    <row r="353">
      <c r="A353" s="9" t="n"/>
      <c r="B353" s="19" t="n"/>
      <c r="C353" s="9" t="n"/>
      <c r="D353" s="9" t="n"/>
      <c r="E353" s="9" t="n"/>
      <c r="F353" s="9" t="n"/>
      <c r="G353" s="10" t="n"/>
      <c r="H353" s="9" t="n"/>
      <c r="I353" s="9" t="n"/>
      <c r="J353" s="9" t="n"/>
      <c r="K353" s="9" t="n"/>
      <c r="L353">
        <f>IF($A353="","",IF($P353="Yes","Disputed / Review",IF($I353&lt;&gt;"Yes","Not Reimbursable",IF($M353&lt;=0.004,"Pending",IF($N353&lt;=0.004,"Reimbursed","Partially Reimbursed")))))</f>
        <v/>
      </c>
      <c r="M353" s="12">
        <f>IF($A353="",0,SUMIF('Family Contributions'!$I$4:$I$1003,$A353,'Family Contributions'!$G$4:$G$1003))</f>
        <v/>
      </c>
      <c r="N353" s="12">
        <f>IF($A353="",0,IF($I353="Yes",IF(ISNUMBER($G353),$G353,0)-$M353,0))</f>
        <v/>
      </c>
      <c r="O353" s="9" t="n"/>
      <c r="P353" s="9" t="n"/>
    </row>
    <row r="354">
      <c r="A354" s="9" t="n"/>
      <c r="B354" s="19" t="n"/>
      <c r="C354" s="9" t="n"/>
      <c r="D354" s="9" t="n"/>
      <c r="E354" s="9" t="n"/>
      <c r="F354" s="9" t="n"/>
      <c r="G354" s="10" t="n"/>
      <c r="H354" s="9" t="n"/>
      <c r="I354" s="9" t="n"/>
      <c r="J354" s="9" t="n"/>
      <c r="K354" s="9" t="n"/>
      <c r="L354">
        <f>IF($A354="","",IF($P354="Yes","Disputed / Review",IF($I354&lt;&gt;"Yes","Not Reimbursable",IF($M354&lt;=0.004,"Pending",IF($N354&lt;=0.004,"Reimbursed","Partially Reimbursed")))))</f>
        <v/>
      </c>
      <c r="M354" s="12">
        <f>IF($A354="",0,SUMIF('Family Contributions'!$I$4:$I$1003,$A354,'Family Contributions'!$G$4:$G$1003))</f>
        <v/>
      </c>
      <c r="N354" s="12">
        <f>IF($A354="",0,IF($I354="Yes",IF(ISNUMBER($G354),$G354,0)-$M354,0))</f>
        <v/>
      </c>
      <c r="O354" s="9" t="n"/>
      <c r="P354" s="9" t="n"/>
    </row>
    <row r="355">
      <c r="A355" s="9" t="n"/>
      <c r="B355" s="19" t="n"/>
      <c r="C355" s="9" t="n"/>
      <c r="D355" s="9" t="n"/>
      <c r="E355" s="9" t="n"/>
      <c r="F355" s="9" t="n"/>
      <c r="G355" s="10" t="n"/>
      <c r="H355" s="9" t="n"/>
      <c r="I355" s="9" t="n"/>
      <c r="J355" s="9" t="n"/>
      <c r="K355" s="9" t="n"/>
      <c r="L355">
        <f>IF($A355="","",IF($P355="Yes","Disputed / Review",IF($I355&lt;&gt;"Yes","Not Reimbursable",IF($M355&lt;=0.004,"Pending",IF($N355&lt;=0.004,"Reimbursed","Partially Reimbursed")))))</f>
        <v/>
      </c>
      <c r="M355" s="12">
        <f>IF($A355="",0,SUMIF('Family Contributions'!$I$4:$I$1003,$A355,'Family Contributions'!$G$4:$G$1003))</f>
        <v/>
      </c>
      <c r="N355" s="12">
        <f>IF($A355="",0,IF($I355="Yes",IF(ISNUMBER($G355),$G355,0)-$M355,0))</f>
        <v/>
      </c>
      <c r="O355" s="9" t="n"/>
      <c r="P355" s="9" t="n"/>
    </row>
    <row r="356">
      <c r="A356" s="9" t="n"/>
      <c r="B356" s="19" t="n"/>
      <c r="C356" s="9" t="n"/>
      <c r="D356" s="9" t="n"/>
      <c r="E356" s="9" t="n"/>
      <c r="F356" s="9" t="n"/>
      <c r="G356" s="10" t="n"/>
      <c r="H356" s="9" t="n"/>
      <c r="I356" s="9" t="n"/>
      <c r="J356" s="9" t="n"/>
      <c r="K356" s="9" t="n"/>
      <c r="L356">
        <f>IF($A356="","",IF($P356="Yes","Disputed / Review",IF($I356&lt;&gt;"Yes","Not Reimbursable",IF($M356&lt;=0.004,"Pending",IF($N356&lt;=0.004,"Reimbursed","Partially Reimbursed")))))</f>
        <v/>
      </c>
      <c r="M356" s="12">
        <f>IF($A356="",0,SUMIF('Family Contributions'!$I$4:$I$1003,$A356,'Family Contributions'!$G$4:$G$1003))</f>
        <v/>
      </c>
      <c r="N356" s="12">
        <f>IF($A356="",0,IF($I356="Yes",IF(ISNUMBER($G356),$G356,0)-$M356,0))</f>
        <v/>
      </c>
      <c r="O356" s="9" t="n"/>
      <c r="P356" s="9" t="n"/>
    </row>
    <row r="357">
      <c r="A357" s="9" t="n"/>
      <c r="B357" s="19" t="n"/>
      <c r="C357" s="9" t="n"/>
      <c r="D357" s="9" t="n"/>
      <c r="E357" s="9" t="n"/>
      <c r="F357" s="9" t="n"/>
      <c r="G357" s="10" t="n"/>
      <c r="H357" s="9" t="n"/>
      <c r="I357" s="9" t="n"/>
      <c r="J357" s="9" t="n"/>
      <c r="K357" s="9" t="n"/>
      <c r="L357">
        <f>IF($A357="","",IF($P357="Yes","Disputed / Review",IF($I357&lt;&gt;"Yes","Not Reimbursable",IF($M357&lt;=0.004,"Pending",IF($N357&lt;=0.004,"Reimbursed","Partially Reimbursed")))))</f>
        <v/>
      </c>
      <c r="M357" s="12">
        <f>IF($A357="",0,SUMIF('Family Contributions'!$I$4:$I$1003,$A357,'Family Contributions'!$G$4:$G$1003))</f>
        <v/>
      </c>
      <c r="N357" s="12">
        <f>IF($A357="",0,IF($I357="Yes",IF(ISNUMBER($G357),$G357,0)-$M357,0))</f>
        <v/>
      </c>
      <c r="O357" s="9" t="n"/>
      <c r="P357" s="9" t="n"/>
    </row>
    <row r="358">
      <c r="A358" s="9" t="n"/>
      <c r="B358" s="19" t="n"/>
      <c r="C358" s="9" t="n"/>
      <c r="D358" s="9" t="n"/>
      <c r="E358" s="9" t="n"/>
      <c r="F358" s="9" t="n"/>
      <c r="G358" s="10" t="n"/>
      <c r="H358" s="9" t="n"/>
      <c r="I358" s="9" t="n"/>
      <c r="J358" s="9" t="n"/>
      <c r="K358" s="9" t="n"/>
      <c r="L358">
        <f>IF($A358="","",IF($P358="Yes","Disputed / Review",IF($I358&lt;&gt;"Yes","Not Reimbursable",IF($M358&lt;=0.004,"Pending",IF($N358&lt;=0.004,"Reimbursed","Partially Reimbursed")))))</f>
        <v/>
      </c>
      <c r="M358" s="12">
        <f>IF($A358="",0,SUMIF('Family Contributions'!$I$4:$I$1003,$A358,'Family Contributions'!$G$4:$G$1003))</f>
        <v/>
      </c>
      <c r="N358" s="12">
        <f>IF($A358="",0,IF($I358="Yes",IF(ISNUMBER($G358),$G358,0)-$M358,0))</f>
        <v/>
      </c>
      <c r="O358" s="9" t="n"/>
      <c r="P358" s="9" t="n"/>
    </row>
    <row r="359">
      <c r="A359" s="9" t="n"/>
      <c r="B359" s="19" t="n"/>
      <c r="C359" s="9" t="n"/>
      <c r="D359" s="9" t="n"/>
      <c r="E359" s="9" t="n"/>
      <c r="F359" s="9" t="n"/>
      <c r="G359" s="10" t="n"/>
      <c r="H359" s="9" t="n"/>
      <c r="I359" s="9" t="n"/>
      <c r="J359" s="9" t="n"/>
      <c r="K359" s="9" t="n"/>
      <c r="L359">
        <f>IF($A359="","",IF($P359="Yes","Disputed / Review",IF($I359&lt;&gt;"Yes","Not Reimbursable",IF($M359&lt;=0.004,"Pending",IF($N359&lt;=0.004,"Reimbursed","Partially Reimbursed")))))</f>
        <v/>
      </c>
      <c r="M359" s="12">
        <f>IF($A359="",0,SUMIF('Family Contributions'!$I$4:$I$1003,$A359,'Family Contributions'!$G$4:$G$1003))</f>
        <v/>
      </c>
      <c r="N359" s="12">
        <f>IF($A359="",0,IF($I359="Yes",IF(ISNUMBER($G359),$G359,0)-$M359,0))</f>
        <v/>
      </c>
      <c r="O359" s="9" t="n"/>
      <c r="P359" s="9" t="n"/>
    </row>
    <row r="360">
      <c r="A360" s="9" t="n"/>
      <c r="B360" s="19" t="n"/>
      <c r="C360" s="9" t="n"/>
      <c r="D360" s="9" t="n"/>
      <c r="E360" s="9" t="n"/>
      <c r="F360" s="9" t="n"/>
      <c r="G360" s="10" t="n"/>
      <c r="H360" s="9" t="n"/>
      <c r="I360" s="9" t="n"/>
      <c r="J360" s="9" t="n"/>
      <c r="K360" s="9" t="n"/>
      <c r="L360">
        <f>IF($A360="","",IF($P360="Yes","Disputed / Review",IF($I360&lt;&gt;"Yes","Not Reimbursable",IF($M360&lt;=0.004,"Pending",IF($N360&lt;=0.004,"Reimbursed","Partially Reimbursed")))))</f>
        <v/>
      </c>
      <c r="M360" s="12">
        <f>IF($A360="",0,SUMIF('Family Contributions'!$I$4:$I$1003,$A360,'Family Contributions'!$G$4:$G$1003))</f>
        <v/>
      </c>
      <c r="N360" s="12">
        <f>IF($A360="",0,IF($I360="Yes",IF(ISNUMBER($G360),$G360,0)-$M360,0))</f>
        <v/>
      </c>
      <c r="O360" s="9" t="n"/>
      <c r="P360" s="9" t="n"/>
    </row>
    <row r="361">
      <c r="A361" s="9" t="n"/>
      <c r="B361" s="19" t="n"/>
      <c r="C361" s="9" t="n"/>
      <c r="D361" s="9" t="n"/>
      <c r="E361" s="9" t="n"/>
      <c r="F361" s="9" t="n"/>
      <c r="G361" s="10" t="n"/>
      <c r="H361" s="9" t="n"/>
      <c r="I361" s="9" t="n"/>
      <c r="J361" s="9" t="n"/>
      <c r="K361" s="9" t="n"/>
      <c r="L361">
        <f>IF($A361="","",IF($P361="Yes","Disputed / Review",IF($I361&lt;&gt;"Yes","Not Reimbursable",IF($M361&lt;=0.004,"Pending",IF($N361&lt;=0.004,"Reimbursed","Partially Reimbursed")))))</f>
        <v/>
      </c>
      <c r="M361" s="12">
        <f>IF($A361="",0,SUMIF('Family Contributions'!$I$4:$I$1003,$A361,'Family Contributions'!$G$4:$G$1003))</f>
        <v/>
      </c>
      <c r="N361" s="12">
        <f>IF($A361="",0,IF($I361="Yes",IF(ISNUMBER($G361),$G361,0)-$M361,0))</f>
        <v/>
      </c>
      <c r="O361" s="9" t="n"/>
      <c r="P361" s="9" t="n"/>
    </row>
    <row r="362">
      <c r="A362" s="9" t="n"/>
      <c r="B362" s="19" t="n"/>
      <c r="C362" s="9" t="n"/>
      <c r="D362" s="9" t="n"/>
      <c r="E362" s="9" t="n"/>
      <c r="F362" s="9" t="n"/>
      <c r="G362" s="10" t="n"/>
      <c r="H362" s="9" t="n"/>
      <c r="I362" s="9" t="n"/>
      <c r="J362" s="9" t="n"/>
      <c r="K362" s="9" t="n"/>
      <c r="L362">
        <f>IF($A362="","",IF($P362="Yes","Disputed / Review",IF($I362&lt;&gt;"Yes","Not Reimbursable",IF($M362&lt;=0.004,"Pending",IF($N362&lt;=0.004,"Reimbursed","Partially Reimbursed")))))</f>
        <v/>
      </c>
      <c r="M362" s="12">
        <f>IF($A362="",0,SUMIF('Family Contributions'!$I$4:$I$1003,$A362,'Family Contributions'!$G$4:$G$1003))</f>
        <v/>
      </c>
      <c r="N362" s="12">
        <f>IF($A362="",0,IF($I362="Yes",IF(ISNUMBER($G362),$G362,0)-$M362,0))</f>
        <v/>
      </c>
      <c r="O362" s="9" t="n"/>
      <c r="P362" s="9" t="n"/>
    </row>
    <row r="363">
      <c r="A363" s="9" t="n"/>
      <c r="B363" s="19" t="n"/>
      <c r="C363" s="9" t="n"/>
      <c r="D363" s="9" t="n"/>
      <c r="E363" s="9" t="n"/>
      <c r="F363" s="9" t="n"/>
      <c r="G363" s="10" t="n"/>
      <c r="H363" s="9" t="n"/>
      <c r="I363" s="9" t="n"/>
      <c r="J363" s="9" t="n"/>
      <c r="K363" s="9" t="n"/>
      <c r="L363">
        <f>IF($A363="","",IF($P363="Yes","Disputed / Review",IF($I363&lt;&gt;"Yes","Not Reimbursable",IF($M363&lt;=0.004,"Pending",IF($N363&lt;=0.004,"Reimbursed","Partially Reimbursed")))))</f>
        <v/>
      </c>
      <c r="M363" s="12">
        <f>IF($A363="",0,SUMIF('Family Contributions'!$I$4:$I$1003,$A363,'Family Contributions'!$G$4:$G$1003))</f>
        <v/>
      </c>
      <c r="N363" s="12">
        <f>IF($A363="",0,IF($I363="Yes",IF(ISNUMBER($G363),$G363,0)-$M363,0))</f>
        <v/>
      </c>
      <c r="O363" s="9" t="n"/>
      <c r="P363" s="9" t="n"/>
    </row>
    <row r="364">
      <c r="A364" s="9" t="n"/>
      <c r="B364" s="19" t="n"/>
      <c r="C364" s="9" t="n"/>
      <c r="D364" s="9" t="n"/>
      <c r="E364" s="9" t="n"/>
      <c r="F364" s="9" t="n"/>
      <c r="G364" s="10" t="n"/>
      <c r="H364" s="9" t="n"/>
      <c r="I364" s="9" t="n"/>
      <c r="J364" s="9" t="n"/>
      <c r="K364" s="9" t="n"/>
      <c r="L364">
        <f>IF($A364="","",IF($P364="Yes","Disputed / Review",IF($I364&lt;&gt;"Yes","Not Reimbursable",IF($M364&lt;=0.004,"Pending",IF($N364&lt;=0.004,"Reimbursed","Partially Reimbursed")))))</f>
        <v/>
      </c>
      <c r="M364" s="12">
        <f>IF($A364="",0,SUMIF('Family Contributions'!$I$4:$I$1003,$A364,'Family Contributions'!$G$4:$G$1003))</f>
        <v/>
      </c>
      <c r="N364" s="12">
        <f>IF($A364="",0,IF($I364="Yes",IF(ISNUMBER($G364),$G364,0)-$M364,0))</f>
        <v/>
      </c>
      <c r="O364" s="9" t="n"/>
      <c r="P364" s="9" t="n"/>
    </row>
    <row r="365">
      <c r="A365" s="9" t="n"/>
      <c r="B365" s="19" t="n"/>
      <c r="C365" s="9" t="n"/>
      <c r="D365" s="9" t="n"/>
      <c r="E365" s="9" t="n"/>
      <c r="F365" s="9" t="n"/>
      <c r="G365" s="10" t="n"/>
      <c r="H365" s="9" t="n"/>
      <c r="I365" s="9" t="n"/>
      <c r="J365" s="9" t="n"/>
      <c r="K365" s="9" t="n"/>
      <c r="L365">
        <f>IF($A365="","",IF($P365="Yes","Disputed / Review",IF($I365&lt;&gt;"Yes","Not Reimbursable",IF($M365&lt;=0.004,"Pending",IF($N365&lt;=0.004,"Reimbursed","Partially Reimbursed")))))</f>
        <v/>
      </c>
      <c r="M365" s="12">
        <f>IF($A365="",0,SUMIF('Family Contributions'!$I$4:$I$1003,$A365,'Family Contributions'!$G$4:$G$1003))</f>
        <v/>
      </c>
      <c r="N365" s="12">
        <f>IF($A365="",0,IF($I365="Yes",IF(ISNUMBER($G365),$G365,0)-$M365,0))</f>
        <v/>
      </c>
      <c r="O365" s="9" t="n"/>
      <c r="P365" s="9" t="n"/>
    </row>
    <row r="366">
      <c r="A366" s="9" t="n"/>
      <c r="B366" s="19" t="n"/>
      <c r="C366" s="9" t="n"/>
      <c r="D366" s="9" t="n"/>
      <c r="E366" s="9" t="n"/>
      <c r="F366" s="9" t="n"/>
      <c r="G366" s="10" t="n"/>
      <c r="H366" s="9" t="n"/>
      <c r="I366" s="9" t="n"/>
      <c r="J366" s="9" t="n"/>
      <c r="K366" s="9" t="n"/>
      <c r="L366">
        <f>IF($A366="","",IF($P366="Yes","Disputed / Review",IF($I366&lt;&gt;"Yes","Not Reimbursable",IF($M366&lt;=0.004,"Pending",IF($N366&lt;=0.004,"Reimbursed","Partially Reimbursed")))))</f>
        <v/>
      </c>
      <c r="M366" s="12">
        <f>IF($A366="",0,SUMIF('Family Contributions'!$I$4:$I$1003,$A366,'Family Contributions'!$G$4:$G$1003))</f>
        <v/>
      </c>
      <c r="N366" s="12">
        <f>IF($A366="",0,IF($I366="Yes",IF(ISNUMBER($G366),$G366,0)-$M366,0))</f>
        <v/>
      </c>
      <c r="O366" s="9" t="n"/>
      <c r="P366" s="9" t="n"/>
    </row>
    <row r="367">
      <c r="A367" s="9" t="n"/>
      <c r="B367" s="19" t="n"/>
      <c r="C367" s="9" t="n"/>
      <c r="D367" s="9" t="n"/>
      <c r="E367" s="9" t="n"/>
      <c r="F367" s="9" t="n"/>
      <c r="G367" s="10" t="n"/>
      <c r="H367" s="9" t="n"/>
      <c r="I367" s="9" t="n"/>
      <c r="J367" s="9" t="n"/>
      <c r="K367" s="9" t="n"/>
      <c r="L367">
        <f>IF($A367="","",IF($P367="Yes","Disputed / Review",IF($I367&lt;&gt;"Yes","Not Reimbursable",IF($M367&lt;=0.004,"Pending",IF($N367&lt;=0.004,"Reimbursed","Partially Reimbursed")))))</f>
        <v/>
      </c>
      <c r="M367" s="12">
        <f>IF($A367="",0,SUMIF('Family Contributions'!$I$4:$I$1003,$A367,'Family Contributions'!$G$4:$G$1003))</f>
        <v/>
      </c>
      <c r="N367" s="12">
        <f>IF($A367="",0,IF($I367="Yes",IF(ISNUMBER($G367),$G367,0)-$M367,0))</f>
        <v/>
      </c>
      <c r="O367" s="9" t="n"/>
      <c r="P367" s="9" t="n"/>
    </row>
    <row r="368">
      <c r="A368" s="9" t="n"/>
      <c r="B368" s="19" t="n"/>
      <c r="C368" s="9" t="n"/>
      <c r="D368" s="9" t="n"/>
      <c r="E368" s="9" t="n"/>
      <c r="F368" s="9" t="n"/>
      <c r="G368" s="10" t="n"/>
      <c r="H368" s="9" t="n"/>
      <c r="I368" s="9" t="n"/>
      <c r="J368" s="9" t="n"/>
      <c r="K368" s="9" t="n"/>
      <c r="L368">
        <f>IF($A368="","",IF($P368="Yes","Disputed / Review",IF($I368&lt;&gt;"Yes","Not Reimbursable",IF($M368&lt;=0.004,"Pending",IF($N368&lt;=0.004,"Reimbursed","Partially Reimbursed")))))</f>
        <v/>
      </c>
      <c r="M368" s="12">
        <f>IF($A368="",0,SUMIF('Family Contributions'!$I$4:$I$1003,$A368,'Family Contributions'!$G$4:$G$1003))</f>
        <v/>
      </c>
      <c r="N368" s="12">
        <f>IF($A368="",0,IF($I368="Yes",IF(ISNUMBER($G368),$G368,0)-$M368,0))</f>
        <v/>
      </c>
      <c r="O368" s="9" t="n"/>
      <c r="P368" s="9" t="n"/>
    </row>
    <row r="369">
      <c r="A369" s="9" t="n"/>
      <c r="B369" s="19" t="n"/>
      <c r="C369" s="9" t="n"/>
      <c r="D369" s="9" t="n"/>
      <c r="E369" s="9" t="n"/>
      <c r="F369" s="9" t="n"/>
      <c r="G369" s="10" t="n"/>
      <c r="H369" s="9" t="n"/>
      <c r="I369" s="9" t="n"/>
      <c r="J369" s="9" t="n"/>
      <c r="K369" s="9" t="n"/>
      <c r="L369">
        <f>IF($A369="","",IF($P369="Yes","Disputed / Review",IF($I369&lt;&gt;"Yes","Not Reimbursable",IF($M369&lt;=0.004,"Pending",IF($N369&lt;=0.004,"Reimbursed","Partially Reimbursed")))))</f>
        <v/>
      </c>
      <c r="M369" s="12">
        <f>IF($A369="",0,SUMIF('Family Contributions'!$I$4:$I$1003,$A369,'Family Contributions'!$G$4:$G$1003))</f>
        <v/>
      </c>
      <c r="N369" s="12">
        <f>IF($A369="",0,IF($I369="Yes",IF(ISNUMBER($G369),$G369,0)-$M369,0))</f>
        <v/>
      </c>
      <c r="O369" s="9" t="n"/>
      <c r="P369" s="9" t="n"/>
    </row>
    <row r="370">
      <c r="A370" s="9" t="n"/>
      <c r="B370" s="19" t="n"/>
      <c r="C370" s="9" t="n"/>
      <c r="D370" s="9" t="n"/>
      <c r="E370" s="9" t="n"/>
      <c r="F370" s="9" t="n"/>
      <c r="G370" s="10" t="n"/>
      <c r="H370" s="9" t="n"/>
      <c r="I370" s="9" t="n"/>
      <c r="J370" s="9" t="n"/>
      <c r="K370" s="9" t="n"/>
      <c r="L370">
        <f>IF($A370="","",IF($P370="Yes","Disputed / Review",IF($I370&lt;&gt;"Yes","Not Reimbursable",IF($M370&lt;=0.004,"Pending",IF($N370&lt;=0.004,"Reimbursed","Partially Reimbursed")))))</f>
        <v/>
      </c>
      <c r="M370" s="12">
        <f>IF($A370="",0,SUMIF('Family Contributions'!$I$4:$I$1003,$A370,'Family Contributions'!$G$4:$G$1003))</f>
        <v/>
      </c>
      <c r="N370" s="12">
        <f>IF($A370="",0,IF($I370="Yes",IF(ISNUMBER($G370),$G370,0)-$M370,0))</f>
        <v/>
      </c>
      <c r="O370" s="9" t="n"/>
      <c r="P370" s="9" t="n"/>
    </row>
    <row r="371">
      <c r="A371" s="9" t="n"/>
      <c r="B371" s="19" t="n"/>
      <c r="C371" s="9" t="n"/>
      <c r="D371" s="9" t="n"/>
      <c r="E371" s="9" t="n"/>
      <c r="F371" s="9" t="n"/>
      <c r="G371" s="10" t="n"/>
      <c r="H371" s="9" t="n"/>
      <c r="I371" s="9" t="n"/>
      <c r="J371" s="9" t="n"/>
      <c r="K371" s="9" t="n"/>
      <c r="L371">
        <f>IF($A371="","",IF($P371="Yes","Disputed / Review",IF($I371&lt;&gt;"Yes","Not Reimbursable",IF($M371&lt;=0.004,"Pending",IF($N371&lt;=0.004,"Reimbursed","Partially Reimbursed")))))</f>
        <v/>
      </c>
      <c r="M371" s="12">
        <f>IF($A371="",0,SUMIF('Family Contributions'!$I$4:$I$1003,$A371,'Family Contributions'!$G$4:$G$1003))</f>
        <v/>
      </c>
      <c r="N371" s="12">
        <f>IF($A371="",0,IF($I371="Yes",IF(ISNUMBER($G371),$G371,0)-$M371,0))</f>
        <v/>
      </c>
      <c r="O371" s="9" t="n"/>
      <c r="P371" s="9" t="n"/>
    </row>
    <row r="372">
      <c r="A372" s="9" t="n"/>
      <c r="B372" s="19" t="n"/>
      <c r="C372" s="9" t="n"/>
      <c r="D372" s="9" t="n"/>
      <c r="E372" s="9" t="n"/>
      <c r="F372" s="9" t="n"/>
      <c r="G372" s="10" t="n"/>
      <c r="H372" s="9" t="n"/>
      <c r="I372" s="9" t="n"/>
      <c r="J372" s="9" t="n"/>
      <c r="K372" s="9" t="n"/>
      <c r="L372">
        <f>IF($A372="","",IF($P372="Yes","Disputed / Review",IF($I372&lt;&gt;"Yes","Not Reimbursable",IF($M372&lt;=0.004,"Pending",IF($N372&lt;=0.004,"Reimbursed","Partially Reimbursed")))))</f>
        <v/>
      </c>
      <c r="M372" s="12">
        <f>IF($A372="",0,SUMIF('Family Contributions'!$I$4:$I$1003,$A372,'Family Contributions'!$G$4:$G$1003))</f>
        <v/>
      </c>
      <c r="N372" s="12">
        <f>IF($A372="",0,IF($I372="Yes",IF(ISNUMBER($G372),$G372,0)-$M372,0))</f>
        <v/>
      </c>
      <c r="O372" s="9" t="n"/>
      <c r="P372" s="9" t="n"/>
    </row>
    <row r="373">
      <c r="A373" s="9" t="n"/>
      <c r="B373" s="19" t="n"/>
      <c r="C373" s="9" t="n"/>
      <c r="D373" s="9" t="n"/>
      <c r="E373" s="9" t="n"/>
      <c r="F373" s="9" t="n"/>
      <c r="G373" s="10" t="n"/>
      <c r="H373" s="9" t="n"/>
      <c r="I373" s="9" t="n"/>
      <c r="J373" s="9" t="n"/>
      <c r="K373" s="9" t="n"/>
      <c r="L373">
        <f>IF($A373="","",IF($P373="Yes","Disputed / Review",IF($I373&lt;&gt;"Yes","Not Reimbursable",IF($M373&lt;=0.004,"Pending",IF($N373&lt;=0.004,"Reimbursed","Partially Reimbursed")))))</f>
        <v/>
      </c>
      <c r="M373" s="12">
        <f>IF($A373="",0,SUMIF('Family Contributions'!$I$4:$I$1003,$A373,'Family Contributions'!$G$4:$G$1003))</f>
        <v/>
      </c>
      <c r="N373" s="12">
        <f>IF($A373="",0,IF($I373="Yes",IF(ISNUMBER($G373),$G373,0)-$M373,0))</f>
        <v/>
      </c>
      <c r="O373" s="9" t="n"/>
      <c r="P373" s="9" t="n"/>
    </row>
    <row r="374">
      <c r="A374" s="9" t="n"/>
      <c r="B374" s="19" t="n"/>
      <c r="C374" s="9" t="n"/>
      <c r="D374" s="9" t="n"/>
      <c r="E374" s="9" t="n"/>
      <c r="F374" s="9" t="n"/>
      <c r="G374" s="10" t="n"/>
      <c r="H374" s="9" t="n"/>
      <c r="I374" s="9" t="n"/>
      <c r="J374" s="9" t="n"/>
      <c r="K374" s="9" t="n"/>
      <c r="L374">
        <f>IF($A374="","",IF($P374="Yes","Disputed / Review",IF($I374&lt;&gt;"Yes","Not Reimbursable",IF($M374&lt;=0.004,"Pending",IF($N374&lt;=0.004,"Reimbursed","Partially Reimbursed")))))</f>
        <v/>
      </c>
      <c r="M374" s="12">
        <f>IF($A374="",0,SUMIF('Family Contributions'!$I$4:$I$1003,$A374,'Family Contributions'!$G$4:$G$1003))</f>
        <v/>
      </c>
      <c r="N374" s="12">
        <f>IF($A374="",0,IF($I374="Yes",IF(ISNUMBER($G374),$G374,0)-$M374,0))</f>
        <v/>
      </c>
      <c r="O374" s="9" t="n"/>
      <c r="P374" s="9" t="n"/>
    </row>
    <row r="375">
      <c r="A375" s="9" t="n"/>
      <c r="B375" s="19" t="n"/>
      <c r="C375" s="9" t="n"/>
      <c r="D375" s="9" t="n"/>
      <c r="E375" s="9" t="n"/>
      <c r="F375" s="9" t="n"/>
      <c r="G375" s="10" t="n"/>
      <c r="H375" s="9" t="n"/>
      <c r="I375" s="9" t="n"/>
      <c r="J375" s="9" t="n"/>
      <c r="K375" s="9" t="n"/>
      <c r="L375">
        <f>IF($A375="","",IF($P375="Yes","Disputed / Review",IF($I375&lt;&gt;"Yes","Not Reimbursable",IF($M375&lt;=0.004,"Pending",IF($N375&lt;=0.004,"Reimbursed","Partially Reimbursed")))))</f>
        <v/>
      </c>
      <c r="M375" s="12">
        <f>IF($A375="",0,SUMIF('Family Contributions'!$I$4:$I$1003,$A375,'Family Contributions'!$G$4:$G$1003))</f>
        <v/>
      </c>
      <c r="N375" s="12">
        <f>IF($A375="",0,IF($I375="Yes",IF(ISNUMBER($G375),$G375,0)-$M375,0))</f>
        <v/>
      </c>
      <c r="O375" s="9" t="n"/>
      <c r="P375" s="9" t="n"/>
    </row>
    <row r="376">
      <c r="A376" s="9" t="n"/>
      <c r="B376" s="19" t="n"/>
      <c r="C376" s="9" t="n"/>
      <c r="D376" s="9" t="n"/>
      <c r="E376" s="9" t="n"/>
      <c r="F376" s="9" t="n"/>
      <c r="G376" s="10" t="n"/>
      <c r="H376" s="9" t="n"/>
      <c r="I376" s="9" t="n"/>
      <c r="J376" s="9" t="n"/>
      <c r="K376" s="9" t="n"/>
      <c r="L376">
        <f>IF($A376="","",IF($P376="Yes","Disputed / Review",IF($I376&lt;&gt;"Yes","Not Reimbursable",IF($M376&lt;=0.004,"Pending",IF($N376&lt;=0.004,"Reimbursed","Partially Reimbursed")))))</f>
        <v/>
      </c>
      <c r="M376" s="12">
        <f>IF($A376="",0,SUMIF('Family Contributions'!$I$4:$I$1003,$A376,'Family Contributions'!$G$4:$G$1003))</f>
        <v/>
      </c>
      <c r="N376" s="12">
        <f>IF($A376="",0,IF($I376="Yes",IF(ISNUMBER($G376),$G376,0)-$M376,0))</f>
        <v/>
      </c>
      <c r="O376" s="9" t="n"/>
      <c r="P376" s="9" t="n"/>
    </row>
    <row r="377">
      <c r="A377" s="9" t="n"/>
      <c r="B377" s="19" t="n"/>
      <c r="C377" s="9" t="n"/>
      <c r="D377" s="9" t="n"/>
      <c r="E377" s="9" t="n"/>
      <c r="F377" s="9" t="n"/>
      <c r="G377" s="10" t="n"/>
      <c r="H377" s="9" t="n"/>
      <c r="I377" s="9" t="n"/>
      <c r="J377" s="9" t="n"/>
      <c r="K377" s="9" t="n"/>
      <c r="L377">
        <f>IF($A377="","",IF($P377="Yes","Disputed / Review",IF($I377&lt;&gt;"Yes","Not Reimbursable",IF($M377&lt;=0.004,"Pending",IF($N377&lt;=0.004,"Reimbursed","Partially Reimbursed")))))</f>
        <v/>
      </c>
      <c r="M377" s="12">
        <f>IF($A377="",0,SUMIF('Family Contributions'!$I$4:$I$1003,$A377,'Family Contributions'!$G$4:$G$1003))</f>
        <v/>
      </c>
      <c r="N377" s="12">
        <f>IF($A377="",0,IF($I377="Yes",IF(ISNUMBER($G377),$G377,0)-$M377,0))</f>
        <v/>
      </c>
      <c r="O377" s="9" t="n"/>
      <c r="P377" s="9" t="n"/>
    </row>
    <row r="378">
      <c r="A378" s="9" t="n"/>
      <c r="B378" s="19" t="n"/>
      <c r="C378" s="9" t="n"/>
      <c r="D378" s="9" t="n"/>
      <c r="E378" s="9" t="n"/>
      <c r="F378" s="9" t="n"/>
      <c r="G378" s="10" t="n"/>
      <c r="H378" s="9" t="n"/>
      <c r="I378" s="9" t="n"/>
      <c r="J378" s="9" t="n"/>
      <c r="K378" s="9" t="n"/>
      <c r="L378">
        <f>IF($A378="","",IF($P378="Yes","Disputed / Review",IF($I378&lt;&gt;"Yes","Not Reimbursable",IF($M378&lt;=0.004,"Pending",IF($N378&lt;=0.004,"Reimbursed","Partially Reimbursed")))))</f>
        <v/>
      </c>
      <c r="M378" s="12">
        <f>IF($A378="",0,SUMIF('Family Contributions'!$I$4:$I$1003,$A378,'Family Contributions'!$G$4:$G$1003))</f>
        <v/>
      </c>
      <c r="N378" s="12">
        <f>IF($A378="",0,IF($I378="Yes",IF(ISNUMBER($G378),$G378,0)-$M378,0))</f>
        <v/>
      </c>
      <c r="O378" s="9" t="n"/>
      <c r="P378" s="9" t="n"/>
    </row>
    <row r="379">
      <c r="A379" s="9" t="n"/>
      <c r="B379" s="19" t="n"/>
      <c r="C379" s="9" t="n"/>
      <c r="D379" s="9" t="n"/>
      <c r="E379" s="9" t="n"/>
      <c r="F379" s="9" t="n"/>
      <c r="G379" s="10" t="n"/>
      <c r="H379" s="9" t="n"/>
      <c r="I379" s="9" t="n"/>
      <c r="J379" s="9" t="n"/>
      <c r="K379" s="9" t="n"/>
      <c r="L379">
        <f>IF($A379="","",IF($P379="Yes","Disputed / Review",IF($I379&lt;&gt;"Yes","Not Reimbursable",IF($M379&lt;=0.004,"Pending",IF($N379&lt;=0.004,"Reimbursed","Partially Reimbursed")))))</f>
        <v/>
      </c>
      <c r="M379" s="12">
        <f>IF($A379="",0,SUMIF('Family Contributions'!$I$4:$I$1003,$A379,'Family Contributions'!$G$4:$G$1003))</f>
        <v/>
      </c>
      <c r="N379" s="12">
        <f>IF($A379="",0,IF($I379="Yes",IF(ISNUMBER($G379),$G379,0)-$M379,0))</f>
        <v/>
      </c>
      <c r="O379" s="9" t="n"/>
      <c r="P379" s="9" t="n"/>
    </row>
    <row r="380">
      <c r="A380" s="9" t="n"/>
      <c r="B380" s="19" t="n"/>
      <c r="C380" s="9" t="n"/>
      <c r="D380" s="9" t="n"/>
      <c r="E380" s="9" t="n"/>
      <c r="F380" s="9" t="n"/>
      <c r="G380" s="10" t="n"/>
      <c r="H380" s="9" t="n"/>
      <c r="I380" s="9" t="n"/>
      <c r="J380" s="9" t="n"/>
      <c r="K380" s="9" t="n"/>
      <c r="L380">
        <f>IF($A380="","",IF($P380="Yes","Disputed / Review",IF($I380&lt;&gt;"Yes","Not Reimbursable",IF($M380&lt;=0.004,"Pending",IF($N380&lt;=0.004,"Reimbursed","Partially Reimbursed")))))</f>
        <v/>
      </c>
      <c r="M380" s="12">
        <f>IF($A380="",0,SUMIF('Family Contributions'!$I$4:$I$1003,$A380,'Family Contributions'!$G$4:$G$1003))</f>
        <v/>
      </c>
      <c r="N380" s="12">
        <f>IF($A380="",0,IF($I380="Yes",IF(ISNUMBER($G380),$G380,0)-$M380,0))</f>
        <v/>
      </c>
      <c r="O380" s="9" t="n"/>
      <c r="P380" s="9" t="n"/>
    </row>
    <row r="381">
      <c r="A381" s="9" t="n"/>
      <c r="B381" s="19" t="n"/>
      <c r="C381" s="9" t="n"/>
      <c r="D381" s="9" t="n"/>
      <c r="E381" s="9" t="n"/>
      <c r="F381" s="9" t="n"/>
      <c r="G381" s="10" t="n"/>
      <c r="H381" s="9" t="n"/>
      <c r="I381" s="9" t="n"/>
      <c r="J381" s="9" t="n"/>
      <c r="K381" s="9" t="n"/>
      <c r="L381">
        <f>IF($A381="","",IF($P381="Yes","Disputed / Review",IF($I381&lt;&gt;"Yes","Not Reimbursable",IF($M381&lt;=0.004,"Pending",IF($N381&lt;=0.004,"Reimbursed","Partially Reimbursed")))))</f>
        <v/>
      </c>
      <c r="M381" s="12">
        <f>IF($A381="",0,SUMIF('Family Contributions'!$I$4:$I$1003,$A381,'Family Contributions'!$G$4:$G$1003))</f>
        <v/>
      </c>
      <c r="N381" s="12">
        <f>IF($A381="",0,IF($I381="Yes",IF(ISNUMBER($G381),$G381,0)-$M381,0))</f>
        <v/>
      </c>
      <c r="O381" s="9" t="n"/>
      <c r="P381" s="9" t="n"/>
    </row>
    <row r="382">
      <c r="A382" s="9" t="n"/>
      <c r="B382" s="19" t="n"/>
      <c r="C382" s="9" t="n"/>
      <c r="D382" s="9" t="n"/>
      <c r="E382" s="9" t="n"/>
      <c r="F382" s="9" t="n"/>
      <c r="G382" s="10" t="n"/>
      <c r="H382" s="9" t="n"/>
      <c r="I382" s="9" t="n"/>
      <c r="J382" s="9" t="n"/>
      <c r="K382" s="9" t="n"/>
      <c r="L382">
        <f>IF($A382="","",IF($P382="Yes","Disputed / Review",IF($I382&lt;&gt;"Yes","Not Reimbursable",IF($M382&lt;=0.004,"Pending",IF($N382&lt;=0.004,"Reimbursed","Partially Reimbursed")))))</f>
        <v/>
      </c>
      <c r="M382" s="12">
        <f>IF($A382="",0,SUMIF('Family Contributions'!$I$4:$I$1003,$A382,'Family Contributions'!$G$4:$G$1003))</f>
        <v/>
      </c>
      <c r="N382" s="12">
        <f>IF($A382="",0,IF($I382="Yes",IF(ISNUMBER($G382),$G382,0)-$M382,0))</f>
        <v/>
      </c>
      <c r="O382" s="9" t="n"/>
      <c r="P382" s="9" t="n"/>
    </row>
    <row r="383">
      <c r="A383" s="9" t="n"/>
      <c r="B383" s="19" t="n"/>
      <c r="C383" s="9" t="n"/>
      <c r="D383" s="9" t="n"/>
      <c r="E383" s="9" t="n"/>
      <c r="F383" s="9" t="n"/>
      <c r="G383" s="10" t="n"/>
      <c r="H383" s="9" t="n"/>
      <c r="I383" s="9" t="n"/>
      <c r="J383" s="9" t="n"/>
      <c r="K383" s="9" t="n"/>
      <c r="L383">
        <f>IF($A383="","",IF($P383="Yes","Disputed / Review",IF($I383&lt;&gt;"Yes","Not Reimbursable",IF($M383&lt;=0.004,"Pending",IF($N383&lt;=0.004,"Reimbursed","Partially Reimbursed")))))</f>
        <v/>
      </c>
      <c r="M383" s="12">
        <f>IF($A383="",0,SUMIF('Family Contributions'!$I$4:$I$1003,$A383,'Family Contributions'!$G$4:$G$1003))</f>
        <v/>
      </c>
      <c r="N383" s="12">
        <f>IF($A383="",0,IF($I383="Yes",IF(ISNUMBER($G383),$G383,0)-$M383,0))</f>
        <v/>
      </c>
      <c r="O383" s="9" t="n"/>
      <c r="P383" s="9" t="n"/>
    </row>
    <row r="384">
      <c r="A384" s="9" t="n"/>
      <c r="B384" s="19" t="n"/>
      <c r="C384" s="9" t="n"/>
      <c r="D384" s="9" t="n"/>
      <c r="E384" s="9" t="n"/>
      <c r="F384" s="9" t="n"/>
      <c r="G384" s="10" t="n"/>
      <c r="H384" s="9" t="n"/>
      <c r="I384" s="9" t="n"/>
      <c r="J384" s="9" t="n"/>
      <c r="K384" s="9" t="n"/>
      <c r="L384">
        <f>IF($A384="","",IF($P384="Yes","Disputed / Review",IF($I384&lt;&gt;"Yes","Not Reimbursable",IF($M384&lt;=0.004,"Pending",IF($N384&lt;=0.004,"Reimbursed","Partially Reimbursed")))))</f>
        <v/>
      </c>
      <c r="M384" s="12">
        <f>IF($A384="",0,SUMIF('Family Contributions'!$I$4:$I$1003,$A384,'Family Contributions'!$G$4:$G$1003))</f>
        <v/>
      </c>
      <c r="N384" s="12">
        <f>IF($A384="",0,IF($I384="Yes",IF(ISNUMBER($G384),$G384,0)-$M384,0))</f>
        <v/>
      </c>
      <c r="O384" s="9" t="n"/>
      <c r="P384" s="9" t="n"/>
    </row>
    <row r="385">
      <c r="A385" s="9" t="n"/>
      <c r="B385" s="19" t="n"/>
      <c r="C385" s="9" t="n"/>
      <c r="D385" s="9" t="n"/>
      <c r="E385" s="9" t="n"/>
      <c r="F385" s="9" t="n"/>
      <c r="G385" s="10" t="n"/>
      <c r="H385" s="9" t="n"/>
      <c r="I385" s="9" t="n"/>
      <c r="J385" s="9" t="n"/>
      <c r="K385" s="9" t="n"/>
      <c r="L385">
        <f>IF($A385="","",IF($P385="Yes","Disputed / Review",IF($I385&lt;&gt;"Yes","Not Reimbursable",IF($M385&lt;=0.004,"Pending",IF($N385&lt;=0.004,"Reimbursed","Partially Reimbursed")))))</f>
        <v/>
      </c>
      <c r="M385" s="12">
        <f>IF($A385="",0,SUMIF('Family Contributions'!$I$4:$I$1003,$A385,'Family Contributions'!$G$4:$G$1003))</f>
        <v/>
      </c>
      <c r="N385" s="12">
        <f>IF($A385="",0,IF($I385="Yes",IF(ISNUMBER($G385),$G385,0)-$M385,0))</f>
        <v/>
      </c>
      <c r="O385" s="9" t="n"/>
      <c r="P385" s="9" t="n"/>
    </row>
    <row r="386">
      <c r="A386" s="9" t="n"/>
      <c r="B386" s="19" t="n"/>
      <c r="C386" s="9" t="n"/>
      <c r="D386" s="9" t="n"/>
      <c r="E386" s="9" t="n"/>
      <c r="F386" s="9" t="n"/>
      <c r="G386" s="10" t="n"/>
      <c r="H386" s="9" t="n"/>
      <c r="I386" s="9" t="n"/>
      <c r="J386" s="9" t="n"/>
      <c r="K386" s="9" t="n"/>
      <c r="L386">
        <f>IF($A386="","",IF($P386="Yes","Disputed / Review",IF($I386&lt;&gt;"Yes","Not Reimbursable",IF($M386&lt;=0.004,"Pending",IF($N386&lt;=0.004,"Reimbursed","Partially Reimbursed")))))</f>
        <v/>
      </c>
      <c r="M386" s="12">
        <f>IF($A386="",0,SUMIF('Family Contributions'!$I$4:$I$1003,$A386,'Family Contributions'!$G$4:$G$1003))</f>
        <v/>
      </c>
      <c r="N386" s="12">
        <f>IF($A386="",0,IF($I386="Yes",IF(ISNUMBER($G386),$G386,0)-$M386,0))</f>
        <v/>
      </c>
      <c r="O386" s="9" t="n"/>
      <c r="P386" s="9" t="n"/>
    </row>
    <row r="387">
      <c r="A387" s="9" t="n"/>
      <c r="B387" s="19" t="n"/>
      <c r="C387" s="9" t="n"/>
      <c r="D387" s="9" t="n"/>
      <c r="E387" s="9" t="n"/>
      <c r="F387" s="9" t="n"/>
      <c r="G387" s="10" t="n"/>
      <c r="H387" s="9" t="n"/>
      <c r="I387" s="9" t="n"/>
      <c r="J387" s="9" t="n"/>
      <c r="K387" s="9" t="n"/>
      <c r="L387">
        <f>IF($A387="","",IF($P387="Yes","Disputed / Review",IF($I387&lt;&gt;"Yes","Not Reimbursable",IF($M387&lt;=0.004,"Pending",IF($N387&lt;=0.004,"Reimbursed","Partially Reimbursed")))))</f>
        <v/>
      </c>
      <c r="M387" s="12">
        <f>IF($A387="",0,SUMIF('Family Contributions'!$I$4:$I$1003,$A387,'Family Contributions'!$G$4:$G$1003))</f>
        <v/>
      </c>
      <c r="N387" s="12">
        <f>IF($A387="",0,IF($I387="Yes",IF(ISNUMBER($G387),$G387,0)-$M387,0))</f>
        <v/>
      </c>
      <c r="O387" s="9" t="n"/>
      <c r="P387" s="9" t="n"/>
    </row>
    <row r="388">
      <c r="A388" s="9" t="n"/>
      <c r="B388" s="19" t="n"/>
      <c r="C388" s="9" t="n"/>
      <c r="D388" s="9" t="n"/>
      <c r="E388" s="9" t="n"/>
      <c r="F388" s="9" t="n"/>
      <c r="G388" s="10" t="n"/>
      <c r="H388" s="9" t="n"/>
      <c r="I388" s="9" t="n"/>
      <c r="J388" s="9" t="n"/>
      <c r="K388" s="9" t="n"/>
      <c r="L388">
        <f>IF($A388="","",IF($P388="Yes","Disputed / Review",IF($I388&lt;&gt;"Yes","Not Reimbursable",IF($M388&lt;=0.004,"Pending",IF($N388&lt;=0.004,"Reimbursed","Partially Reimbursed")))))</f>
        <v/>
      </c>
      <c r="M388" s="12">
        <f>IF($A388="",0,SUMIF('Family Contributions'!$I$4:$I$1003,$A388,'Family Contributions'!$G$4:$G$1003))</f>
        <v/>
      </c>
      <c r="N388" s="12">
        <f>IF($A388="",0,IF($I388="Yes",IF(ISNUMBER($G388),$G388,0)-$M388,0))</f>
        <v/>
      </c>
      <c r="O388" s="9" t="n"/>
      <c r="P388" s="9" t="n"/>
    </row>
    <row r="389">
      <c r="A389" s="9" t="n"/>
      <c r="B389" s="19" t="n"/>
      <c r="C389" s="9" t="n"/>
      <c r="D389" s="9" t="n"/>
      <c r="E389" s="9" t="n"/>
      <c r="F389" s="9" t="n"/>
      <c r="G389" s="10" t="n"/>
      <c r="H389" s="9" t="n"/>
      <c r="I389" s="9" t="n"/>
      <c r="J389" s="9" t="n"/>
      <c r="K389" s="9" t="n"/>
      <c r="L389">
        <f>IF($A389="","",IF($P389="Yes","Disputed / Review",IF($I389&lt;&gt;"Yes","Not Reimbursable",IF($M389&lt;=0.004,"Pending",IF($N389&lt;=0.004,"Reimbursed","Partially Reimbursed")))))</f>
        <v/>
      </c>
      <c r="M389" s="12">
        <f>IF($A389="",0,SUMIF('Family Contributions'!$I$4:$I$1003,$A389,'Family Contributions'!$G$4:$G$1003))</f>
        <v/>
      </c>
      <c r="N389" s="12">
        <f>IF($A389="",0,IF($I389="Yes",IF(ISNUMBER($G389),$G389,0)-$M389,0))</f>
        <v/>
      </c>
      <c r="O389" s="9" t="n"/>
      <c r="P389" s="9" t="n"/>
    </row>
    <row r="390">
      <c r="A390" s="9" t="n"/>
      <c r="B390" s="19" t="n"/>
      <c r="C390" s="9" t="n"/>
      <c r="D390" s="9" t="n"/>
      <c r="E390" s="9" t="n"/>
      <c r="F390" s="9" t="n"/>
      <c r="G390" s="10" t="n"/>
      <c r="H390" s="9" t="n"/>
      <c r="I390" s="9" t="n"/>
      <c r="J390" s="9" t="n"/>
      <c r="K390" s="9" t="n"/>
      <c r="L390">
        <f>IF($A390="","",IF($P390="Yes","Disputed / Review",IF($I390&lt;&gt;"Yes","Not Reimbursable",IF($M390&lt;=0.004,"Pending",IF($N390&lt;=0.004,"Reimbursed","Partially Reimbursed")))))</f>
        <v/>
      </c>
      <c r="M390" s="12">
        <f>IF($A390="",0,SUMIF('Family Contributions'!$I$4:$I$1003,$A390,'Family Contributions'!$G$4:$G$1003))</f>
        <v/>
      </c>
      <c r="N390" s="12">
        <f>IF($A390="",0,IF($I390="Yes",IF(ISNUMBER($G390),$G390,0)-$M390,0))</f>
        <v/>
      </c>
      <c r="O390" s="9" t="n"/>
      <c r="P390" s="9" t="n"/>
    </row>
    <row r="391">
      <c r="A391" s="9" t="n"/>
      <c r="B391" s="19" t="n"/>
      <c r="C391" s="9" t="n"/>
      <c r="D391" s="9" t="n"/>
      <c r="E391" s="9" t="n"/>
      <c r="F391" s="9" t="n"/>
      <c r="G391" s="10" t="n"/>
      <c r="H391" s="9" t="n"/>
      <c r="I391" s="9" t="n"/>
      <c r="J391" s="9" t="n"/>
      <c r="K391" s="9" t="n"/>
      <c r="L391">
        <f>IF($A391="","",IF($P391="Yes","Disputed / Review",IF($I391&lt;&gt;"Yes","Not Reimbursable",IF($M391&lt;=0.004,"Pending",IF($N391&lt;=0.004,"Reimbursed","Partially Reimbursed")))))</f>
        <v/>
      </c>
      <c r="M391" s="12">
        <f>IF($A391="",0,SUMIF('Family Contributions'!$I$4:$I$1003,$A391,'Family Contributions'!$G$4:$G$1003))</f>
        <v/>
      </c>
      <c r="N391" s="12">
        <f>IF($A391="",0,IF($I391="Yes",IF(ISNUMBER($G391),$G391,0)-$M391,0))</f>
        <v/>
      </c>
      <c r="O391" s="9" t="n"/>
      <c r="P391" s="9" t="n"/>
    </row>
    <row r="392">
      <c r="A392" s="9" t="n"/>
      <c r="B392" s="19" t="n"/>
      <c r="C392" s="9" t="n"/>
      <c r="D392" s="9" t="n"/>
      <c r="E392" s="9" t="n"/>
      <c r="F392" s="9" t="n"/>
      <c r="G392" s="10" t="n"/>
      <c r="H392" s="9" t="n"/>
      <c r="I392" s="9" t="n"/>
      <c r="J392" s="9" t="n"/>
      <c r="K392" s="9" t="n"/>
      <c r="L392">
        <f>IF($A392="","",IF($P392="Yes","Disputed / Review",IF($I392&lt;&gt;"Yes","Not Reimbursable",IF($M392&lt;=0.004,"Pending",IF($N392&lt;=0.004,"Reimbursed","Partially Reimbursed")))))</f>
        <v/>
      </c>
      <c r="M392" s="12">
        <f>IF($A392="",0,SUMIF('Family Contributions'!$I$4:$I$1003,$A392,'Family Contributions'!$G$4:$G$1003))</f>
        <v/>
      </c>
      <c r="N392" s="12">
        <f>IF($A392="",0,IF($I392="Yes",IF(ISNUMBER($G392),$G392,0)-$M392,0))</f>
        <v/>
      </c>
      <c r="O392" s="9" t="n"/>
      <c r="P392" s="9" t="n"/>
    </row>
    <row r="393">
      <c r="A393" s="9" t="n"/>
      <c r="B393" s="19" t="n"/>
      <c r="C393" s="9" t="n"/>
      <c r="D393" s="9" t="n"/>
      <c r="E393" s="9" t="n"/>
      <c r="F393" s="9" t="n"/>
      <c r="G393" s="10" t="n"/>
      <c r="H393" s="9" t="n"/>
      <c r="I393" s="9" t="n"/>
      <c r="J393" s="9" t="n"/>
      <c r="K393" s="9" t="n"/>
      <c r="L393">
        <f>IF($A393="","",IF($P393="Yes","Disputed / Review",IF($I393&lt;&gt;"Yes","Not Reimbursable",IF($M393&lt;=0.004,"Pending",IF($N393&lt;=0.004,"Reimbursed","Partially Reimbursed")))))</f>
        <v/>
      </c>
      <c r="M393" s="12">
        <f>IF($A393="",0,SUMIF('Family Contributions'!$I$4:$I$1003,$A393,'Family Contributions'!$G$4:$G$1003))</f>
        <v/>
      </c>
      <c r="N393" s="12">
        <f>IF($A393="",0,IF($I393="Yes",IF(ISNUMBER($G393),$G393,0)-$M393,0))</f>
        <v/>
      </c>
      <c r="O393" s="9" t="n"/>
      <c r="P393" s="9" t="n"/>
    </row>
    <row r="394">
      <c r="A394" s="9" t="n"/>
      <c r="B394" s="19" t="n"/>
      <c r="C394" s="9" t="n"/>
      <c r="D394" s="9" t="n"/>
      <c r="E394" s="9" t="n"/>
      <c r="F394" s="9" t="n"/>
      <c r="G394" s="10" t="n"/>
      <c r="H394" s="9" t="n"/>
      <c r="I394" s="9" t="n"/>
      <c r="J394" s="9" t="n"/>
      <c r="K394" s="9" t="n"/>
      <c r="L394">
        <f>IF($A394="","",IF($P394="Yes","Disputed / Review",IF($I394&lt;&gt;"Yes","Not Reimbursable",IF($M394&lt;=0.004,"Pending",IF($N394&lt;=0.004,"Reimbursed","Partially Reimbursed")))))</f>
        <v/>
      </c>
      <c r="M394" s="12">
        <f>IF($A394="",0,SUMIF('Family Contributions'!$I$4:$I$1003,$A394,'Family Contributions'!$G$4:$G$1003))</f>
        <v/>
      </c>
      <c r="N394" s="12">
        <f>IF($A394="",0,IF($I394="Yes",IF(ISNUMBER($G394),$G394,0)-$M394,0))</f>
        <v/>
      </c>
      <c r="O394" s="9" t="n"/>
      <c r="P394" s="9" t="n"/>
    </row>
    <row r="395">
      <c r="A395" s="9" t="n"/>
      <c r="B395" s="19" t="n"/>
      <c r="C395" s="9" t="n"/>
      <c r="D395" s="9" t="n"/>
      <c r="E395" s="9" t="n"/>
      <c r="F395" s="9" t="n"/>
      <c r="G395" s="10" t="n"/>
      <c r="H395" s="9" t="n"/>
      <c r="I395" s="9" t="n"/>
      <c r="J395" s="9" t="n"/>
      <c r="K395" s="9" t="n"/>
      <c r="L395">
        <f>IF($A395="","",IF($P395="Yes","Disputed / Review",IF($I395&lt;&gt;"Yes","Not Reimbursable",IF($M395&lt;=0.004,"Pending",IF($N395&lt;=0.004,"Reimbursed","Partially Reimbursed")))))</f>
        <v/>
      </c>
      <c r="M395" s="12">
        <f>IF($A395="",0,SUMIF('Family Contributions'!$I$4:$I$1003,$A395,'Family Contributions'!$G$4:$G$1003))</f>
        <v/>
      </c>
      <c r="N395" s="12">
        <f>IF($A395="",0,IF($I395="Yes",IF(ISNUMBER($G395),$G395,0)-$M395,0))</f>
        <v/>
      </c>
      <c r="O395" s="9" t="n"/>
      <c r="P395" s="9" t="n"/>
    </row>
    <row r="396">
      <c r="A396" s="9" t="n"/>
      <c r="B396" s="19" t="n"/>
      <c r="C396" s="9" t="n"/>
      <c r="D396" s="9" t="n"/>
      <c r="E396" s="9" t="n"/>
      <c r="F396" s="9" t="n"/>
      <c r="G396" s="10" t="n"/>
      <c r="H396" s="9" t="n"/>
      <c r="I396" s="9" t="n"/>
      <c r="J396" s="9" t="n"/>
      <c r="K396" s="9" t="n"/>
      <c r="L396">
        <f>IF($A396="","",IF($P396="Yes","Disputed / Review",IF($I396&lt;&gt;"Yes","Not Reimbursable",IF($M396&lt;=0.004,"Pending",IF($N396&lt;=0.004,"Reimbursed","Partially Reimbursed")))))</f>
        <v/>
      </c>
      <c r="M396" s="12">
        <f>IF($A396="",0,SUMIF('Family Contributions'!$I$4:$I$1003,$A396,'Family Contributions'!$G$4:$G$1003))</f>
        <v/>
      </c>
      <c r="N396" s="12">
        <f>IF($A396="",0,IF($I396="Yes",IF(ISNUMBER($G396),$G396,0)-$M396,0))</f>
        <v/>
      </c>
      <c r="O396" s="9" t="n"/>
      <c r="P396" s="9" t="n"/>
    </row>
    <row r="397">
      <c r="A397" s="9" t="n"/>
      <c r="B397" s="19" t="n"/>
      <c r="C397" s="9" t="n"/>
      <c r="D397" s="9" t="n"/>
      <c r="E397" s="9" t="n"/>
      <c r="F397" s="9" t="n"/>
      <c r="G397" s="10" t="n"/>
      <c r="H397" s="9" t="n"/>
      <c r="I397" s="9" t="n"/>
      <c r="J397" s="9" t="n"/>
      <c r="K397" s="9" t="n"/>
      <c r="L397">
        <f>IF($A397="","",IF($P397="Yes","Disputed / Review",IF($I397&lt;&gt;"Yes","Not Reimbursable",IF($M397&lt;=0.004,"Pending",IF($N397&lt;=0.004,"Reimbursed","Partially Reimbursed")))))</f>
        <v/>
      </c>
      <c r="M397" s="12">
        <f>IF($A397="",0,SUMIF('Family Contributions'!$I$4:$I$1003,$A397,'Family Contributions'!$G$4:$G$1003))</f>
        <v/>
      </c>
      <c r="N397" s="12">
        <f>IF($A397="",0,IF($I397="Yes",IF(ISNUMBER($G397),$G397,0)-$M397,0))</f>
        <v/>
      </c>
      <c r="O397" s="9" t="n"/>
      <c r="P397" s="9" t="n"/>
    </row>
    <row r="398">
      <c r="A398" s="9" t="n"/>
      <c r="B398" s="19" t="n"/>
      <c r="C398" s="9" t="n"/>
      <c r="D398" s="9" t="n"/>
      <c r="E398" s="9" t="n"/>
      <c r="F398" s="9" t="n"/>
      <c r="G398" s="10" t="n"/>
      <c r="H398" s="9" t="n"/>
      <c r="I398" s="9" t="n"/>
      <c r="J398" s="9" t="n"/>
      <c r="K398" s="9" t="n"/>
      <c r="L398">
        <f>IF($A398="","",IF($P398="Yes","Disputed / Review",IF($I398&lt;&gt;"Yes","Not Reimbursable",IF($M398&lt;=0.004,"Pending",IF($N398&lt;=0.004,"Reimbursed","Partially Reimbursed")))))</f>
        <v/>
      </c>
      <c r="M398" s="12">
        <f>IF($A398="",0,SUMIF('Family Contributions'!$I$4:$I$1003,$A398,'Family Contributions'!$G$4:$G$1003))</f>
        <v/>
      </c>
      <c r="N398" s="12">
        <f>IF($A398="",0,IF($I398="Yes",IF(ISNUMBER($G398),$G398,0)-$M398,0))</f>
        <v/>
      </c>
      <c r="O398" s="9" t="n"/>
      <c r="P398" s="9" t="n"/>
    </row>
    <row r="399">
      <c r="A399" s="9" t="n"/>
      <c r="B399" s="19" t="n"/>
      <c r="C399" s="9" t="n"/>
      <c r="D399" s="9" t="n"/>
      <c r="E399" s="9" t="n"/>
      <c r="F399" s="9" t="n"/>
      <c r="G399" s="10" t="n"/>
      <c r="H399" s="9" t="n"/>
      <c r="I399" s="9" t="n"/>
      <c r="J399" s="9" t="n"/>
      <c r="K399" s="9" t="n"/>
      <c r="L399">
        <f>IF($A399="","",IF($P399="Yes","Disputed / Review",IF($I399&lt;&gt;"Yes","Not Reimbursable",IF($M399&lt;=0.004,"Pending",IF($N399&lt;=0.004,"Reimbursed","Partially Reimbursed")))))</f>
        <v/>
      </c>
      <c r="M399" s="12">
        <f>IF($A399="",0,SUMIF('Family Contributions'!$I$4:$I$1003,$A399,'Family Contributions'!$G$4:$G$1003))</f>
        <v/>
      </c>
      <c r="N399" s="12">
        <f>IF($A399="",0,IF($I399="Yes",IF(ISNUMBER($G399),$G399,0)-$M399,0))</f>
        <v/>
      </c>
      <c r="O399" s="9" t="n"/>
      <c r="P399" s="9" t="n"/>
    </row>
    <row r="400">
      <c r="A400" s="9" t="n"/>
      <c r="B400" s="19" t="n"/>
      <c r="C400" s="9" t="n"/>
      <c r="D400" s="9" t="n"/>
      <c r="E400" s="9" t="n"/>
      <c r="F400" s="9" t="n"/>
      <c r="G400" s="10" t="n"/>
      <c r="H400" s="9" t="n"/>
      <c r="I400" s="9" t="n"/>
      <c r="J400" s="9" t="n"/>
      <c r="K400" s="9" t="n"/>
      <c r="L400">
        <f>IF($A400="","",IF($P400="Yes","Disputed / Review",IF($I400&lt;&gt;"Yes","Not Reimbursable",IF($M400&lt;=0.004,"Pending",IF($N400&lt;=0.004,"Reimbursed","Partially Reimbursed")))))</f>
        <v/>
      </c>
      <c r="M400" s="12">
        <f>IF($A400="",0,SUMIF('Family Contributions'!$I$4:$I$1003,$A400,'Family Contributions'!$G$4:$G$1003))</f>
        <v/>
      </c>
      <c r="N400" s="12">
        <f>IF($A400="",0,IF($I400="Yes",IF(ISNUMBER($G400),$G400,0)-$M400,0))</f>
        <v/>
      </c>
      <c r="O400" s="9" t="n"/>
      <c r="P400" s="9" t="n"/>
    </row>
    <row r="401">
      <c r="A401" s="9" t="n"/>
      <c r="B401" s="19" t="n"/>
      <c r="C401" s="9" t="n"/>
      <c r="D401" s="9" t="n"/>
      <c r="E401" s="9" t="n"/>
      <c r="F401" s="9" t="n"/>
      <c r="G401" s="10" t="n"/>
      <c r="H401" s="9" t="n"/>
      <c r="I401" s="9" t="n"/>
      <c r="J401" s="9" t="n"/>
      <c r="K401" s="9" t="n"/>
      <c r="L401">
        <f>IF($A401="","",IF($P401="Yes","Disputed / Review",IF($I401&lt;&gt;"Yes","Not Reimbursable",IF($M401&lt;=0.004,"Pending",IF($N401&lt;=0.004,"Reimbursed","Partially Reimbursed")))))</f>
        <v/>
      </c>
      <c r="M401" s="12">
        <f>IF($A401="",0,SUMIF('Family Contributions'!$I$4:$I$1003,$A401,'Family Contributions'!$G$4:$G$1003))</f>
        <v/>
      </c>
      <c r="N401" s="12">
        <f>IF($A401="",0,IF($I401="Yes",IF(ISNUMBER($G401),$G401,0)-$M401,0))</f>
        <v/>
      </c>
      <c r="O401" s="9" t="n"/>
      <c r="P401" s="9" t="n"/>
    </row>
    <row r="402">
      <c r="A402" s="9" t="n"/>
      <c r="B402" s="19" t="n"/>
      <c r="C402" s="9" t="n"/>
      <c r="D402" s="9" t="n"/>
      <c r="E402" s="9" t="n"/>
      <c r="F402" s="9" t="n"/>
      <c r="G402" s="10" t="n"/>
      <c r="H402" s="9" t="n"/>
      <c r="I402" s="9" t="n"/>
      <c r="J402" s="9" t="n"/>
      <c r="K402" s="9" t="n"/>
      <c r="L402">
        <f>IF($A402="","",IF($P402="Yes","Disputed / Review",IF($I402&lt;&gt;"Yes","Not Reimbursable",IF($M402&lt;=0.004,"Pending",IF($N402&lt;=0.004,"Reimbursed","Partially Reimbursed")))))</f>
        <v/>
      </c>
      <c r="M402" s="12">
        <f>IF($A402="",0,SUMIF('Family Contributions'!$I$4:$I$1003,$A402,'Family Contributions'!$G$4:$G$1003))</f>
        <v/>
      </c>
      <c r="N402" s="12">
        <f>IF($A402="",0,IF($I402="Yes",IF(ISNUMBER($G402),$G402,0)-$M402,0))</f>
        <v/>
      </c>
      <c r="O402" s="9" t="n"/>
      <c r="P402" s="9" t="n"/>
    </row>
    <row r="403">
      <c r="A403" s="9" t="n"/>
      <c r="B403" s="19" t="n"/>
      <c r="C403" s="9" t="n"/>
      <c r="D403" s="9" t="n"/>
      <c r="E403" s="9" t="n"/>
      <c r="F403" s="9" t="n"/>
      <c r="G403" s="10" t="n"/>
      <c r="H403" s="9" t="n"/>
      <c r="I403" s="9" t="n"/>
      <c r="J403" s="9" t="n"/>
      <c r="K403" s="9" t="n"/>
      <c r="L403">
        <f>IF($A403="","",IF($P403="Yes","Disputed / Review",IF($I403&lt;&gt;"Yes","Not Reimbursable",IF($M403&lt;=0.004,"Pending",IF($N403&lt;=0.004,"Reimbursed","Partially Reimbursed")))))</f>
        <v/>
      </c>
      <c r="M403" s="12">
        <f>IF($A403="",0,SUMIF('Family Contributions'!$I$4:$I$1003,$A403,'Family Contributions'!$G$4:$G$1003))</f>
        <v/>
      </c>
      <c r="N403" s="12">
        <f>IF($A403="",0,IF($I403="Yes",IF(ISNUMBER($G403),$G403,0)-$M403,0))</f>
        <v/>
      </c>
      <c r="O403" s="9" t="n"/>
      <c r="P403" s="9" t="n"/>
    </row>
    <row r="404">
      <c r="A404" s="9" t="n"/>
      <c r="B404" s="19" t="n"/>
      <c r="C404" s="9" t="n"/>
      <c r="D404" s="9" t="n"/>
      <c r="E404" s="9" t="n"/>
      <c r="F404" s="9" t="n"/>
      <c r="G404" s="10" t="n"/>
      <c r="H404" s="9" t="n"/>
      <c r="I404" s="9" t="n"/>
      <c r="J404" s="9" t="n"/>
      <c r="K404" s="9" t="n"/>
      <c r="L404">
        <f>IF($A404="","",IF($P404="Yes","Disputed / Review",IF($I404&lt;&gt;"Yes","Not Reimbursable",IF($M404&lt;=0.004,"Pending",IF($N404&lt;=0.004,"Reimbursed","Partially Reimbursed")))))</f>
        <v/>
      </c>
      <c r="M404" s="12">
        <f>IF($A404="",0,SUMIF('Family Contributions'!$I$4:$I$1003,$A404,'Family Contributions'!$G$4:$G$1003))</f>
        <v/>
      </c>
      <c r="N404" s="12">
        <f>IF($A404="",0,IF($I404="Yes",IF(ISNUMBER($G404),$G404,0)-$M404,0))</f>
        <v/>
      </c>
      <c r="O404" s="9" t="n"/>
      <c r="P404" s="9" t="n"/>
    </row>
    <row r="405">
      <c r="A405" s="9" t="n"/>
      <c r="B405" s="19" t="n"/>
      <c r="C405" s="9" t="n"/>
      <c r="D405" s="9" t="n"/>
      <c r="E405" s="9" t="n"/>
      <c r="F405" s="9" t="n"/>
      <c r="G405" s="10" t="n"/>
      <c r="H405" s="9" t="n"/>
      <c r="I405" s="9" t="n"/>
      <c r="J405" s="9" t="n"/>
      <c r="K405" s="9" t="n"/>
      <c r="L405">
        <f>IF($A405="","",IF($P405="Yes","Disputed / Review",IF($I405&lt;&gt;"Yes","Not Reimbursable",IF($M405&lt;=0.004,"Pending",IF($N405&lt;=0.004,"Reimbursed","Partially Reimbursed")))))</f>
        <v/>
      </c>
      <c r="M405" s="12">
        <f>IF($A405="",0,SUMIF('Family Contributions'!$I$4:$I$1003,$A405,'Family Contributions'!$G$4:$G$1003))</f>
        <v/>
      </c>
      <c r="N405" s="12">
        <f>IF($A405="",0,IF($I405="Yes",IF(ISNUMBER($G405),$G405,0)-$M405,0))</f>
        <v/>
      </c>
      <c r="O405" s="9" t="n"/>
      <c r="P405" s="9" t="n"/>
    </row>
    <row r="406">
      <c r="A406" s="9" t="n"/>
      <c r="B406" s="19" t="n"/>
      <c r="C406" s="9" t="n"/>
      <c r="D406" s="9" t="n"/>
      <c r="E406" s="9" t="n"/>
      <c r="F406" s="9" t="n"/>
      <c r="G406" s="10" t="n"/>
      <c r="H406" s="9" t="n"/>
      <c r="I406" s="9" t="n"/>
      <c r="J406" s="9" t="n"/>
      <c r="K406" s="9" t="n"/>
      <c r="L406">
        <f>IF($A406="","",IF($P406="Yes","Disputed / Review",IF($I406&lt;&gt;"Yes","Not Reimbursable",IF($M406&lt;=0.004,"Pending",IF($N406&lt;=0.004,"Reimbursed","Partially Reimbursed")))))</f>
        <v/>
      </c>
      <c r="M406" s="12">
        <f>IF($A406="",0,SUMIF('Family Contributions'!$I$4:$I$1003,$A406,'Family Contributions'!$G$4:$G$1003))</f>
        <v/>
      </c>
      <c r="N406" s="12">
        <f>IF($A406="",0,IF($I406="Yes",IF(ISNUMBER($G406),$G406,0)-$M406,0))</f>
        <v/>
      </c>
      <c r="O406" s="9" t="n"/>
      <c r="P406" s="9" t="n"/>
    </row>
    <row r="407">
      <c r="A407" s="9" t="n"/>
      <c r="B407" s="19" t="n"/>
      <c r="C407" s="9" t="n"/>
      <c r="D407" s="9" t="n"/>
      <c r="E407" s="9" t="n"/>
      <c r="F407" s="9" t="n"/>
      <c r="G407" s="10" t="n"/>
      <c r="H407" s="9" t="n"/>
      <c r="I407" s="9" t="n"/>
      <c r="J407" s="9" t="n"/>
      <c r="K407" s="9" t="n"/>
      <c r="L407">
        <f>IF($A407="","",IF($P407="Yes","Disputed / Review",IF($I407&lt;&gt;"Yes","Not Reimbursable",IF($M407&lt;=0.004,"Pending",IF($N407&lt;=0.004,"Reimbursed","Partially Reimbursed")))))</f>
        <v/>
      </c>
      <c r="M407" s="12">
        <f>IF($A407="",0,SUMIF('Family Contributions'!$I$4:$I$1003,$A407,'Family Contributions'!$G$4:$G$1003))</f>
        <v/>
      </c>
      <c r="N407" s="12">
        <f>IF($A407="",0,IF($I407="Yes",IF(ISNUMBER($G407),$G407,0)-$M407,0))</f>
        <v/>
      </c>
      <c r="O407" s="9" t="n"/>
      <c r="P407" s="9" t="n"/>
    </row>
    <row r="408">
      <c r="A408" s="9" t="n"/>
      <c r="B408" s="19" t="n"/>
      <c r="C408" s="9" t="n"/>
      <c r="D408" s="9" t="n"/>
      <c r="E408" s="9" t="n"/>
      <c r="F408" s="9" t="n"/>
      <c r="G408" s="10" t="n"/>
      <c r="H408" s="9" t="n"/>
      <c r="I408" s="9" t="n"/>
      <c r="J408" s="9" t="n"/>
      <c r="K408" s="9" t="n"/>
      <c r="L408">
        <f>IF($A408="","",IF($P408="Yes","Disputed / Review",IF($I408&lt;&gt;"Yes","Not Reimbursable",IF($M408&lt;=0.004,"Pending",IF($N408&lt;=0.004,"Reimbursed","Partially Reimbursed")))))</f>
        <v/>
      </c>
      <c r="M408" s="12">
        <f>IF($A408="",0,SUMIF('Family Contributions'!$I$4:$I$1003,$A408,'Family Contributions'!$G$4:$G$1003))</f>
        <v/>
      </c>
      <c r="N408" s="12">
        <f>IF($A408="",0,IF($I408="Yes",IF(ISNUMBER($G408),$G408,0)-$M408,0))</f>
        <v/>
      </c>
      <c r="O408" s="9" t="n"/>
      <c r="P408" s="9" t="n"/>
    </row>
    <row r="409">
      <c r="A409" s="9" t="n"/>
      <c r="B409" s="19" t="n"/>
      <c r="C409" s="9" t="n"/>
      <c r="D409" s="9" t="n"/>
      <c r="E409" s="9" t="n"/>
      <c r="F409" s="9" t="n"/>
      <c r="G409" s="10" t="n"/>
      <c r="H409" s="9" t="n"/>
      <c r="I409" s="9" t="n"/>
      <c r="J409" s="9" t="n"/>
      <c r="K409" s="9" t="n"/>
      <c r="L409">
        <f>IF($A409="","",IF($P409="Yes","Disputed / Review",IF($I409&lt;&gt;"Yes","Not Reimbursable",IF($M409&lt;=0.004,"Pending",IF($N409&lt;=0.004,"Reimbursed","Partially Reimbursed")))))</f>
        <v/>
      </c>
      <c r="M409" s="12">
        <f>IF($A409="",0,SUMIF('Family Contributions'!$I$4:$I$1003,$A409,'Family Contributions'!$G$4:$G$1003))</f>
        <v/>
      </c>
      <c r="N409" s="12">
        <f>IF($A409="",0,IF($I409="Yes",IF(ISNUMBER($G409),$G409,0)-$M409,0))</f>
        <v/>
      </c>
      <c r="O409" s="9" t="n"/>
      <c r="P409" s="9" t="n"/>
    </row>
    <row r="410">
      <c r="A410" s="9" t="n"/>
      <c r="B410" s="19" t="n"/>
      <c r="C410" s="9" t="n"/>
      <c r="D410" s="9" t="n"/>
      <c r="E410" s="9" t="n"/>
      <c r="F410" s="9" t="n"/>
      <c r="G410" s="10" t="n"/>
      <c r="H410" s="9" t="n"/>
      <c r="I410" s="9" t="n"/>
      <c r="J410" s="9" t="n"/>
      <c r="K410" s="9" t="n"/>
      <c r="L410">
        <f>IF($A410="","",IF($P410="Yes","Disputed / Review",IF($I410&lt;&gt;"Yes","Not Reimbursable",IF($M410&lt;=0.004,"Pending",IF($N410&lt;=0.004,"Reimbursed","Partially Reimbursed")))))</f>
        <v/>
      </c>
      <c r="M410" s="12">
        <f>IF($A410="",0,SUMIF('Family Contributions'!$I$4:$I$1003,$A410,'Family Contributions'!$G$4:$G$1003))</f>
        <v/>
      </c>
      <c r="N410" s="12">
        <f>IF($A410="",0,IF($I410="Yes",IF(ISNUMBER($G410),$G410,0)-$M410,0))</f>
        <v/>
      </c>
      <c r="O410" s="9" t="n"/>
      <c r="P410" s="9" t="n"/>
    </row>
    <row r="411">
      <c r="A411" s="9" t="n"/>
      <c r="B411" s="19" t="n"/>
      <c r="C411" s="9" t="n"/>
      <c r="D411" s="9" t="n"/>
      <c r="E411" s="9" t="n"/>
      <c r="F411" s="9" t="n"/>
      <c r="G411" s="10" t="n"/>
      <c r="H411" s="9" t="n"/>
      <c r="I411" s="9" t="n"/>
      <c r="J411" s="9" t="n"/>
      <c r="K411" s="9" t="n"/>
      <c r="L411">
        <f>IF($A411="","",IF($P411="Yes","Disputed / Review",IF($I411&lt;&gt;"Yes","Not Reimbursable",IF($M411&lt;=0.004,"Pending",IF($N411&lt;=0.004,"Reimbursed","Partially Reimbursed")))))</f>
        <v/>
      </c>
      <c r="M411" s="12">
        <f>IF($A411="",0,SUMIF('Family Contributions'!$I$4:$I$1003,$A411,'Family Contributions'!$G$4:$G$1003))</f>
        <v/>
      </c>
      <c r="N411" s="12">
        <f>IF($A411="",0,IF($I411="Yes",IF(ISNUMBER($G411),$G411,0)-$M411,0))</f>
        <v/>
      </c>
      <c r="O411" s="9" t="n"/>
      <c r="P411" s="9" t="n"/>
    </row>
    <row r="412">
      <c r="A412" s="9" t="n"/>
      <c r="B412" s="19" t="n"/>
      <c r="C412" s="9" t="n"/>
      <c r="D412" s="9" t="n"/>
      <c r="E412" s="9" t="n"/>
      <c r="F412" s="9" t="n"/>
      <c r="G412" s="10" t="n"/>
      <c r="H412" s="9" t="n"/>
      <c r="I412" s="9" t="n"/>
      <c r="J412" s="9" t="n"/>
      <c r="K412" s="9" t="n"/>
      <c r="L412">
        <f>IF($A412="","",IF($P412="Yes","Disputed / Review",IF($I412&lt;&gt;"Yes","Not Reimbursable",IF($M412&lt;=0.004,"Pending",IF($N412&lt;=0.004,"Reimbursed","Partially Reimbursed")))))</f>
        <v/>
      </c>
      <c r="M412" s="12">
        <f>IF($A412="",0,SUMIF('Family Contributions'!$I$4:$I$1003,$A412,'Family Contributions'!$G$4:$G$1003))</f>
        <v/>
      </c>
      <c r="N412" s="12">
        <f>IF($A412="",0,IF($I412="Yes",IF(ISNUMBER($G412),$G412,0)-$M412,0))</f>
        <v/>
      </c>
      <c r="O412" s="9" t="n"/>
      <c r="P412" s="9" t="n"/>
    </row>
    <row r="413">
      <c r="A413" s="9" t="n"/>
      <c r="B413" s="19" t="n"/>
      <c r="C413" s="9" t="n"/>
      <c r="D413" s="9" t="n"/>
      <c r="E413" s="9" t="n"/>
      <c r="F413" s="9" t="n"/>
      <c r="G413" s="10" t="n"/>
      <c r="H413" s="9" t="n"/>
      <c r="I413" s="9" t="n"/>
      <c r="J413" s="9" t="n"/>
      <c r="K413" s="9" t="n"/>
      <c r="L413">
        <f>IF($A413="","",IF($P413="Yes","Disputed / Review",IF($I413&lt;&gt;"Yes","Not Reimbursable",IF($M413&lt;=0.004,"Pending",IF($N413&lt;=0.004,"Reimbursed","Partially Reimbursed")))))</f>
        <v/>
      </c>
      <c r="M413" s="12">
        <f>IF($A413="",0,SUMIF('Family Contributions'!$I$4:$I$1003,$A413,'Family Contributions'!$G$4:$G$1003))</f>
        <v/>
      </c>
      <c r="N413" s="12">
        <f>IF($A413="",0,IF($I413="Yes",IF(ISNUMBER($G413),$G413,0)-$M413,0))</f>
        <v/>
      </c>
      <c r="O413" s="9" t="n"/>
      <c r="P413" s="9" t="n"/>
    </row>
    <row r="414">
      <c r="A414" s="9" t="n"/>
      <c r="B414" s="19" t="n"/>
      <c r="C414" s="9" t="n"/>
      <c r="D414" s="9" t="n"/>
      <c r="E414" s="9" t="n"/>
      <c r="F414" s="9" t="n"/>
      <c r="G414" s="10" t="n"/>
      <c r="H414" s="9" t="n"/>
      <c r="I414" s="9" t="n"/>
      <c r="J414" s="9" t="n"/>
      <c r="K414" s="9" t="n"/>
      <c r="L414">
        <f>IF($A414="","",IF($P414="Yes","Disputed / Review",IF($I414&lt;&gt;"Yes","Not Reimbursable",IF($M414&lt;=0.004,"Pending",IF($N414&lt;=0.004,"Reimbursed","Partially Reimbursed")))))</f>
        <v/>
      </c>
      <c r="M414" s="12">
        <f>IF($A414="",0,SUMIF('Family Contributions'!$I$4:$I$1003,$A414,'Family Contributions'!$G$4:$G$1003))</f>
        <v/>
      </c>
      <c r="N414" s="12">
        <f>IF($A414="",0,IF($I414="Yes",IF(ISNUMBER($G414),$G414,0)-$M414,0))</f>
        <v/>
      </c>
      <c r="O414" s="9" t="n"/>
      <c r="P414" s="9" t="n"/>
    </row>
    <row r="415">
      <c r="A415" s="9" t="n"/>
      <c r="B415" s="19" t="n"/>
      <c r="C415" s="9" t="n"/>
      <c r="D415" s="9" t="n"/>
      <c r="E415" s="9" t="n"/>
      <c r="F415" s="9" t="n"/>
      <c r="G415" s="10" t="n"/>
      <c r="H415" s="9" t="n"/>
      <c r="I415" s="9" t="n"/>
      <c r="J415" s="9" t="n"/>
      <c r="K415" s="9" t="n"/>
      <c r="L415">
        <f>IF($A415="","",IF($P415="Yes","Disputed / Review",IF($I415&lt;&gt;"Yes","Not Reimbursable",IF($M415&lt;=0.004,"Pending",IF($N415&lt;=0.004,"Reimbursed","Partially Reimbursed")))))</f>
        <v/>
      </c>
      <c r="M415" s="12">
        <f>IF($A415="",0,SUMIF('Family Contributions'!$I$4:$I$1003,$A415,'Family Contributions'!$G$4:$G$1003))</f>
        <v/>
      </c>
      <c r="N415" s="12">
        <f>IF($A415="",0,IF($I415="Yes",IF(ISNUMBER($G415),$G415,0)-$M415,0))</f>
        <v/>
      </c>
      <c r="O415" s="9" t="n"/>
      <c r="P415" s="9" t="n"/>
    </row>
    <row r="416">
      <c r="A416" s="9" t="n"/>
      <c r="B416" s="19" t="n"/>
      <c r="C416" s="9" t="n"/>
      <c r="D416" s="9" t="n"/>
      <c r="E416" s="9" t="n"/>
      <c r="F416" s="9" t="n"/>
      <c r="G416" s="10" t="n"/>
      <c r="H416" s="9" t="n"/>
      <c r="I416" s="9" t="n"/>
      <c r="J416" s="9" t="n"/>
      <c r="K416" s="9" t="n"/>
      <c r="L416">
        <f>IF($A416="","",IF($P416="Yes","Disputed / Review",IF($I416&lt;&gt;"Yes","Not Reimbursable",IF($M416&lt;=0.004,"Pending",IF($N416&lt;=0.004,"Reimbursed","Partially Reimbursed")))))</f>
        <v/>
      </c>
      <c r="M416" s="12">
        <f>IF($A416="",0,SUMIF('Family Contributions'!$I$4:$I$1003,$A416,'Family Contributions'!$G$4:$G$1003))</f>
        <v/>
      </c>
      <c r="N416" s="12">
        <f>IF($A416="",0,IF($I416="Yes",IF(ISNUMBER($G416),$G416,0)-$M416,0))</f>
        <v/>
      </c>
      <c r="O416" s="9" t="n"/>
      <c r="P416" s="9" t="n"/>
    </row>
    <row r="417">
      <c r="A417" s="9" t="n"/>
      <c r="B417" s="19" t="n"/>
      <c r="C417" s="9" t="n"/>
      <c r="D417" s="9" t="n"/>
      <c r="E417" s="9" t="n"/>
      <c r="F417" s="9" t="n"/>
      <c r="G417" s="10" t="n"/>
      <c r="H417" s="9" t="n"/>
      <c r="I417" s="9" t="n"/>
      <c r="J417" s="9" t="n"/>
      <c r="K417" s="9" t="n"/>
      <c r="L417">
        <f>IF($A417="","",IF($P417="Yes","Disputed / Review",IF($I417&lt;&gt;"Yes","Not Reimbursable",IF($M417&lt;=0.004,"Pending",IF($N417&lt;=0.004,"Reimbursed","Partially Reimbursed")))))</f>
        <v/>
      </c>
      <c r="M417" s="12">
        <f>IF($A417="",0,SUMIF('Family Contributions'!$I$4:$I$1003,$A417,'Family Contributions'!$G$4:$G$1003))</f>
        <v/>
      </c>
      <c r="N417" s="12">
        <f>IF($A417="",0,IF($I417="Yes",IF(ISNUMBER($G417),$G417,0)-$M417,0))</f>
        <v/>
      </c>
      <c r="O417" s="9" t="n"/>
      <c r="P417" s="9" t="n"/>
    </row>
    <row r="418">
      <c r="A418" s="9" t="n"/>
      <c r="B418" s="19" t="n"/>
      <c r="C418" s="9" t="n"/>
      <c r="D418" s="9" t="n"/>
      <c r="E418" s="9" t="n"/>
      <c r="F418" s="9" t="n"/>
      <c r="G418" s="10" t="n"/>
      <c r="H418" s="9" t="n"/>
      <c r="I418" s="9" t="n"/>
      <c r="J418" s="9" t="n"/>
      <c r="K418" s="9" t="n"/>
      <c r="L418">
        <f>IF($A418="","",IF($P418="Yes","Disputed / Review",IF($I418&lt;&gt;"Yes","Not Reimbursable",IF($M418&lt;=0.004,"Pending",IF($N418&lt;=0.004,"Reimbursed","Partially Reimbursed")))))</f>
        <v/>
      </c>
      <c r="M418" s="12">
        <f>IF($A418="",0,SUMIF('Family Contributions'!$I$4:$I$1003,$A418,'Family Contributions'!$G$4:$G$1003))</f>
        <v/>
      </c>
      <c r="N418" s="12">
        <f>IF($A418="",0,IF($I418="Yes",IF(ISNUMBER($G418),$G418,0)-$M418,0))</f>
        <v/>
      </c>
      <c r="O418" s="9" t="n"/>
      <c r="P418" s="9" t="n"/>
    </row>
    <row r="419">
      <c r="A419" s="9" t="n"/>
      <c r="B419" s="19" t="n"/>
      <c r="C419" s="9" t="n"/>
      <c r="D419" s="9" t="n"/>
      <c r="E419" s="9" t="n"/>
      <c r="F419" s="9" t="n"/>
      <c r="G419" s="10" t="n"/>
      <c r="H419" s="9" t="n"/>
      <c r="I419" s="9" t="n"/>
      <c r="J419" s="9" t="n"/>
      <c r="K419" s="9" t="n"/>
      <c r="L419">
        <f>IF($A419="","",IF($P419="Yes","Disputed / Review",IF($I419&lt;&gt;"Yes","Not Reimbursable",IF($M419&lt;=0.004,"Pending",IF($N419&lt;=0.004,"Reimbursed","Partially Reimbursed")))))</f>
        <v/>
      </c>
      <c r="M419" s="12">
        <f>IF($A419="",0,SUMIF('Family Contributions'!$I$4:$I$1003,$A419,'Family Contributions'!$G$4:$G$1003))</f>
        <v/>
      </c>
      <c r="N419" s="12">
        <f>IF($A419="",0,IF($I419="Yes",IF(ISNUMBER($G419),$G419,0)-$M419,0))</f>
        <v/>
      </c>
      <c r="O419" s="9" t="n"/>
      <c r="P419" s="9" t="n"/>
    </row>
    <row r="420">
      <c r="A420" s="9" t="n"/>
      <c r="B420" s="19" t="n"/>
      <c r="C420" s="9" t="n"/>
      <c r="D420" s="9" t="n"/>
      <c r="E420" s="9" t="n"/>
      <c r="F420" s="9" t="n"/>
      <c r="G420" s="10" t="n"/>
      <c r="H420" s="9" t="n"/>
      <c r="I420" s="9" t="n"/>
      <c r="J420" s="9" t="n"/>
      <c r="K420" s="9" t="n"/>
      <c r="L420">
        <f>IF($A420="","",IF($P420="Yes","Disputed / Review",IF($I420&lt;&gt;"Yes","Not Reimbursable",IF($M420&lt;=0.004,"Pending",IF($N420&lt;=0.004,"Reimbursed","Partially Reimbursed")))))</f>
        <v/>
      </c>
      <c r="M420" s="12">
        <f>IF($A420="",0,SUMIF('Family Contributions'!$I$4:$I$1003,$A420,'Family Contributions'!$G$4:$G$1003))</f>
        <v/>
      </c>
      <c r="N420" s="12">
        <f>IF($A420="",0,IF($I420="Yes",IF(ISNUMBER($G420),$G420,0)-$M420,0))</f>
        <v/>
      </c>
      <c r="O420" s="9" t="n"/>
      <c r="P420" s="9" t="n"/>
    </row>
    <row r="421">
      <c r="A421" s="9" t="n"/>
      <c r="B421" s="19" t="n"/>
      <c r="C421" s="9" t="n"/>
      <c r="D421" s="9" t="n"/>
      <c r="E421" s="9" t="n"/>
      <c r="F421" s="9" t="n"/>
      <c r="G421" s="10" t="n"/>
      <c r="H421" s="9" t="n"/>
      <c r="I421" s="9" t="n"/>
      <c r="J421" s="9" t="n"/>
      <c r="K421" s="9" t="n"/>
      <c r="L421">
        <f>IF($A421="","",IF($P421="Yes","Disputed / Review",IF($I421&lt;&gt;"Yes","Not Reimbursable",IF($M421&lt;=0.004,"Pending",IF($N421&lt;=0.004,"Reimbursed","Partially Reimbursed")))))</f>
        <v/>
      </c>
      <c r="M421" s="12">
        <f>IF($A421="",0,SUMIF('Family Contributions'!$I$4:$I$1003,$A421,'Family Contributions'!$G$4:$G$1003))</f>
        <v/>
      </c>
      <c r="N421" s="12">
        <f>IF($A421="",0,IF($I421="Yes",IF(ISNUMBER($G421),$G421,0)-$M421,0))</f>
        <v/>
      </c>
      <c r="O421" s="9" t="n"/>
      <c r="P421" s="9" t="n"/>
    </row>
    <row r="422">
      <c r="A422" s="9" t="n"/>
      <c r="B422" s="19" t="n"/>
      <c r="C422" s="9" t="n"/>
      <c r="D422" s="9" t="n"/>
      <c r="E422" s="9" t="n"/>
      <c r="F422" s="9" t="n"/>
      <c r="G422" s="10" t="n"/>
      <c r="H422" s="9" t="n"/>
      <c r="I422" s="9" t="n"/>
      <c r="J422" s="9" t="n"/>
      <c r="K422" s="9" t="n"/>
      <c r="L422">
        <f>IF($A422="","",IF($P422="Yes","Disputed / Review",IF($I422&lt;&gt;"Yes","Not Reimbursable",IF($M422&lt;=0.004,"Pending",IF($N422&lt;=0.004,"Reimbursed","Partially Reimbursed")))))</f>
        <v/>
      </c>
      <c r="M422" s="12">
        <f>IF($A422="",0,SUMIF('Family Contributions'!$I$4:$I$1003,$A422,'Family Contributions'!$G$4:$G$1003))</f>
        <v/>
      </c>
      <c r="N422" s="12">
        <f>IF($A422="",0,IF($I422="Yes",IF(ISNUMBER($G422),$G422,0)-$M422,0))</f>
        <v/>
      </c>
      <c r="O422" s="9" t="n"/>
      <c r="P422" s="9" t="n"/>
    </row>
    <row r="423">
      <c r="A423" s="9" t="n"/>
      <c r="B423" s="19" t="n"/>
      <c r="C423" s="9" t="n"/>
      <c r="D423" s="9" t="n"/>
      <c r="E423" s="9" t="n"/>
      <c r="F423" s="9" t="n"/>
      <c r="G423" s="10" t="n"/>
      <c r="H423" s="9" t="n"/>
      <c r="I423" s="9" t="n"/>
      <c r="J423" s="9" t="n"/>
      <c r="K423" s="9" t="n"/>
      <c r="L423">
        <f>IF($A423="","",IF($P423="Yes","Disputed / Review",IF($I423&lt;&gt;"Yes","Not Reimbursable",IF($M423&lt;=0.004,"Pending",IF($N423&lt;=0.004,"Reimbursed","Partially Reimbursed")))))</f>
        <v/>
      </c>
      <c r="M423" s="12">
        <f>IF($A423="",0,SUMIF('Family Contributions'!$I$4:$I$1003,$A423,'Family Contributions'!$G$4:$G$1003))</f>
        <v/>
      </c>
      <c r="N423" s="12">
        <f>IF($A423="",0,IF($I423="Yes",IF(ISNUMBER($G423),$G423,0)-$M423,0))</f>
        <v/>
      </c>
      <c r="O423" s="9" t="n"/>
      <c r="P423" s="9" t="n"/>
    </row>
    <row r="424">
      <c r="A424" s="9" t="n"/>
      <c r="B424" s="19" t="n"/>
      <c r="C424" s="9" t="n"/>
      <c r="D424" s="9" t="n"/>
      <c r="E424" s="9" t="n"/>
      <c r="F424" s="9" t="n"/>
      <c r="G424" s="10" t="n"/>
      <c r="H424" s="9" t="n"/>
      <c r="I424" s="9" t="n"/>
      <c r="J424" s="9" t="n"/>
      <c r="K424" s="9" t="n"/>
      <c r="L424">
        <f>IF($A424="","",IF($P424="Yes","Disputed / Review",IF($I424&lt;&gt;"Yes","Not Reimbursable",IF($M424&lt;=0.004,"Pending",IF($N424&lt;=0.004,"Reimbursed","Partially Reimbursed")))))</f>
        <v/>
      </c>
      <c r="M424" s="12">
        <f>IF($A424="",0,SUMIF('Family Contributions'!$I$4:$I$1003,$A424,'Family Contributions'!$G$4:$G$1003))</f>
        <v/>
      </c>
      <c r="N424" s="12">
        <f>IF($A424="",0,IF($I424="Yes",IF(ISNUMBER($G424),$G424,0)-$M424,0))</f>
        <v/>
      </c>
      <c r="O424" s="9" t="n"/>
      <c r="P424" s="9" t="n"/>
    </row>
    <row r="425">
      <c r="A425" s="9" t="n"/>
      <c r="B425" s="19" t="n"/>
      <c r="C425" s="9" t="n"/>
      <c r="D425" s="9" t="n"/>
      <c r="E425" s="9" t="n"/>
      <c r="F425" s="9" t="n"/>
      <c r="G425" s="10" t="n"/>
      <c r="H425" s="9" t="n"/>
      <c r="I425" s="9" t="n"/>
      <c r="J425" s="9" t="n"/>
      <c r="K425" s="9" t="n"/>
      <c r="L425">
        <f>IF($A425="","",IF($P425="Yes","Disputed / Review",IF($I425&lt;&gt;"Yes","Not Reimbursable",IF($M425&lt;=0.004,"Pending",IF($N425&lt;=0.004,"Reimbursed","Partially Reimbursed")))))</f>
        <v/>
      </c>
      <c r="M425" s="12">
        <f>IF($A425="",0,SUMIF('Family Contributions'!$I$4:$I$1003,$A425,'Family Contributions'!$G$4:$G$1003))</f>
        <v/>
      </c>
      <c r="N425" s="12">
        <f>IF($A425="",0,IF($I425="Yes",IF(ISNUMBER($G425),$G425,0)-$M425,0))</f>
        <v/>
      </c>
      <c r="O425" s="9" t="n"/>
      <c r="P425" s="9" t="n"/>
    </row>
    <row r="426">
      <c r="A426" s="9" t="n"/>
      <c r="B426" s="19" t="n"/>
      <c r="C426" s="9" t="n"/>
      <c r="D426" s="9" t="n"/>
      <c r="E426" s="9" t="n"/>
      <c r="F426" s="9" t="n"/>
      <c r="G426" s="10" t="n"/>
      <c r="H426" s="9" t="n"/>
      <c r="I426" s="9" t="n"/>
      <c r="J426" s="9" t="n"/>
      <c r="K426" s="9" t="n"/>
      <c r="L426">
        <f>IF($A426="","",IF($P426="Yes","Disputed / Review",IF($I426&lt;&gt;"Yes","Not Reimbursable",IF($M426&lt;=0.004,"Pending",IF($N426&lt;=0.004,"Reimbursed","Partially Reimbursed")))))</f>
        <v/>
      </c>
      <c r="M426" s="12">
        <f>IF($A426="",0,SUMIF('Family Contributions'!$I$4:$I$1003,$A426,'Family Contributions'!$G$4:$G$1003))</f>
        <v/>
      </c>
      <c r="N426" s="12">
        <f>IF($A426="",0,IF($I426="Yes",IF(ISNUMBER($G426),$G426,0)-$M426,0))</f>
        <v/>
      </c>
      <c r="O426" s="9" t="n"/>
      <c r="P426" s="9" t="n"/>
    </row>
    <row r="427">
      <c r="A427" s="9" t="n"/>
      <c r="B427" s="19" t="n"/>
      <c r="C427" s="9" t="n"/>
      <c r="D427" s="9" t="n"/>
      <c r="E427" s="9" t="n"/>
      <c r="F427" s="9" t="n"/>
      <c r="G427" s="10" t="n"/>
      <c r="H427" s="9" t="n"/>
      <c r="I427" s="9" t="n"/>
      <c r="J427" s="9" t="n"/>
      <c r="K427" s="9" t="n"/>
      <c r="L427">
        <f>IF($A427="","",IF($P427="Yes","Disputed / Review",IF($I427&lt;&gt;"Yes","Not Reimbursable",IF($M427&lt;=0.004,"Pending",IF($N427&lt;=0.004,"Reimbursed","Partially Reimbursed")))))</f>
        <v/>
      </c>
      <c r="M427" s="12">
        <f>IF($A427="",0,SUMIF('Family Contributions'!$I$4:$I$1003,$A427,'Family Contributions'!$G$4:$G$1003))</f>
        <v/>
      </c>
      <c r="N427" s="12">
        <f>IF($A427="",0,IF($I427="Yes",IF(ISNUMBER($G427),$G427,0)-$M427,0))</f>
        <v/>
      </c>
      <c r="O427" s="9" t="n"/>
      <c r="P427" s="9" t="n"/>
    </row>
    <row r="428">
      <c r="A428" s="9" t="n"/>
      <c r="B428" s="19" t="n"/>
      <c r="C428" s="9" t="n"/>
      <c r="D428" s="9" t="n"/>
      <c r="E428" s="9" t="n"/>
      <c r="F428" s="9" t="n"/>
      <c r="G428" s="10" t="n"/>
      <c r="H428" s="9" t="n"/>
      <c r="I428" s="9" t="n"/>
      <c r="J428" s="9" t="n"/>
      <c r="K428" s="9" t="n"/>
      <c r="L428">
        <f>IF($A428="","",IF($P428="Yes","Disputed / Review",IF($I428&lt;&gt;"Yes","Not Reimbursable",IF($M428&lt;=0.004,"Pending",IF($N428&lt;=0.004,"Reimbursed","Partially Reimbursed")))))</f>
        <v/>
      </c>
      <c r="M428" s="12">
        <f>IF($A428="",0,SUMIF('Family Contributions'!$I$4:$I$1003,$A428,'Family Contributions'!$G$4:$G$1003))</f>
        <v/>
      </c>
      <c r="N428" s="12">
        <f>IF($A428="",0,IF($I428="Yes",IF(ISNUMBER($G428),$G428,0)-$M428,0))</f>
        <v/>
      </c>
      <c r="O428" s="9" t="n"/>
      <c r="P428" s="9" t="n"/>
    </row>
    <row r="429">
      <c r="A429" s="9" t="n"/>
      <c r="B429" s="19" t="n"/>
      <c r="C429" s="9" t="n"/>
      <c r="D429" s="9" t="n"/>
      <c r="E429" s="9" t="n"/>
      <c r="F429" s="9" t="n"/>
      <c r="G429" s="10" t="n"/>
      <c r="H429" s="9" t="n"/>
      <c r="I429" s="9" t="n"/>
      <c r="J429" s="9" t="n"/>
      <c r="K429" s="9" t="n"/>
      <c r="L429">
        <f>IF($A429="","",IF($P429="Yes","Disputed / Review",IF($I429&lt;&gt;"Yes","Not Reimbursable",IF($M429&lt;=0.004,"Pending",IF($N429&lt;=0.004,"Reimbursed","Partially Reimbursed")))))</f>
        <v/>
      </c>
      <c r="M429" s="12">
        <f>IF($A429="",0,SUMIF('Family Contributions'!$I$4:$I$1003,$A429,'Family Contributions'!$G$4:$G$1003))</f>
        <v/>
      </c>
      <c r="N429" s="12">
        <f>IF($A429="",0,IF($I429="Yes",IF(ISNUMBER($G429),$G429,0)-$M429,0))</f>
        <v/>
      </c>
      <c r="O429" s="9" t="n"/>
      <c r="P429" s="9" t="n"/>
    </row>
    <row r="430">
      <c r="A430" s="9" t="n"/>
      <c r="B430" s="19" t="n"/>
      <c r="C430" s="9" t="n"/>
      <c r="D430" s="9" t="n"/>
      <c r="E430" s="9" t="n"/>
      <c r="F430" s="9" t="n"/>
      <c r="G430" s="10" t="n"/>
      <c r="H430" s="9" t="n"/>
      <c r="I430" s="9" t="n"/>
      <c r="J430" s="9" t="n"/>
      <c r="K430" s="9" t="n"/>
      <c r="L430">
        <f>IF($A430="","",IF($P430="Yes","Disputed / Review",IF($I430&lt;&gt;"Yes","Not Reimbursable",IF($M430&lt;=0.004,"Pending",IF($N430&lt;=0.004,"Reimbursed","Partially Reimbursed")))))</f>
        <v/>
      </c>
      <c r="M430" s="12">
        <f>IF($A430="",0,SUMIF('Family Contributions'!$I$4:$I$1003,$A430,'Family Contributions'!$G$4:$G$1003))</f>
        <v/>
      </c>
      <c r="N430" s="12">
        <f>IF($A430="",0,IF($I430="Yes",IF(ISNUMBER($G430),$G430,0)-$M430,0))</f>
        <v/>
      </c>
      <c r="O430" s="9" t="n"/>
      <c r="P430" s="9" t="n"/>
    </row>
    <row r="431">
      <c r="A431" s="9" t="n"/>
      <c r="B431" s="19" t="n"/>
      <c r="C431" s="9" t="n"/>
      <c r="D431" s="9" t="n"/>
      <c r="E431" s="9" t="n"/>
      <c r="F431" s="9" t="n"/>
      <c r="G431" s="10" t="n"/>
      <c r="H431" s="9" t="n"/>
      <c r="I431" s="9" t="n"/>
      <c r="J431" s="9" t="n"/>
      <c r="K431" s="9" t="n"/>
      <c r="L431">
        <f>IF($A431="","",IF($P431="Yes","Disputed / Review",IF($I431&lt;&gt;"Yes","Not Reimbursable",IF($M431&lt;=0.004,"Pending",IF($N431&lt;=0.004,"Reimbursed","Partially Reimbursed")))))</f>
        <v/>
      </c>
      <c r="M431" s="12">
        <f>IF($A431="",0,SUMIF('Family Contributions'!$I$4:$I$1003,$A431,'Family Contributions'!$G$4:$G$1003))</f>
        <v/>
      </c>
      <c r="N431" s="12">
        <f>IF($A431="",0,IF($I431="Yes",IF(ISNUMBER($G431),$G431,0)-$M431,0))</f>
        <v/>
      </c>
      <c r="O431" s="9" t="n"/>
      <c r="P431" s="9" t="n"/>
    </row>
    <row r="432">
      <c r="A432" s="9" t="n"/>
      <c r="B432" s="19" t="n"/>
      <c r="C432" s="9" t="n"/>
      <c r="D432" s="9" t="n"/>
      <c r="E432" s="9" t="n"/>
      <c r="F432" s="9" t="n"/>
      <c r="G432" s="10" t="n"/>
      <c r="H432" s="9" t="n"/>
      <c r="I432" s="9" t="n"/>
      <c r="J432" s="9" t="n"/>
      <c r="K432" s="9" t="n"/>
      <c r="L432">
        <f>IF($A432="","",IF($P432="Yes","Disputed / Review",IF($I432&lt;&gt;"Yes","Not Reimbursable",IF($M432&lt;=0.004,"Pending",IF($N432&lt;=0.004,"Reimbursed","Partially Reimbursed")))))</f>
        <v/>
      </c>
      <c r="M432" s="12">
        <f>IF($A432="",0,SUMIF('Family Contributions'!$I$4:$I$1003,$A432,'Family Contributions'!$G$4:$G$1003))</f>
        <v/>
      </c>
      <c r="N432" s="12">
        <f>IF($A432="",0,IF($I432="Yes",IF(ISNUMBER($G432),$G432,0)-$M432,0))</f>
        <v/>
      </c>
      <c r="O432" s="9" t="n"/>
      <c r="P432" s="9" t="n"/>
    </row>
    <row r="433">
      <c r="A433" s="9" t="n"/>
      <c r="B433" s="19" t="n"/>
      <c r="C433" s="9" t="n"/>
      <c r="D433" s="9" t="n"/>
      <c r="E433" s="9" t="n"/>
      <c r="F433" s="9" t="n"/>
      <c r="G433" s="10" t="n"/>
      <c r="H433" s="9" t="n"/>
      <c r="I433" s="9" t="n"/>
      <c r="J433" s="9" t="n"/>
      <c r="K433" s="9" t="n"/>
      <c r="L433">
        <f>IF($A433="","",IF($P433="Yes","Disputed / Review",IF($I433&lt;&gt;"Yes","Not Reimbursable",IF($M433&lt;=0.004,"Pending",IF($N433&lt;=0.004,"Reimbursed","Partially Reimbursed")))))</f>
        <v/>
      </c>
      <c r="M433" s="12">
        <f>IF($A433="",0,SUMIF('Family Contributions'!$I$4:$I$1003,$A433,'Family Contributions'!$G$4:$G$1003))</f>
        <v/>
      </c>
      <c r="N433" s="12">
        <f>IF($A433="",0,IF($I433="Yes",IF(ISNUMBER($G433),$G433,0)-$M433,0))</f>
        <v/>
      </c>
      <c r="O433" s="9" t="n"/>
      <c r="P433" s="9" t="n"/>
    </row>
    <row r="434">
      <c r="A434" s="9" t="n"/>
      <c r="B434" s="19" t="n"/>
      <c r="C434" s="9" t="n"/>
      <c r="D434" s="9" t="n"/>
      <c r="E434" s="9" t="n"/>
      <c r="F434" s="9" t="n"/>
      <c r="G434" s="10" t="n"/>
      <c r="H434" s="9" t="n"/>
      <c r="I434" s="9" t="n"/>
      <c r="J434" s="9" t="n"/>
      <c r="K434" s="9" t="n"/>
      <c r="L434">
        <f>IF($A434="","",IF($P434="Yes","Disputed / Review",IF($I434&lt;&gt;"Yes","Not Reimbursable",IF($M434&lt;=0.004,"Pending",IF($N434&lt;=0.004,"Reimbursed","Partially Reimbursed")))))</f>
        <v/>
      </c>
      <c r="M434" s="12">
        <f>IF($A434="",0,SUMIF('Family Contributions'!$I$4:$I$1003,$A434,'Family Contributions'!$G$4:$G$1003))</f>
        <v/>
      </c>
      <c r="N434" s="12">
        <f>IF($A434="",0,IF($I434="Yes",IF(ISNUMBER($G434),$G434,0)-$M434,0))</f>
        <v/>
      </c>
      <c r="O434" s="9" t="n"/>
      <c r="P434" s="9" t="n"/>
    </row>
    <row r="435">
      <c r="A435" s="9" t="n"/>
      <c r="B435" s="19" t="n"/>
      <c r="C435" s="9" t="n"/>
      <c r="D435" s="9" t="n"/>
      <c r="E435" s="9" t="n"/>
      <c r="F435" s="9" t="n"/>
      <c r="G435" s="10" t="n"/>
      <c r="H435" s="9" t="n"/>
      <c r="I435" s="9" t="n"/>
      <c r="J435" s="9" t="n"/>
      <c r="K435" s="9" t="n"/>
      <c r="L435">
        <f>IF($A435="","",IF($P435="Yes","Disputed / Review",IF($I435&lt;&gt;"Yes","Not Reimbursable",IF($M435&lt;=0.004,"Pending",IF($N435&lt;=0.004,"Reimbursed","Partially Reimbursed")))))</f>
        <v/>
      </c>
      <c r="M435" s="12">
        <f>IF($A435="",0,SUMIF('Family Contributions'!$I$4:$I$1003,$A435,'Family Contributions'!$G$4:$G$1003))</f>
        <v/>
      </c>
      <c r="N435" s="12">
        <f>IF($A435="",0,IF($I435="Yes",IF(ISNUMBER($G435),$G435,0)-$M435,0))</f>
        <v/>
      </c>
      <c r="O435" s="9" t="n"/>
      <c r="P435" s="9" t="n"/>
    </row>
    <row r="436">
      <c r="A436" s="9" t="n"/>
      <c r="B436" s="19" t="n"/>
      <c r="C436" s="9" t="n"/>
      <c r="D436" s="9" t="n"/>
      <c r="E436" s="9" t="n"/>
      <c r="F436" s="9" t="n"/>
      <c r="G436" s="10" t="n"/>
      <c r="H436" s="9" t="n"/>
      <c r="I436" s="9" t="n"/>
      <c r="J436" s="9" t="n"/>
      <c r="K436" s="9" t="n"/>
      <c r="L436">
        <f>IF($A436="","",IF($P436="Yes","Disputed / Review",IF($I436&lt;&gt;"Yes","Not Reimbursable",IF($M436&lt;=0.004,"Pending",IF($N436&lt;=0.004,"Reimbursed","Partially Reimbursed")))))</f>
        <v/>
      </c>
      <c r="M436" s="12">
        <f>IF($A436="",0,SUMIF('Family Contributions'!$I$4:$I$1003,$A436,'Family Contributions'!$G$4:$G$1003))</f>
        <v/>
      </c>
      <c r="N436" s="12">
        <f>IF($A436="",0,IF($I436="Yes",IF(ISNUMBER($G436),$G436,0)-$M436,0))</f>
        <v/>
      </c>
      <c r="O436" s="9" t="n"/>
      <c r="P436" s="9" t="n"/>
    </row>
    <row r="437">
      <c r="A437" s="9" t="n"/>
      <c r="B437" s="19" t="n"/>
      <c r="C437" s="9" t="n"/>
      <c r="D437" s="9" t="n"/>
      <c r="E437" s="9" t="n"/>
      <c r="F437" s="9" t="n"/>
      <c r="G437" s="10" t="n"/>
      <c r="H437" s="9" t="n"/>
      <c r="I437" s="9" t="n"/>
      <c r="J437" s="9" t="n"/>
      <c r="K437" s="9" t="n"/>
      <c r="L437">
        <f>IF($A437="","",IF($P437="Yes","Disputed / Review",IF($I437&lt;&gt;"Yes","Not Reimbursable",IF($M437&lt;=0.004,"Pending",IF($N437&lt;=0.004,"Reimbursed","Partially Reimbursed")))))</f>
        <v/>
      </c>
      <c r="M437" s="12">
        <f>IF($A437="",0,SUMIF('Family Contributions'!$I$4:$I$1003,$A437,'Family Contributions'!$G$4:$G$1003))</f>
        <v/>
      </c>
      <c r="N437" s="12">
        <f>IF($A437="",0,IF($I437="Yes",IF(ISNUMBER($G437),$G437,0)-$M437,0))</f>
        <v/>
      </c>
      <c r="O437" s="9" t="n"/>
      <c r="P437" s="9" t="n"/>
    </row>
    <row r="438">
      <c r="A438" s="9" t="n"/>
      <c r="B438" s="19" t="n"/>
      <c r="C438" s="9" t="n"/>
      <c r="D438" s="9" t="n"/>
      <c r="E438" s="9" t="n"/>
      <c r="F438" s="9" t="n"/>
      <c r="G438" s="10" t="n"/>
      <c r="H438" s="9" t="n"/>
      <c r="I438" s="9" t="n"/>
      <c r="J438" s="9" t="n"/>
      <c r="K438" s="9" t="n"/>
      <c r="L438">
        <f>IF($A438="","",IF($P438="Yes","Disputed / Review",IF($I438&lt;&gt;"Yes","Not Reimbursable",IF($M438&lt;=0.004,"Pending",IF($N438&lt;=0.004,"Reimbursed","Partially Reimbursed")))))</f>
        <v/>
      </c>
      <c r="M438" s="12">
        <f>IF($A438="",0,SUMIF('Family Contributions'!$I$4:$I$1003,$A438,'Family Contributions'!$G$4:$G$1003))</f>
        <v/>
      </c>
      <c r="N438" s="12">
        <f>IF($A438="",0,IF($I438="Yes",IF(ISNUMBER($G438),$G438,0)-$M438,0))</f>
        <v/>
      </c>
      <c r="O438" s="9" t="n"/>
      <c r="P438" s="9" t="n"/>
    </row>
    <row r="439">
      <c r="A439" s="9" t="n"/>
      <c r="B439" s="19" t="n"/>
      <c r="C439" s="9" t="n"/>
      <c r="D439" s="9" t="n"/>
      <c r="E439" s="9" t="n"/>
      <c r="F439" s="9" t="n"/>
      <c r="G439" s="10" t="n"/>
      <c r="H439" s="9" t="n"/>
      <c r="I439" s="9" t="n"/>
      <c r="J439" s="9" t="n"/>
      <c r="K439" s="9" t="n"/>
      <c r="L439">
        <f>IF($A439="","",IF($P439="Yes","Disputed / Review",IF($I439&lt;&gt;"Yes","Not Reimbursable",IF($M439&lt;=0.004,"Pending",IF($N439&lt;=0.004,"Reimbursed","Partially Reimbursed")))))</f>
        <v/>
      </c>
      <c r="M439" s="12">
        <f>IF($A439="",0,SUMIF('Family Contributions'!$I$4:$I$1003,$A439,'Family Contributions'!$G$4:$G$1003))</f>
        <v/>
      </c>
      <c r="N439" s="12">
        <f>IF($A439="",0,IF($I439="Yes",IF(ISNUMBER($G439),$G439,0)-$M439,0))</f>
        <v/>
      </c>
      <c r="O439" s="9" t="n"/>
      <c r="P439" s="9" t="n"/>
    </row>
    <row r="440">
      <c r="A440" s="9" t="n"/>
      <c r="B440" s="19" t="n"/>
      <c r="C440" s="9" t="n"/>
      <c r="D440" s="9" t="n"/>
      <c r="E440" s="9" t="n"/>
      <c r="F440" s="9" t="n"/>
      <c r="G440" s="10" t="n"/>
      <c r="H440" s="9" t="n"/>
      <c r="I440" s="9" t="n"/>
      <c r="J440" s="9" t="n"/>
      <c r="K440" s="9" t="n"/>
      <c r="L440">
        <f>IF($A440="","",IF($P440="Yes","Disputed / Review",IF($I440&lt;&gt;"Yes","Not Reimbursable",IF($M440&lt;=0.004,"Pending",IF($N440&lt;=0.004,"Reimbursed","Partially Reimbursed")))))</f>
        <v/>
      </c>
      <c r="M440" s="12">
        <f>IF($A440="",0,SUMIF('Family Contributions'!$I$4:$I$1003,$A440,'Family Contributions'!$G$4:$G$1003))</f>
        <v/>
      </c>
      <c r="N440" s="12">
        <f>IF($A440="",0,IF($I440="Yes",IF(ISNUMBER($G440),$G440,0)-$M440,0))</f>
        <v/>
      </c>
      <c r="O440" s="9" t="n"/>
      <c r="P440" s="9" t="n"/>
    </row>
    <row r="441">
      <c r="A441" s="9" t="n"/>
      <c r="B441" s="19" t="n"/>
      <c r="C441" s="9" t="n"/>
      <c r="D441" s="9" t="n"/>
      <c r="E441" s="9" t="n"/>
      <c r="F441" s="9" t="n"/>
      <c r="G441" s="10" t="n"/>
      <c r="H441" s="9" t="n"/>
      <c r="I441" s="9" t="n"/>
      <c r="J441" s="9" t="n"/>
      <c r="K441" s="9" t="n"/>
      <c r="L441">
        <f>IF($A441="","",IF($P441="Yes","Disputed / Review",IF($I441&lt;&gt;"Yes","Not Reimbursable",IF($M441&lt;=0.004,"Pending",IF($N441&lt;=0.004,"Reimbursed","Partially Reimbursed")))))</f>
        <v/>
      </c>
      <c r="M441" s="12">
        <f>IF($A441="",0,SUMIF('Family Contributions'!$I$4:$I$1003,$A441,'Family Contributions'!$G$4:$G$1003))</f>
        <v/>
      </c>
      <c r="N441" s="12">
        <f>IF($A441="",0,IF($I441="Yes",IF(ISNUMBER($G441),$G441,0)-$M441,0))</f>
        <v/>
      </c>
      <c r="O441" s="9" t="n"/>
      <c r="P441" s="9" t="n"/>
    </row>
    <row r="442">
      <c r="A442" s="9" t="n"/>
      <c r="B442" s="19" t="n"/>
      <c r="C442" s="9" t="n"/>
      <c r="D442" s="9" t="n"/>
      <c r="E442" s="9" t="n"/>
      <c r="F442" s="9" t="n"/>
      <c r="G442" s="10" t="n"/>
      <c r="H442" s="9" t="n"/>
      <c r="I442" s="9" t="n"/>
      <c r="J442" s="9" t="n"/>
      <c r="K442" s="9" t="n"/>
      <c r="L442">
        <f>IF($A442="","",IF($P442="Yes","Disputed / Review",IF($I442&lt;&gt;"Yes","Not Reimbursable",IF($M442&lt;=0.004,"Pending",IF($N442&lt;=0.004,"Reimbursed","Partially Reimbursed")))))</f>
        <v/>
      </c>
      <c r="M442" s="12">
        <f>IF($A442="",0,SUMIF('Family Contributions'!$I$4:$I$1003,$A442,'Family Contributions'!$G$4:$G$1003))</f>
        <v/>
      </c>
      <c r="N442" s="12">
        <f>IF($A442="",0,IF($I442="Yes",IF(ISNUMBER($G442),$G442,0)-$M442,0))</f>
        <v/>
      </c>
      <c r="O442" s="9" t="n"/>
      <c r="P442" s="9" t="n"/>
    </row>
    <row r="443">
      <c r="A443" s="9" t="n"/>
      <c r="B443" s="19" t="n"/>
      <c r="C443" s="9" t="n"/>
      <c r="D443" s="9" t="n"/>
      <c r="E443" s="9" t="n"/>
      <c r="F443" s="9" t="n"/>
      <c r="G443" s="10" t="n"/>
      <c r="H443" s="9" t="n"/>
      <c r="I443" s="9" t="n"/>
      <c r="J443" s="9" t="n"/>
      <c r="K443" s="9" t="n"/>
      <c r="L443">
        <f>IF($A443="","",IF($P443="Yes","Disputed / Review",IF($I443&lt;&gt;"Yes","Not Reimbursable",IF($M443&lt;=0.004,"Pending",IF($N443&lt;=0.004,"Reimbursed","Partially Reimbursed")))))</f>
        <v/>
      </c>
      <c r="M443" s="12">
        <f>IF($A443="",0,SUMIF('Family Contributions'!$I$4:$I$1003,$A443,'Family Contributions'!$G$4:$G$1003))</f>
        <v/>
      </c>
      <c r="N443" s="12">
        <f>IF($A443="",0,IF($I443="Yes",IF(ISNUMBER($G443),$G443,0)-$M443,0))</f>
        <v/>
      </c>
      <c r="O443" s="9" t="n"/>
      <c r="P443" s="9" t="n"/>
    </row>
    <row r="444">
      <c r="A444" s="9" t="n"/>
      <c r="B444" s="19" t="n"/>
      <c r="C444" s="9" t="n"/>
      <c r="D444" s="9" t="n"/>
      <c r="E444" s="9" t="n"/>
      <c r="F444" s="9" t="n"/>
      <c r="G444" s="10" t="n"/>
      <c r="H444" s="9" t="n"/>
      <c r="I444" s="9" t="n"/>
      <c r="J444" s="9" t="n"/>
      <c r="K444" s="9" t="n"/>
      <c r="L444">
        <f>IF($A444="","",IF($P444="Yes","Disputed / Review",IF($I444&lt;&gt;"Yes","Not Reimbursable",IF($M444&lt;=0.004,"Pending",IF($N444&lt;=0.004,"Reimbursed","Partially Reimbursed")))))</f>
        <v/>
      </c>
      <c r="M444" s="12">
        <f>IF($A444="",0,SUMIF('Family Contributions'!$I$4:$I$1003,$A444,'Family Contributions'!$G$4:$G$1003))</f>
        <v/>
      </c>
      <c r="N444" s="12">
        <f>IF($A444="",0,IF($I444="Yes",IF(ISNUMBER($G444),$G444,0)-$M444,0))</f>
        <v/>
      </c>
      <c r="O444" s="9" t="n"/>
      <c r="P444" s="9" t="n"/>
    </row>
    <row r="445">
      <c r="A445" s="9" t="n"/>
      <c r="B445" s="19" t="n"/>
      <c r="C445" s="9" t="n"/>
      <c r="D445" s="9" t="n"/>
      <c r="E445" s="9" t="n"/>
      <c r="F445" s="9" t="n"/>
      <c r="G445" s="10" t="n"/>
      <c r="H445" s="9" t="n"/>
      <c r="I445" s="9" t="n"/>
      <c r="J445" s="9" t="n"/>
      <c r="K445" s="9" t="n"/>
      <c r="L445">
        <f>IF($A445="","",IF($P445="Yes","Disputed / Review",IF($I445&lt;&gt;"Yes","Not Reimbursable",IF($M445&lt;=0.004,"Pending",IF($N445&lt;=0.004,"Reimbursed","Partially Reimbursed")))))</f>
        <v/>
      </c>
      <c r="M445" s="12">
        <f>IF($A445="",0,SUMIF('Family Contributions'!$I$4:$I$1003,$A445,'Family Contributions'!$G$4:$G$1003))</f>
        <v/>
      </c>
      <c r="N445" s="12">
        <f>IF($A445="",0,IF($I445="Yes",IF(ISNUMBER($G445),$G445,0)-$M445,0))</f>
        <v/>
      </c>
      <c r="O445" s="9" t="n"/>
      <c r="P445" s="9" t="n"/>
    </row>
    <row r="446">
      <c r="A446" s="9" t="n"/>
      <c r="B446" s="19" t="n"/>
      <c r="C446" s="9" t="n"/>
      <c r="D446" s="9" t="n"/>
      <c r="E446" s="9" t="n"/>
      <c r="F446" s="9" t="n"/>
      <c r="G446" s="10" t="n"/>
      <c r="H446" s="9" t="n"/>
      <c r="I446" s="9" t="n"/>
      <c r="J446" s="9" t="n"/>
      <c r="K446" s="9" t="n"/>
      <c r="L446">
        <f>IF($A446="","",IF($P446="Yes","Disputed / Review",IF($I446&lt;&gt;"Yes","Not Reimbursable",IF($M446&lt;=0.004,"Pending",IF($N446&lt;=0.004,"Reimbursed","Partially Reimbursed")))))</f>
        <v/>
      </c>
      <c r="M446" s="12">
        <f>IF($A446="",0,SUMIF('Family Contributions'!$I$4:$I$1003,$A446,'Family Contributions'!$G$4:$G$1003))</f>
        <v/>
      </c>
      <c r="N446" s="12">
        <f>IF($A446="",0,IF($I446="Yes",IF(ISNUMBER($G446),$G446,0)-$M446,0))</f>
        <v/>
      </c>
      <c r="O446" s="9" t="n"/>
      <c r="P446" s="9" t="n"/>
    </row>
    <row r="447">
      <c r="A447" s="9" t="n"/>
      <c r="B447" s="19" t="n"/>
      <c r="C447" s="9" t="n"/>
      <c r="D447" s="9" t="n"/>
      <c r="E447" s="9" t="n"/>
      <c r="F447" s="9" t="n"/>
      <c r="G447" s="10" t="n"/>
      <c r="H447" s="9" t="n"/>
      <c r="I447" s="9" t="n"/>
      <c r="J447" s="9" t="n"/>
      <c r="K447" s="9" t="n"/>
      <c r="L447">
        <f>IF($A447="","",IF($P447="Yes","Disputed / Review",IF($I447&lt;&gt;"Yes","Not Reimbursable",IF($M447&lt;=0.004,"Pending",IF($N447&lt;=0.004,"Reimbursed","Partially Reimbursed")))))</f>
        <v/>
      </c>
      <c r="M447" s="12">
        <f>IF($A447="",0,SUMIF('Family Contributions'!$I$4:$I$1003,$A447,'Family Contributions'!$G$4:$G$1003))</f>
        <v/>
      </c>
      <c r="N447" s="12">
        <f>IF($A447="",0,IF($I447="Yes",IF(ISNUMBER($G447),$G447,0)-$M447,0))</f>
        <v/>
      </c>
      <c r="O447" s="9" t="n"/>
      <c r="P447" s="9" t="n"/>
    </row>
    <row r="448">
      <c r="A448" s="9" t="n"/>
      <c r="B448" s="19" t="n"/>
      <c r="C448" s="9" t="n"/>
      <c r="D448" s="9" t="n"/>
      <c r="E448" s="9" t="n"/>
      <c r="F448" s="9" t="n"/>
      <c r="G448" s="10" t="n"/>
      <c r="H448" s="9" t="n"/>
      <c r="I448" s="9" t="n"/>
      <c r="J448" s="9" t="n"/>
      <c r="K448" s="9" t="n"/>
      <c r="L448">
        <f>IF($A448="","",IF($P448="Yes","Disputed / Review",IF($I448&lt;&gt;"Yes","Not Reimbursable",IF($M448&lt;=0.004,"Pending",IF($N448&lt;=0.004,"Reimbursed","Partially Reimbursed")))))</f>
        <v/>
      </c>
      <c r="M448" s="12">
        <f>IF($A448="",0,SUMIF('Family Contributions'!$I$4:$I$1003,$A448,'Family Contributions'!$G$4:$G$1003))</f>
        <v/>
      </c>
      <c r="N448" s="12">
        <f>IF($A448="",0,IF($I448="Yes",IF(ISNUMBER($G448),$G448,0)-$M448,0))</f>
        <v/>
      </c>
      <c r="O448" s="9" t="n"/>
      <c r="P448" s="9" t="n"/>
    </row>
    <row r="449">
      <c r="A449" s="9" t="n"/>
      <c r="B449" s="19" t="n"/>
      <c r="C449" s="9" t="n"/>
      <c r="D449" s="9" t="n"/>
      <c r="E449" s="9" t="n"/>
      <c r="F449" s="9" t="n"/>
      <c r="G449" s="10" t="n"/>
      <c r="H449" s="9" t="n"/>
      <c r="I449" s="9" t="n"/>
      <c r="J449" s="9" t="n"/>
      <c r="K449" s="9" t="n"/>
      <c r="L449">
        <f>IF($A449="","",IF($P449="Yes","Disputed / Review",IF($I449&lt;&gt;"Yes","Not Reimbursable",IF($M449&lt;=0.004,"Pending",IF($N449&lt;=0.004,"Reimbursed","Partially Reimbursed")))))</f>
        <v/>
      </c>
      <c r="M449" s="12">
        <f>IF($A449="",0,SUMIF('Family Contributions'!$I$4:$I$1003,$A449,'Family Contributions'!$G$4:$G$1003))</f>
        <v/>
      </c>
      <c r="N449" s="12">
        <f>IF($A449="",0,IF($I449="Yes",IF(ISNUMBER($G449),$G449,0)-$M449,0))</f>
        <v/>
      </c>
      <c r="O449" s="9" t="n"/>
      <c r="P449" s="9" t="n"/>
    </row>
    <row r="450">
      <c r="A450" s="9" t="n"/>
      <c r="B450" s="19" t="n"/>
      <c r="C450" s="9" t="n"/>
      <c r="D450" s="9" t="n"/>
      <c r="E450" s="9" t="n"/>
      <c r="F450" s="9" t="n"/>
      <c r="G450" s="10" t="n"/>
      <c r="H450" s="9" t="n"/>
      <c r="I450" s="9" t="n"/>
      <c r="J450" s="9" t="n"/>
      <c r="K450" s="9" t="n"/>
      <c r="L450">
        <f>IF($A450="","",IF($P450="Yes","Disputed / Review",IF($I450&lt;&gt;"Yes","Not Reimbursable",IF($M450&lt;=0.004,"Pending",IF($N450&lt;=0.004,"Reimbursed","Partially Reimbursed")))))</f>
        <v/>
      </c>
      <c r="M450" s="12">
        <f>IF($A450="",0,SUMIF('Family Contributions'!$I$4:$I$1003,$A450,'Family Contributions'!$G$4:$G$1003))</f>
        <v/>
      </c>
      <c r="N450" s="12">
        <f>IF($A450="",0,IF($I450="Yes",IF(ISNUMBER($G450),$G450,0)-$M450,0))</f>
        <v/>
      </c>
      <c r="O450" s="9" t="n"/>
      <c r="P450" s="9" t="n"/>
    </row>
    <row r="451">
      <c r="A451" s="9" t="n"/>
      <c r="B451" s="19" t="n"/>
      <c r="C451" s="9" t="n"/>
      <c r="D451" s="9" t="n"/>
      <c r="E451" s="9" t="n"/>
      <c r="F451" s="9" t="n"/>
      <c r="G451" s="10" t="n"/>
      <c r="H451" s="9" t="n"/>
      <c r="I451" s="9" t="n"/>
      <c r="J451" s="9" t="n"/>
      <c r="K451" s="9" t="n"/>
      <c r="L451">
        <f>IF($A451="","",IF($P451="Yes","Disputed / Review",IF($I451&lt;&gt;"Yes","Not Reimbursable",IF($M451&lt;=0.004,"Pending",IF($N451&lt;=0.004,"Reimbursed","Partially Reimbursed")))))</f>
        <v/>
      </c>
      <c r="M451" s="12">
        <f>IF($A451="",0,SUMIF('Family Contributions'!$I$4:$I$1003,$A451,'Family Contributions'!$G$4:$G$1003))</f>
        <v/>
      </c>
      <c r="N451" s="12">
        <f>IF($A451="",0,IF($I451="Yes",IF(ISNUMBER($G451),$G451,0)-$M451,0))</f>
        <v/>
      </c>
      <c r="O451" s="9" t="n"/>
      <c r="P451" s="9" t="n"/>
    </row>
    <row r="452">
      <c r="A452" s="9" t="n"/>
      <c r="B452" s="19" t="n"/>
      <c r="C452" s="9" t="n"/>
      <c r="D452" s="9" t="n"/>
      <c r="E452" s="9" t="n"/>
      <c r="F452" s="9" t="n"/>
      <c r="G452" s="10" t="n"/>
      <c r="H452" s="9" t="n"/>
      <c r="I452" s="9" t="n"/>
      <c r="J452" s="9" t="n"/>
      <c r="K452" s="9" t="n"/>
      <c r="L452">
        <f>IF($A452="","",IF($P452="Yes","Disputed / Review",IF($I452&lt;&gt;"Yes","Not Reimbursable",IF($M452&lt;=0.004,"Pending",IF($N452&lt;=0.004,"Reimbursed","Partially Reimbursed")))))</f>
        <v/>
      </c>
      <c r="M452" s="12">
        <f>IF($A452="",0,SUMIF('Family Contributions'!$I$4:$I$1003,$A452,'Family Contributions'!$G$4:$G$1003))</f>
        <v/>
      </c>
      <c r="N452" s="12">
        <f>IF($A452="",0,IF($I452="Yes",IF(ISNUMBER($G452),$G452,0)-$M452,0))</f>
        <v/>
      </c>
      <c r="O452" s="9" t="n"/>
      <c r="P452" s="9" t="n"/>
    </row>
    <row r="453">
      <c r="A453" s="9" t="n"/>
      <c r="B453" s="19" t="n"/>
      <c r="C453" s="9" t="n"/>
      <c r="D453" s="9" t="n"/>
      <c r="E453" s="9" t="n"/>
      <c r="F453" s="9" t="n"/>
      <c r="G453" s="10" t="n"/>
      <c r="H453" s="9" t="n"/>
      <c r="I453" s="9" t="n"/>
      <c r="J453" s="9" t="n"/>
      <c r="K453" s="9" t="n"/>
      <c r="L453">
        <f>IF($A453="","",IF($P453="Yes","Disputed / Review",IF($I453&lt;&gt;"Yes","Not Reimbursable",IF($M453&lt;=0.004,"Pending",IF($N453&lt;=0.004,"Reimbursed","Partially Reimbursed")))))</f>
        <v/>
      </c>
      <c r="M453" s="12">
        <f>IF($A453="",0,SUMIF('Family Contributions'!$I$4:$I$1003,$A453,'Family Contributions'!$G$4:$G$1003))</f>
        <v/>
      </c>
      <c r="N453" s="12">
        <f>IF($A453="",0,IF($I453="Yes",IF(ISNUMBER($G453),$G453,0)-$M453,0))</f>
        <v/>
      </c>
      <c r="O453" s="9" t="n"/>
      <c r="P453" s="9" t="n"/>
    </row>
    <row r="454">
      <c r="A454" s="9" t="n"/>
      <c r="B454" s="19" t="n"/>
      <c r="C454" s="9" t="n"/>
      <c r="D454" s="9" t="n"/>
      <c r="E454" s="9" t="n"/>
      <c r="F454" s="9" t="n"/>
      <c r="G454" s="10" t="n"/>
      <c r="H454" s="9" t="n"/>
      <c r="I454" s="9" t="n"/>
      <c r="J454" s="9" t="n"/>
      <c r="K454" s="9" t="n"/>
      <c r="L454">
        <f>IF($A454="","",IF($P454="Yes","Disputed / Review",IF($I454&lt;&gt;"Yes","Not Reimbursable",IF($M454&lt;=0.004,"Pending",IF($N454&lt;=0.004,"Reimbursed","Partially Reimbursed")))))</f>
        <v/>
      </c>
      <c r="M454" s="12">
        <f>IF($A454="",0,SUMIF('Family Contributions'!$I$4:$I$1003,$A454,'Family Contributions'!$G$4:$G$1003))</f>
        <v/>
      </c>
      <c r="N454" s="12">
        <f>IF($A454="",0,IF($I454="Yes",IF(ISNUMBER($G454),$G454,0)-$M454,0))</f>
        <v/>
      </c>
      <c r="O454" s="9" t="n"/>
      <c r="P454" s="9" t="n"/>
    </row>
    <row r="455">
      <c r="A455" s="9" t="n"/>
      <c r="B455" s="19" t="n"/>
      <c r="C455" s="9" t="n"/>
      <c r="D455" s="9" t="n"/>
      <c r="E455" s="9" t="n"/>
      <c r="F455" s="9" t="n"/>
      <c r="G455" s="10" t="n"/>
      <c r="H455" s="9" t="n"/>
      <c r="I455" s="9" t="n"/>
      <c r="J455" s="9" t="n"/>
      <c r="K455" s="9" t="n"/>
      <c r="L455">
        <f>IF($A455="","",IF($P455="Yes","Disputed / Review",IF($I455&lt;&gt;"Yes","Not Reimbursable",IF($M455&lt;=0.004,"Pending",IF($N455&lt;=0.004,"Reimbursed","Partially Reimbursed")))))</f>
        <v/>
      </c>
      <c r="M455" s="12">
        <f>IF($A455="",0,SUMIF('Family Contributions'!$I$4:$I$1003,$A455,'Family Contributions'!$G$4:$G$1003))</f>
        <v/>
      </c>
      <c r="N455" s="12">
        <f>IF($A455="",0,IF($I455="Yes",IF(ISNUMBER($G455),$G455,0)-$M455,0))</f>
        <v/>
      </c>
      <c r="O455" s="9" t="n"/>
      <c r="P455" s="9" t="n"/>
    </row>
    <row r="456">
      <c r="A456" s="9" t="n"/>
      <c r="B456" s="19" t="n"/>
      <c r="C456" s="9" t="n"/>
      <c r="D456" s="9" t="n"/>
      <c r="E456" s="9" t="n"/>
      <c r="F456" s="9" t="n"/>
      <c r="G456" s="10" t="n"/>
      <c r="H456" s="9" t="n"/>
      <c r="I456" s="9" t="n"/>
      <c r="J456" s="9" t="n"/>
      <c r="K456" s="9" t="n"/>
      <c r="L456">
        <f>IF($A456="","",IF($P456="Yes","Disputed / Review",IF($I456&lt;&gt;"Yes","Not Reimbursable",IF($M456&lt;=0.004,"Pending",IF($N456&lt;=0.004,"Reimbursed","Partially Reimbursed")))))</f>
        <v/>
      </c>
      <c r="M456" s="12">
        <f>IF($A456="",0,SUMIF('Family Contributions'!$I$4:$I$1003,$A456,'Family Contributions'!$G$4:$G$1003))</f>
        <v/>
      </c>
      <c r="N456" s="12">
        <f>IF($A456="",0,IF($I456="Yes",IF(ISNUMBER($G456),$G456,0)-$M456,0))</f>
        <v/>
      </c>
      <c r="O456" s="9" t="n"/>
      <c r="P456" s="9" t="n"/>
    </row>
    <row r="457">
      <c r="A457" s="9" t="n"/>
      <c r="B457" s="19" t="n"/>
      <c r="C457" s="9" t="n"/>
      <c r="D457" s="9" t="n"/>
      <c r="E457" s="9" t="n"/>
      <c r="F457" s="9" t="n"/>
      <c r="G457" s="10" t="n"/>
      <c r="H457" s="9" t="n"/>
      <c r="I457" s="9" t="n"/>
      <c r="J457" s="9" t="n"/>
      <c r="K457" s="9" t="n"/>
      <c r="L457">
        <f>IF($A457="","",IF($P457="Yes","Disputed / Review",IF($I457&lt;&gt;"Yes","Not Reimbursable",IF($M457&lt;=0.004,"Pending",IF($N457&lt;=0.004,"Reimbursed","Partially Reimbursed")))))</f>
        <v/>
      </c>
      <c r="M457" s="12">
        <f>IF($A457="",0,SUMIF('Family Contributions'!$I$4:$I$1003,$A457,'Family Contributions'!$G$4:$G$1003))</f>
        <v/>
      </c>
      <c r="N457" s="12">
        <f>IF($A457="",0,IF($I457="Yes",IF(ISNUMBER($G457),$G457,0)-$M457,0))</f>
        <v/>
      </c>
      <c r="O457" s="9" t="n"/>
      <c r="P457" s="9" t="n"/>
    </row>
    <row r="458">
      <c r="A458" s="9" t="n"/>
      <c r="B458" s="19" t="n"/>
      <c r="C458" s="9" t="n"/>
      <c r="D458" s="9" t="n"/>
      <c r="E458" s="9" t="n"/>
      <c r="F458" s="9" t="n"/>
      <c r="G458" s="10" t="n"/>
      <c r="H458" s="9" t="n"/>
      <c r="I458" s="9" t="n"/>
      <c r="J458" s="9" t="n"/>
      <c r="K458" s="9" t="n"/>
      <c r="L458">
        <f>IF($A458="","",IF($P458="Yes","Disputed / Review",IF($I458&lt;&gt;"Yes","Not Reimbursable",IF($M458&lt;=0.004,"Pending",IF($N458&lt;=0.004,"Reimbursed","Partially Reimbursed")))))</f>
        <v/>
      </c>
      <c r="M458" s="12">
        <f>IF($A458="",0,SUMIF('Family Contributions'!$I$4:$I$1003,$A458,'Family Contributions'!$G$4:$G$1003))</f>
        <v/>
      </c>
      <c r="N458" s="12">
        <f>IF($A458="",0,IF($I458="Yes",IF(ISNUMBER($G458),$G458,0)-$M458,0))</f>
        <v/>
      </c>
      <c r="O458" s="9" t="n"/>
      <c r="P458" s="9" t="n"/>
    </row>
    <row r="459">
      <c r="A459" s="9" t="n"/>
      <c r="B459" s="19" t="n"/>
      <c r="C459" s="9" t="n"/>
      <c r="D459" s="9" t="n"/>
      <c r="E459" s="9" t="n"/>
      <c r="F459" s="9" t="n"/>
      <c r="G459" s="10" t="n"/>
      <c r="H459" s="9" t="n"/>
      <c r="I459" s="9" t="n"/>
      <c r="J459" s="9" t="n"/>
      <c r="K459" s="9" t="n"/>
      <c r="L459">
        <f>IF($A459="","",IF($P459="Yes","Disputed / Review",IF($I459&lt;&gt;"Yes","Not Reimbursable",IF($M459&lt;=0.004,"Pending",IF($N459&lt;=0.004,"Reimbursed","Partially Reimbursed")))))</f>
        <v/>
      </c>
      <c r="M459" s="12">
        <f>IF($A459="",0,SUMIF('Family Contributions'!$I$4:$I$1003,$A459,'Family Contributions'!$G$4:$G$1003))</f>
        <v/>
      </c>
      <c r="N459" s="12">
        <f>IF($A459="",0,IF($I459="Yes",IF(ISNUMBER($G459),$G459,0)-$M459,0))</f>
        <v/>
      </c>
      <c r="O459" s="9" t="n"/>
      <c r="P459" s="9" t="n"/>
    </row>
    <row r="460">
      <c r="A460" s="9" t="n"/>
      <c r="B460" s="19" t="n"/>
      <c r="C460" s="9" t="n"/>
      <c r="D460" s="9" t="n"/>
      <c r="E460" s="9" t="n"/>
      <c r="F460" s="9" t="n"/>
      <c r="G460" s="10" t="n"/>
      <c r="H460" s="9" t="n"/>
      <c r="I460" s="9" t="n"/>
      <c r="J460" s="9" t="n"/>
      <c r="K460" s="9" t="n"/>
      <c r="L460">
        <f>IF($A460="","",IF($P460="Yes","Disputed / Review",IF($I460&lt;&gt;"Yes","Not Reimbursable",IF($M460&lt;=0.004,"Pending",IF($N460&lt;=0.004,"Reimbursed","Partially Reimbursed")))))</f>
        <v/>
      </c>
      <c r="M460" s="12">
        <f>IF($A460="",0,SUMIF('Family Contributions'!$I$4:$I$1003,$A460,'Family Contributions'!$G$4:$G$1003))</f>
        <v/>
      </c>
      <c r="N460" s="12">
        <f>IF($A460="",0,IF($I460="Yes",IF(ISNUMBER($G460),$G460,0)-$M460,0))</f>
        <v/>
      </c>
      <c r="O460" s="9" t="n"/>
      <c r="P460" s="9" t="n"/>
    </row>
    <row r="461">
      <c r="A461" s="9" t="n"/>
      <c r="B461" s="19" t="n"/>
      <c r="C461" s="9" t="n"/>
      <c r="D461" s="9" t="n"/>
      <c r="E461" s="9" t="n"/>
      <c r="F461" s="9" t="n"/>
      <c r="G461" s="10" t="n"/>
      <c r="H461" s="9" t="n"/>
      <c r="I461" s="9" t="n"/>
      <c r="J461" s="9" t="n"/>
      <c r="K461" s="9" t="n"/>
      <c r="L461">
        <f>IF($A461="","",IF($P461="Yes","Disputed / Review",IF($I461&lt;&gt;"Yes","Not Reimbursable",IF($M461&lt;=0.004,"Pending",IF($N461&lt;=0.004,"Reimbursed","Partially Reimbursed")))))</f>
        <v/>
      </c>
      <c r="M461" s="12">
        <f>IF($A461="",0,SUMIF('Family Contributions'!$I$4:$I$1003,$A461,'Family Contributions'!$G$4:$G$1003))</f>
        <v/>
      </c>
      <c r="N461" s="12">
        <f>IF($A461="",0,IF($I461="Yes",IF(ISNUMBER($G461),$G461,0)-$M461,0))</f>
        <v/>
      </c>
      <c r="O461" s="9" t="n"/>
      <c r="P461" s="9" t="n"/>
    </row>
    <row r="462">
      <c r="A462" s="9" t="n"/>
      <c r="B462" s="19" t="n"/>
      <c r="C462" s="9" t="n"/>
      <c r="D462" s="9" t="n"/>
      <c r="E462" s="9" t="n"/>
      <c r="F462" s="9" t="n"/>
      <c r="G462" s="10" t="n"/>
      <c r="H462" s="9" t="n"/>
      <c r="I462" s="9" t="n"/>
      <c r="J462" s="9" t="n"/>
      <c r="K462" s="9" t="n"/>
      <c r="L462">
        <f>IF($A462="","",IF($P462="Yes","Disputed / Review",IF($I462&lt;&gt;"Yes","Not Reimbursable",IF($M462&lt;=0.004,"Pending",IF($N462&lt;=0.004,"Reimbursed","Partially Reimbursed")))))</f>
        <v/>
      </c>
      <c r="M462" s="12">
        <f>IF($A462="",0,SUMIF('Family Contributions'!$I$4:$I$1003,$A462,'Family Contributions'!$G$4:$G$1003))</f>
        <v/>
      </c>
      <c r="N462" s="12">
        <f>IF($A462="",0,IF($I462="Yes",IF(ISNUMBER($G462),$G462,0)-$M462,0))</f>
        <v/>
      </c>
      <c r="O462" s="9" t="n"/>
      <c r="P462" s="9" t="n"/>
    </row>
    <row r="463">
      <c r="A463" s="9" t="n"/>
      <c r="B463" s="19" t="n"/>
      <c r="C463" s="9" t="n"/>
      <c r="D463" s="9" t="n"/>
      <c r="E463" s="9" t="n"/>
      <c r="F463" s="9" t="n"/>
      <c r="G463" s="10" t="n"/>
      <c r="H463" s="9" t="n"/>
      <c r="I463" s="9" t="n"/>
      <c r="J463" s="9" t="n"/>
      <c r="K463" s="9" t="n"/>
      <c r="L463">
        <f>IF($A463="","",IF($P463="Yes","Disputed / Review",IF($I463&lt;&gt;"Yes","Not Reimbursable",IF($M463&lt;=0.004,"Pending",IF($N463&lt;=0.004,"Reimbursed","Partially Reimbursed")))))</f>
        <v/>
      </c>
      <c r="M463" s="12">
        <f>IF($A463="",0,SUMIF('Family Contributions'!$I$4:$I$1003,$A463,'Family Contributions'!$G$4:$G$1003))</f>
        <v/>
      </c>
      <c r="N463" s="12">
        <f>IF($A463="",0,IF($I463="Yes",IF(ISNUMBER($G463),$G463,0)-$M463,0))</f>
        <v/>
      </c>
      <c r="O463" s="9" t="n"/>
      <c r="P463" s="9" t="n"/>
    </row>
    <row r="464">
      <c r="A464" s="9" t="n"/>
      <c r="B464" s="19" t="n"/>
      <c r="C464" s="9" t="n"/>
      <c r="D464" s="9" t="n"/>
      <c r="E464" s="9" t="n"/>
      <c r="F464" s="9" t="n"/>
      <c r="G464" s="10" t="n"/>
      <c r="H464" s="9" t="n"/>
      <c r="I464" s="9" t="n"/>
      <c r="J464" s="9" t="n"/>
      <c r="K464" s="9" t="n"/>
      <c r="L464">
        <f>IF($A464="","",IF($P464="Yes","Disputed / Review",IF($I464&lt;&gt;"Yes","Not Reimbursable",IF($M464&lt;=0.004,"Pending",IF($N464&lt;=0.004,"Reimbursed","Partially Reimbursed")))))</f>
        <v/>
      </c>
      <c r="M464" s="12">
        <f>IF($A464="",0,SUMIF('Family Contributions'!$I$4:$I$1003,$A464,'Family Contributions'!$G$4:$G$1003))</f>
        <v/>
      </c>
      <c r="N464" s="12">
        <f>IF($A464="",0,IF($I464="Yes",IF(ISNUMBER($G464),$G464,0)-$M464,0))</f>
        <v/>
      </c>
      <c r="O464" s="9" t="n"/>
      <c r="P464" s="9" t="n"/>
    </row>
    <row r="465">
      <c r="A465" s="9" t="n"/>
      <c r="B465" s="19" t="n"/>
      <c r="C465" s="9" t="n"/>
      <c r="D465" s="9" t="n"/>
      <c r="E465" s="9" t="n"/>
      <c r="F465" s="9" t="n"/>
      <c r="G465" s="10" t="n"/>
      <c r="H465" s="9" t="n"/>
      <c r="I465" s="9" t="n"/>
      <c r="J465" s="9" t="n"/>
      <c r="K465" s="9" t="n"/>
      <c r="L465">
        <f>IF($A465="","",IF($P465="Yes","Disputed / Review",IF($I465&lt;&gt;"Yes","Not Reimbursable",IF($M465&lt;=0.004,"Pending",IF($N465&lt;=0.004,"Reimbursed","Partially Reimbursed")))))</f>
        <v/>
      </c>
      <c r="M465" s="12">
        <f>IF($A465="",0,SUMIF('Family Contributions'!$I$4:$I$1003,$A465,'Family Contributions'!$G$4:$G$1003))</f>
        <v/>
      </c>
      <c r="N465" s="12">
        <f>IF($A465="",0,IF($I465="Yes",IF(ISNUMBER($G465),$G465,0)-$M465,0))</f>
        <v/>
      </c>
      <c r="O465" s="9" t="n"/>
      <c r="P465" s="9" t="n"/>
    </row>
    <row r="466">
      <c r="A466" s="9" t="n"/>
      <c r="B466" s="19" t="n"/>
      <c r="C466" s="9" t="n"/>
      <c r="D466" s="9" t="n"/>
      <c r="E466" s="9" t="n"/>
      <c r="F466" s="9" t="n"/>
      <c r="G466" s="10" t="n"/>
      <c r="H466" s="9" t="n"/>
      <c r="I466" s="9" t="n"/>
      <c r="J466" s="9" t="n"/>
      <c r="K466" s="9" t="n"/>
      <c r="L466">
        <f>IF($A466="","",IF($P466="Yes","Disputed / Review",IF($I466&lt;&gt;"Yes","Not Reimbursable",IF($M466&lt;=0.004,"Pending",IF($N466&lt;=0.004,"Reimbursed","Partially Reimbursed")))))</f>
        <v/>
      </c>
      <c r="M466" s="12">
        <f>IF($A466="",0,SUMIF('Family Contributions'!$I$4:$I$1003,$A466,'Family Contributions'!$G$4:$G$1003))</f>
        <v/>
      </c>
      <c r="N466" s="12">
        <f>IF($A466="",0,IF($I466="Yes",IF(ISNUMBER($G466),$G466,0)-$M466,0))</f>
        <v/>
      </c>
      <c r="O466" s="9" t="n"/>
      <c r="P466" s="9" t="n"/>
    </row>
    <row r="467">
      <c r="A467" s="9" t="n"/>
      <c r="B467" s="19" t="n"/>
      <c r="C467" s="9" t="n"/>
      <c r="D467" s="9" t="n"/>
      <c r="E467" s="9" t="n"/>
      <c r="F467" s="9" t="n"/>
      <c r="G467" s="10" t="n"/>
      <c r="H467" s="9" t="n"/>
      <c r="I467" s="9" t="n"/>
      <c r="J467" s="9" t="n"/>
      <c r="K467" s="9" t="n"/>
      <c r="L467">
        <f>IF($A467="","",IF($P467="Yes","Disputed / Review",IF($I467&lt;&gt;"Yes","Not Reimbursable",IF($M467&lt;=0.004,"Pending",IF($N467&lt;=0.004,"Reimbursed","Partially Reimbursed")))))</f>
        <v/>
      </c>
      <c r="M467" s="12">
        <f>IF($A467="",0,SUMIF('Family Contributions'!$I$4:$I$1003,$A467,'Family Contributions'!$G$4:$G$1003))</f>
        <v/>
      </c>
      <c r="N467" s="12">
        <f>IF($A467="",0,IF($I467="Yes",IF(ISNUMBER($G467),$G467,0)-$M467,0))</f>
        <v/>
      </c>
      <c r="O467" s="9" t="n"/>
      <c r="P467" s="9" t="n"/>
    </row>
    <row r="468">
      <c r="A468" s="9" t="n"/>
      <c r="B468" s="19" t="n"/>
      <c r="C468" s="9" t="n"/>
      <c r="D468" s="9" t="n"/>
      <c r="E468" s="9" t="n"/>
      <c r="F468" s="9" t="n"/>
      <c r="G468" s="10" t="n"/>
      <c r="H468" s="9" t="n"/>
      <c r="I468" s="9" t="n"/>
      <c r="J468" s="9" t="n"/>
      <c r="K468" s="9" t="n"/>
      <c r="L468">
        <f>IF($A468="","",IF($P468="Yes","Disputed / Review",IF($I468&lt;&gt;"Yes","Not Reimbursable",IF($M468&lt;=0.004,"Pending",IF($N468&lt;=0.004,"Reimbursed","Partially Reimbursed")))))</f>
        <v/>
      </c>
      <c r="M468" s="12">
        <f>IF($A468="",0,SUMIF('Family Contributions'!$I$4:$I$1003,$A468,'Family Contributions'!$G$4:$G$1003))</f>
        <v/>
      </c>
      <c r="N468" s="12">
        <f>IF($A468="",0,IF($I468="Yes",IF(ISNUMBER($G468),$G468,0)-$M468,0))</f>
        <v/>
      </c>
      <c r="O468" s="9" t="n"/>
      <c r="P468" s="9" t="n"/>
    </row>
    <row r="469">
      <c r="A469" s="9" t="n"/>
      <c r="B469" s="19" t="n"/>
      <c r="C469" s="9" t="n"/>
      <c r="D469" s="9" t="n"/>
      <c r="E469" s="9" t="n"/>
      <c r="F469" s="9" t="n"/>
      <c r="G469" s="10" t="n"/>
      <c r="H469" s="9" t="n"/>
      <c r="I469" s="9" t="n"/>
      <c r="J469" s="9" t="n"/>
      <c r="K469" s="9" t="n"/>
      <c r="L469">
        <f>IF($A469="","",IF($P469="Yes","Disputed / Review",IF($I469&lt;&gt;"Yes","Not Reimbursable",IF($M469&lt;=0.004,"Pending",IF($N469&lt;=0.004,"Reimbursed","Partially Reimbursed")))))</f>
        <v/>
      </c>
      <c r="M469" s="12">
        <f>IF($A469="",0,SUMIF('Family Contributions'!$I$4:$I$1003,$A469,'Family Contributions'!$G$4:$G$1003))</f>
        <v/>
      </c>
      <c r="N469" s="12">
        <f>IF($A469="",0,IF($I469="Yes",IF(ISNUMBER($G469),$G469,0)-$M469,0))</f>
        <v/>
      </c>
      <c r="O469" s="9" t="n"/>
      <c r="P469" s="9" t="n"/>
    </row>
    <row r="470">
      <c r="A470" s="9" t="n"/>
      <c r="B470" s="19" t="n"/>
      <c r="C470" s="9" t="n"/>
      <c r="D470" s="9" t="n"/>
      <c r="E470" s="9" t="n"/>
      <c r="F470" s="9" t="n"/>
      <c r="G470" s="10" t="n"/>
      <c r="H470" s="9" t="n"/>
      <c r="I470" s="9" t="n"/>
      <c r="J470" s="9" t="n"/>
      <c r="K470" s="9" t="n"/>
      <c r="L470">
        <f>IF($A470="","",IF($P470="Yes","Disputed / Review",IF($I470&lt;&gt;"Yes","Not Reimbursable",IF($M470&lt;=0.004,"Pending",IF($N470&lt;=0.004,"Reimbursed","Partially Reimbursed")))))</f>
        <v/>
      </c>
      <c r="M470" s="12">
        <f>IF($A470="",0,SUMIF('Family Contributions'!$I$4:$I$1003,$A470,'Family Contributions'!$G$4:$G$1003))</f>
        <v/>
      </c>
      <c r="N470" s="12">
        <f>IF($A470="",0,IF($I470="Yes",IF(ISNUMBER($G470),$G470,0)-$M470,0))</f>
        <v/>
      </c>
      <c r="O470" s="9" t="n"/>
      <c r="P470" s="9" t="n"/>
    </row>
    <row r="471">
      <c r="A471" s="9" t="n"/>
      <c r="B471" s="19" t="n"/>
      <c r="C471" s="9" t="n"/>
      <c r="D471" s="9" t="n"/>
      <c r="E471" s="9" t="n"/>
      <c r="F471" s="9" t="n"/>
      <c r="G471" s="10" t="n"/>
      <c r="H471" s="9" t="n"/>
      <c r="I471" s="9" t="n"/>
      <c r="J471" s="9" t="n"/>
      <c r="K471" s="9" t="n"/>
      <c r="L471">
        <f>IF($A471="","",IF($P471="Yes","Disputed / Review",IF($I471&lt;&gt;"Yes","Not Reimbursable",IF($M471&lt;=0.004,"Pending",IF($N471&lt;=0.004,"Reimbursed","Partially Reimbursed")))))</f>
        <v/>
      </c>
      <c r="M471" s="12">
        <f>IF($A471="",0,SUMIF('Family Contributions'!$I$4:$I$1003,$A471,'Family Contributions'!$G$4:$G$1003))</f>
        <v/>
      </c>
      <c r="N471" s="12">
        <f>IF($A471="",0,IF($I471="Yes",IF(ISNUMBER($G471),$G471,0)-$M471,0))</f>
        <v/>
      </c>
      <c r="O471" s="9" t="n"/>
      <c r="P471" s="9" t="n"/>
    </row>
    <row r="472">
      <c r="A472" s="9" t="n"/>
      <c r="B472" s="19" t="n"/>
      <c r="C472" s="9" t="n"/>
      <c r="D472" s="9" t="n"/>
      <c r="E472" s="9" t="n"/>
      <c r="F472" s="9" t="n"/>
      <c r="G472" s="10" t="n"/>
      <c r="H472" s="9" t="n"/>
      <c r="I472" s="9" t="n"/>
      <c r="J472" s="9" t="n"/>
      <c r="K472" s="9" t="n"/>
      <c r="L472">
        <f>IF($A472="","",IF($P472="Yes","Disputed / Review",IF($I472&lt;&gt;"Yes","Not Reimbursable",IF($M472&lt;=0.004,"Pending",IF($N472&lt;=0.004,"Reimbursed","Partially Reimbursed")))))</f>
        <v/>
      </c>
      <c r="M472" s="12">
        <f>IF($A472="",0,SUMIF('Family Contributions'!$I$4:$I$1003,$A472,'Family Contributions'!$G$4:$G$1003))</f>
        <v/>
      </c>
      <c r="N472" s="12">
        <f>IF($A472="",0,IF($I472="Yes",IF(ISNUMBER($G472),$G472,0)-$M472,0))</f>
        <v/>
      </c>
      <c r="O472" s="9" t="n"/>
      <c r="P472" s="9" t="n"/>
    </row>
    <row r="473">
      <c r="A473" s="9" t="n"/>
      <c r="B473" s="19" t="n"/>
      <c r="C473" s="9" t="n"/>
      <c r="D473" s="9" t="n"/>
      <c r="E473" s="9" t="n"/>
      <c r="F473" s="9" t="n"/>
      <c r="G473" s="10" t="n"/>
      <c r="H473" s="9" t="n"/>
      <c r="I473" s="9" t="n"/>
      <c r="J473" s="9" t="n"/>
      <c r="K473" s="9" t="n"/>
      <c r="L473">
        <f>IF($A473="","",IF($P473="Yes","Disputed / Review",IF($I473&lt;&gt;"Yes","Not Reimbursable",IF($M473&lt;=0.004,"Pending",IF($N473&lt;=0.004,"Reimbursed","Partially Reimbursed")))))</f>
        <v/>
      </c>
      <c r="M473" s="12">
        <f>IF($A473="",0,SUMIF('Family Contributions'!$I$4:$I$1003,$A473,'Family Contributions'!$G$4:$G$1003))</f>
        <v/>
      </c>
      <c r="N473" s="12">
        <f>IF($A473="",0,IF($I473="Yes",IF(ISNUMBER($G473),$G473,0)-$M473,0))</f>
        <v/>
      </c>
      <c r="O473" s="9" t="n"/>
      <c r="P473" s="9" t="n"/>
    </row>
    <row r="474">
      <c r="A474" s="9" t="n"/>
      <c r="B474" s="19" t="n"/>
      <c r="C474" s="9" t="n"/>
      <c r="D474" s="9" t="n"/>
      <c r="E474" s="9" t="n"/>
      <c r="F474" s="9" t="n"/>
      <c r="G474" s="10" t="n"/>
      <c r="H474" s="9" t="n"/>
      <c r="I474" s="9" t="n"/>
      <c r="J474" s="9" t="n"/>
      <c r="K474" s="9" t="n"/>
      <c r="L474">
        <f>IF($A474="","",IF($P474="Yes","Disputed / Review",IF($I474&lt;&gt;"Yes","Not Reimbursable",IF($M474&lt;=0.004,"Pending",IF($N474&lt;=0.004,"Reimbursed","Partially Reimbursed")))))</f>
        <v/>
      </c>
      <c r="M474" s="12">
        <f>IF($A474="",0,SUMIF('Family Contributions'!$I$4:$I$1003,$A474,'Family Contributions'!$G$4:$G$1003))</f>
        <v/>
      </c>
      <c r="N474" s="12">
        <f>IF($A474="",0,IF($I474="Yes",IF(ISNUMBER($G474),$G474,0)-$M474,0))</f>
        <v/>
      </c>
      <c r="O474" s="9" t="n"/>
      <c r="P474" s="9" t="n"/>
    </row>
    <row r="475">
      <c r="A475" s="9" t="n"/>
      <c r="B475" s="19" t="n"/>
      <c r="C475" s="9" t="n"/>
      <c r="D475" s="9" t="n"/>
      <c r="E475" s="9" t="n"/>
      <c r="F475" s="9" t="n"/>
      <c r="G475" s="10" t="n"/>
      <c r="H475" s="9" t="n"/>
      <c r="I475" s="9" t="n"/>
      <c r="J475" s="9" t="n"/>
      <c r="K475" s="9" t="n"/>
      <c r="L475">
        <f>IF($A475="","",IF($P475="Yes","Disputed / Review",IF($I475&lt;&gt;"Yes","Not Reimbursable",IF($M475&lt;=0.004,"Pending",IF($N475&lt;=0.004,"Reimbursed","Partially Reimbursed")))))</f>
        <v/>
      </c>
      <c r="M475" s="12">
        <f>IF($A475="",0,SUMIF('Family Contributions'!$I$4:$I$1003,$A475,'Family Contributions'!$G$4:$G$1003))</f>
        <v/>
      </c>
      <c r="N475" s="12">
        <f>IF($A475="",0,IF($I475="Yes",IF(ISNUMBER($G475),$G475,0)-$M475,0))</f>
        <v/>
      </c>
      <c r="O475" s="9" t="n"/>
      <c r="P475" s="9" t="n"/>
    </row>
    <row r="476">
      <c r="A476" s="9" t="n"/>
      <c r="B476" s="19" t="n"/>
      <c r="C476" s="9" t="n"/>
      <c r="D476" s="9" t="n"/>
      <c r="E476" s="9" t="n"/>
      <c r="F476" s="9" t="n"/>
      <c r="G476" s="10" t="n"/>
      <c r="H476" s="9" t="n"/>
      <c r="I476" s="9" t="n"/>
      <c r="J476" s="9" t="n"/>
      <c r="K476" s="9" t="n"/>
      <c r="L476">
        <f>IF($A476="","",IF($P476="Yes","Disputed / Review",IF($I476&lt;&gt;"Yes","Not Reimbursable",IF($M476&lt;=0.004,"Pending",IF($N476&lt;=0.004,"Reimbursed","Partially Reimbursed")))))</f>
        <v/>
      </c>
      <c r="M476" s="12">
        <f>IF($A476="",0,SUMIF('Family Contributions'!$I$4:$I$1003,$A476,'Family Contributions'!$G$4:$G$1003))</f>
        <v/>
      </c>
      <c r="N476" s="12">
        <f>IF($A476="",0,IF($I476="Yes",IF(ISNUMBER($G476),$G476,0)-$M476,0))</f>
        <v/>
      </c>
      <c r="O476" s="9" t="n"/>
      <c r="P476" s="9" t="n"/>
    </row>
    <row r="477">
      <c r="A477" s="9" t="n"/>
      <c r="B477" s="19" t="n"/>
      <c r="C477" s="9" t="n"/>
      <c r="D477" s="9" t="n"/>
      <c r="E477" s="9" t="n"/>
      <c r="F477" s="9" t="n"/>
      <c r="G477" s="10" t="n"/>
      <c r="H477" s="9" t="n"/>
      <c r="I477" s="9" t="n"/>
      <c r="J477" s="9" t="n"/>
      <c r="K477" s="9" t="n"/>
      <c r="L477">
        <f>IF($A477="","",IF($P477="Yes","Disputed / Review",IF($I477&lt;&gt;"Yes","Not Reimbursable",IF($M477&lt;=0.004,"Pending",IF($N477&lt;=0.004,"Reimbursed","Partially Reimbursed")))))</f>
        <v/>
      </c>
      <c r="M477" s="12">
        <f>IF($A477="",0,SUMIF('Family Contributions'!$I$4:$I$1003,$A477,'Family Contributions'!$G$4:$G$1003))</f>
        <v/>
      </c>
      <c r="N477" s="12">
        <f>IF($A477="",0,IF($I477="Yes",IF(ISNUMBER($G477),$G477,0)-$M477,0))</f>
        <v/>
      </c>
      <c r="O477" s="9" t="n"/>
      <c r="P477" s="9" t="n"/>
    </row>
    <row r="478">
      <c r="A478" s="9" t="n"/>
      <c r="B478" s="19" t="n"/>
      <c r="C478" s="9" t="n"/>
      <c r="D478" s="9" t="n"/>
      <c r="E478" s="9" t="n"/>
      <c r="F478" s="9" t="n"/>
      <c r="G478" s="10" t="n"/>
      <c r="H478" s="9" t="n"/>
      <c r="I478" s="9" t="n"/>
      <c r="J478" s="9" t="n"/>
      <c r="K478" s="9" t="n"/>
      <c r="L478">
        <f>IF($A478="","",IF($P478="Yes","Disputed / Review",IF($I478&lt;&gt;"Yes","Not Reimbursable",IF($M478&lt;=0.004,"Pending",IF($N478&lt;=0.004,"Reimbursed","Partially Reimbursed")))))</f>
        <v/>
      </c>
      <c r="M478" s="12">
        <f>IF($A478="",0,SUMIF('Family Contributions'!$I$4:$I$1003,$A478,'Family Contributions'!$G$4:$G$1003))</f>
        <v/>
      </c>
      <c r="N478" s="12">
        <f>IF($A478="",0,IF($I478="Yes",IF(ISNUMBER($G478),$G478,0)-$M478,0))</f>
        <v/>
      </c>
      <c r="O478" s="9" t="n"/>
      <c r="P478" s="9" t="n"/>
    </row>
    <row r="479">
      <c r="A479" s="9" t="n"/>
      <c r="B479" s="19" t="n"/>
      <c r="C479" s="9" t="n"/>
      <c r="D479" s="9" t="n"/>
      <c r="E479" s="9" t="n"/>
      <c r="F479" s="9" t="n"/>
      <c r="G479" s="10" t="n"/>
      <c r="H479" s="9" t="n"/>
      <c r="I479" s="9" t="n"/>
      <c r="J479" s="9" t="n"/>
      <c r="K479" s="9" t="n"/>
      <c r="L479">
        <f>IF($A479="","",IF($P479="Yes","Disputed / Review",IF($I479&lt;&gt;"Yes","Not Reimbursable",IF($M479&lt;=0.004,"Pending",IF($N479&lt;=0.004,"Reimbursed","Partially Reimbursed")))))</f>
        <v/>
      </c>
      <c r="M479" s="12">
        <f>IF($A479="",0,SUMIF('Family Contributions'!$I$4:$I$1003,$A479,'Family Contributions'!$G$4:$G$1003))</f>
        <v/>
      </c>
      <c r="N479" s="12">
        <f>IF($A479="",0,IF($I479="Yes",IF(ISNUMBER($G479),$G479,0)-$M479,0))</f>
        <v/>
      </c>
      <c r="O479" s="9" t="n"/>
      <c r="P479" s="9" t="n"/>
    </row>
    <row r="480">
      <c r="A480" s="9" t="n"/>
      <c r="B480" s="19" t="n"/>
      <c r="C480" s="9" t="n"/>
      <c r="D480" s="9" t="n"/>
      <c r="E480" s="9" t="n"/>
      <c r="F480" s="9" t="n"/>
      <c r="G480" s="10" t="n"/>
      <c r="H480" s="9" t="n"/>
      <c r="I480" s="9" t="n"/>
      <c r="J480" s="9" t="n"/>
      <c r="K480" s="9" t="n"/>
      <c r="L480">
        <f>IF($A480="","",IF($P480="Yes","Disputed / Review",IF($I480&lt;&gt;"Yes","Not Reimbursable",IF($M480&lt;=0.004,"Pending",IF($N480&lt;=0.004,"Reimbursed","Partially Reimbursed")))))</f>
        <v/>
      </c>
      <c r="M480" s="12">
        <f>IF($A480="",0,SUMIF('Family Contributions'!$I$4:$I$1003,$A480,'Family Contributions'!$G$4:$G$1003))</f>
        <v/>
      </c>
      <c r="N480" s="12">
        <f>IF($A480="",0,IF($I480="Yes",IF(ISNUMBER($G480),$G480,0)-$M480,0))</f>
        <v/>
      </c>
      <c r="O480" s="9" t="n"/>
      <c r="P480" s="9" t="n"/>
    </row>
    <row r="481">
      <c r="A481" s="9" t="n"/>
      <c r="B481" s="19" t="n"/>
      <c r="C481" s="9" t="n"/>
      <c r="D481" s="9" t="n"/>
      <c r="E481" s="9" t="n"/>
      <c r="F481" s="9" t="n"/>
      <c r="G481" s="10" t="n"/>
      <c r="H481" s="9" t="n"/>
      <c r="I481" s="9" t="n"/>
      <c r="J481" s="9" t="n"/>
      <c r="K481" s="9" t="n"/>
      <c r="L481">
        <f>IF($A481="","",IF($P481="Yes","Disputed / Review",IF($I481&lt;&gt;"Yes","Not Reimbursable",IF($M481&lt;=0.004,"Pending",IF($N481&lt;=0.004,"Reimbursed","Partially Reimbursed")))))</f>
        <v/>
      </c>
      <c r="M481" s="12">
        <f>IF($A481="",0,SUMIF('Family Contributions'!$I$4:$I$1003,$A481,'Family Contributions'!$G$4:$G$1003))</f>
        <v/>
      </c>
      <c r="N481" s="12">
        <f>IF($A481="",0,IF($I481="Yes",IF(ISNUMBER($G481),$G481,0)-$M481,0))</f>
        <v/>
      </c>
      <c r="O481" s="9" t="n"/>
      <c r="P481" s="9" t="n"/>
    </row>
    <row r="482">
      <c r="A482" s="9" t="n"/>
      <c r="B482" s="19" t="n"/>
      <c r="C482" s="9" t="n"/>
      <c r="D482" s="9" t="n"/>
      <c r="E482" s="9" t="n"/>
      <c r="F482" s="9" t="n"/>
      <c r="G482" s="10" t="n"/>
      <c r="H482" s="9" t="n"/>
      <c r="I482" s="9" t="n"/>
      <c r="J482" s="9" t="n"/>
      <c r="K482" s="9" t="n"/>
      <c r="L482">
        <f>IF($A482="","",IF($P482="Yes","Disputed / Review",IF($I482&lt;&gt;"Yes","Not Reimbursable",IF($M482&lt;=0.004,"Pending",IF($N482&lt;=0.004,"Reimbursed","Partially Reimbursed")))))</f>
        <v/>
      </c>
      <c r="M482" s="12">
        <f>IF($A482="",0,SUMIF('Family Contributions'!$I$4:$I$1003,$A482,'Family Contributions'!$G$4:$G$1003))</f>
        <v/>
      </c>
      <c r="N482" s="12">
        <f>IF($A482="",0,IF($I482="Yes",IF(ISNUMBER($G482),$G482,0)-$M482,0))</f>
        <v/>
      </c>
      <c r="O482" s="9" t="n"/>
      <c r="P482" s="9" t="n"/>
    </row>
    <row r="483">
      <c r="A483" s="9" t="n"/>
      <c r="B483" s="19" t="n"/>
      <c r="C483" s="9" t="n"/>
      <c r="D483" s="9" t="n"/>
      <c r="E483" s="9" t="n"/>
      <c r="F483" s="9" t="n"/>
      <c r="G483" s="10" t="n"/>
      <c r="H483" s="9" t="n"/>
      <c r="I483" s="9" t="n"/>
      <c r="J483" s="9" t="n"/>
      <c r="K483" s="9" t="n"/>
      <c r="L483">
        <f>IF($A483="","",IF($P483="Yes","Disputed / Review",IF($I483&lt;&gt;"Yes","Not Reimbursable",IF($M483&lt;=0.004,"Pending",IF($N483&lt;=0.004,"Reimbursed","Partially Reimbursed")))))</f>
        <v/>
      </c>
      <c r="M483" s="12">
        <f>IF($A483="",0,SUMIF('Family Contributions'!$I$4:$I$1003,$A483,'Family Contributions'!$G$4:$G$1003))</f>
        <v/>
      </c>
      <c r="N483" s="12">
        <f>IF($A483="",0,IF($I483="Yes",IF(ISNUMBER($G483),$G483,0)-$M483,0))</f>
        <v/>
      </c>
      <c r="O483" s="9" t="n"/>
      <c r="P483" s="9" t="n"/>
    </row>
    <row r="484">
      <c r="A484" s="9" t="n"/>
      <c r="B484" s="19" t="n"/>
      <c r="C484" s="9" t="n"/>
      <c r="D484" s="9" t="n"/>
      <c r="E484" s="9" t="n"/>
      <c r="F484" s="9" t="n"/>
      <c r="G484" s="10" t="n"/>
      <c r="H484" s="9" t="n"/>
      <c r="I484" s="9" t="n"/>
      <c r="J484" s="9" t="n"/>
      <c r="K484" s="9" t="n"/>
      <c r="L484">
        <f>IF($A484="","",IF($P484="Yes","Disputed / Review",IF($I484&lt;&gt;"Yes","Not Reimbursable",IF($M484&lt;=0.004,"Pending",IF($N484&lt;=0.004,"Reimbursed","Partially Reimbursed")))))</f>
        <v/>
      </c>
      <c r="M484" s="12">
        <f>IF($A484="",0,SUMIF('Family Contributions'!$I$4:$I$1003,$A484,'Family Contributions'!$G$4:$G$1003))</f>
        <v/>
      </c>
      <c r="N484" s="12">
        <f>IF($A484="",0,IF($I484="Yes",IF(ISNUMBER($G484),$G484,0)-$M484,0))</f>
        <v/>
      </c>
      <c r="O484" s="9" t="n"/>
      <c r="P484" s="9" t="n"/>
    </row>
    <row r="485">
      <c r="A485" s="9" t="n"/>
      <c r="B485" s="19" t="n"/>
      <c r="C485" s="9" t="n"/>
      <c r="D485" s="9" t="n"/>
      <c r="E485" s="9" t="n"/>
      <c r="F485" s="9" t="n"/>
      <c r="G485" s="10" t="n"/>
      <c r="H485" s="9" t="n"/>
      <c r="I485" s="9" t="n"/>
      <c r="J485" s="9" t="n"/>
      <c r="K485" s="9" t="n"/>
      <c r="L485">
        <f>IF($A485="","",IF($P485="Yes","Disputed / Review",IF($I485&lt;&gt;"Yes","Not Reimbursable",IF($M485&lt;=0.004,"Pending",IF($N485&lt;=0.004,"Reimbursed","Partially Reimbursed")))))</f>
        <v/>
      </c>
      <c r="M485" s="12">
        <f>IF($A485="",0,SUMIF('Family Contributions'!$I$4:$I$1003,$A485,'Family Contributions'!$G$4:$G$1003))</f>
        <v/>
      </c>
      <c r="N485" s="12">
        <f>IF($A485="",0,IF($I485="Yes",IF(ISNUMBER($G485),$G485,0)-$M485,0))</f>
        <v/>
      </c>
      <c r="O485" s="9" t="n"/>
      <c r="P485" s="9" t="n"/>
    </row>
    <row r="486">
      <c r="A486" s="9" t="n"/>
      <c r="B486" s="19" t="n"/>
      <c r="C486" s="9" t="n"/>
      <c r="D486" s="9" t="n"/>
      <c r="E486" s="9" t="n"/>
      <c r="F486" s="9" t="n"/>
      <c r="G486" s="10" t="n"/>
      <c r="H486" s="9" t="n"/>
      <c r="I486" s="9" t="n"/>
      <c r="J486" s="9" t="n"/>
      <c r="K486" s="9" t="n"/>
      <c r="L486">
        <f>IF($A486="","",IF($P486="Yes","Disputed / Review",IF($I486&lt;&gt;"Yes","Not Reimbursable",IF($M486&lt;=0.004,"Pending",IF($N486&lt;=0.004,"Reimbursed","Partially Reimbursed")))))</f>
        <v/>
      </c>
      <c r="M486" s="12">
        <f>IF($A486="",0,SUMIF('Family Contributions'!$I$4:$I$1003,$A486,'Family Contributions'!$G$4:$G$1003))</f>
        <v/>
      </c>
      <c r="N486" s="12">
        <f>IF($A486="",0,IF($I486="Yes",IF(ISNUMBER($G486),$G486,0)-$M486,0))</f>
        <v/>
      </c>
      <c r="O486" s="9" t="n"/>
      <c r="P486" s="9" t="n"/>
    </row>
    <row r="487">
      <c r="A487" s="9" t="n"/>
      <c r="B487" s="19" t="n"/>
      <c r="C487" s="9" t="n"/>
      <c r="D487" s="9" t="n"/>
      <c r="E487" s="9" t="n"/>
      <c r="F487" s="9" t="n"/>
      <c r="G487" s="10" t="n"/>
      <c r="H487" s="9" t="n"/>
      <c r="I487" s="9" t="n"/>
      <c r="J487" s="9" t="n"/>
      <c r="K487" s="9" t="n"/>
      <c r="L487">
        <f>IF($A487="","",IF($P487="Yes","Disputed / Review",IF($I487&lt;&gt;"Yes","Not Reimbursable",IF($M487&lt;=0.004,"Pending",IF($N487&lt;=0.004,"Reimbursed","Partially Reimbursed")))))</f>
        <v/>
      </c>
      <c r="M487" s="12">
        <f>IF($A487="",0,SUMIF('Family Contributions'!$I$4:$I$1003,$A487,'Family Contributions'!$G$4:$G$1003))</f>
        <v/>
      </c>
      <c r="N487" s="12">
        <f>IF($A487="",0,IF($I487="Yes",IF(ISNUMBER($G487),$G487,0)-$M487,0))</f>
        <v/>
      </c>
      <c r="O487" s="9" t="n"/>
      <c r="P487" s="9" t="n"/>
    </row>
    <row r="488">
      <c r="A488" s="9" t="n"/>
      <c r="B488" s="19" t="n"/>
      <c r="C488" s="9" t="n"/>
      <c r="D488" s="9" t="n"/>
      <c r="E488" s="9" t="n"/>
      <c r="F488" s="9" t="n"/>
      <c r="G488" s="10" t="n"/>
      <c r="H488" s="9" t="n"/>
      <c r="I488" s="9" t="n"/>
      <c r="J488" s="9" t="n"/>
      <c r="K488" s="9" t="n"/>
      <c r="L488">
        <f>IF($A488="","",IF($P488="Yes","Disputed / Review",IF($I488&lt;&gt;"Yes","Not Reimbursable",IF($M488&lt;=0.004,"Pending",IF($N488&lt;=0.004,"Reimbursed","Partially Reimbursed")))))</f>
        <v/>
      </c>
      <c r="M488" s="12">
        <f>IF($A488="",0,SUMIF('Family Contributions'!$I$4:$I$1003,$A488,'Family Contributions'!$G$4:$G$1003))</f>
        <v/>
      </c>
      <c r="N488" s="12">
        <f>IF($A488="",0,IF($I488="Yes",IF(ISNUMBER($G488),$G488,0)-$M488,0))</f>
        <v/>
      </c>
      <c r="O488" s="9" t="n"/>
      <c r="P488" s="9" t="n"/>
    </row>
    <row r="489">
      <c r="A489" s="9" t="n"/>
      <c r="B489" s="19" t="n"/>
      <c r="C489" s="9" t="n"/>
      <c r="D489" s="9" t="n"/>
      <c r="E489" s="9" t="n"/>
      <c r="F489" s="9" t="n"/>
      <c r="G489" s="10" t="n"/>
      <c r="H489" s="9" t="n"/>
      <c r="I489" s="9" t="n"/>
      <c r="J489" s="9" t="n"/>
      <c r="K489" s="9" t="n"/>
      <c r="L489">
        <f>IF($A489="","",IF($P489="Yes","Disputed / Review",IF($I489&lt;&gt;"Yes","Not Reimbursable",IF($M489&lt;=0.004,"Pending",IF($N489&lt;=0.004,"Reimbursed","Partially Reimbursed")))))</f>
        <v/>
      </c>
      <c r="M489" s="12">
        <f>IF($A489="",0,SUMIF('Family Contributions'!$I$4:$I$1003,$A489,'Family Contributions'!$G$4:$G$1003))</f>
        <v/>
      </c>
      <c r="N489" s="12">
        <f>IF($A489="",0,IF($I489="Yes",IF(ISNUMBER($G489),$G489,0)-$M489,0))</f>
        <v/>
      </c>
      <c r="O489" s="9" t="n"/>
      <c r="P489" s="9" t="n"/>
    </row>
    <row r="490">
      <c r="A490" s="9" t="n"/>
      <c r="B490" s="19" t="n"/>
      <c r="C490" s="9" t="n"/>
      <c r="D490" s="9" t="n"/>
      <c r="E490" s="9" t="n"/>
      <c r="F490" s="9" t="n"/>
      <c r="G490" s="10" t="n"/>
      <c r="H490" s="9" t="n"/>
      <c r="I490" s="9" t="n"/>
      <c r="J490" s="9" t="n"/>
      <c r="K490" s="9" t="n"/>
      <c r="L490">
        <f>IF($A490="","",IF($P490="Yes","Disputed / Review",IF($I490&lt;&gt;"Yes","Not Reimbursable",IF($M490&lt;=0.004,"Pending",IF($N490&lt;=0.004,"Reimbursed","Partially Reimbursed")))))</f>
        <v/>
      </c>
      <c r="M490" s="12">
        <f>IF($A490="",0,SUMIF('Family Contributions'!$I$4:$I$1003,$A490,'Family Contributions'!$G$4:$G$1003))</f>
        <v/>
      </c>
      <c r="N490" s="12">
        <f>IF($A490="",0,IF($I490="Yes",IF(ISNUMBER($G490),$G490,0)-$M490,0))</f>
        <v/>
      </c>
      <c r="O490" s="9" t="n"/>
      <c r="P490" s="9" t="n"/>
    </row>
    <row r="491">
      <c r="A491" s="9" t="n"/>
      <c r="B491" s="19" t="n"/>
      <c r="C491" s="9" t="n"/>
      <c r="D491" s="9" t="n"/>
      <c r="E491" s="9" t="n"/>
      <c r="F491" s="9" t="n"/>
      <c r="G491" s="10" t="n"/>
      <c r="H491" s="9" t="n"/>
      <c r="I491" s="9" t="n"/>
      <c r="J491" s="9" t="n"/>
      <c r="K491" s="9" t="n"/>
      <c r="L491">
        <f>IF($A491="","",IF($P491="Yes","Disputed / Review",IF($I491&lt;&gt;"Yes","Not Reimbursable",IF($M491&lt;=0.004,"Pending",IF($N491&lt;=0.004,"Reimbursed","Partially Reimbursed")))))</f>
        <v/>
      </c>
      <c r="M491" s="12">
        <f>IF($A491="",0,SUMIF('Family Contributions'!$I$4:$I$1003,$A491,'Family Contributions'!$G$4:$G$1003))</f>
        <v/>
      </c>
      <c r="N491" s="12">
        <f>IF($A491="",0,IF($I491="Yes",IF(ISNUMBER($G491),$G491,0)-$M491,0))</f>
        <v/>
      </c>
      <c r="O491" s="9" t="n"/>
      <c r="P491" s="9" t="n"/>
    </row>
    <row r="492">
      <c r="A492" s="9" t="n"/>
      <c r="B492" s="19" t="n"/>
      <c r="C492" s="9" t="n"/>
      <c r="D492" s="9" t="n"/>
      <c r="E492" s="9" t="n"/>
      <c r="F492" s="9" t="n"/>
      <c r="G492" s="10" t="n"/>
      <c r="H492" s="9" t="n"/>
      <c r="I492" s="9" t="n"/>
      <c r="J492" s="9" t="n"/>
      <c r="K492" s="9" t="n"/>
      <c r="L492">
        <f>IF($A492="","",IF($P492="Yes","Disputed / Review",IF($I492&lt;&gt;"Yes","Not Reimbursable",IF($M492&lt;=0.004,"Pending",IF($N492&lt;=0.004,"Reimbursed","Partially Reimbursed")))))</f>
        <v/>
      </c>
      <c r="M492" s="12">
        <f>IF($A492="",0,SUMIF('Family Contributions'!$I$4:$I$1003,$A492,'Family Contributions'!$G$4:$G$1003))</f>
        <v/>
      </c>
      <c r="N492" s="12">
        <f>IF($A492="",0,IF($I492="Yes",IF(ISNUMBER($G492),$G492,0)-$M492,0))</f>
        <v/>
      </c>
      <c r="O492" s="9" t="n"/>
      <c r="P492" s="9" t="n"/>
    </row>
    <row r="493">
      <c r="A493" s="9" t="n"/>
      <c r="B493" s="19" t="n"/>
      <c r="C493" s="9" t="n"/>
      <c r="D493" s="9" t="n"/>
      <c r="E493" s="9" t="n"/>
      <c r="F493" s="9" t="n"/>
      <c r="G493" s="10" t="n"/>
      <c r="H493" s="9" t="n"/>
      <c r="I493" s="9" t="n"/>
      <c r="J493" s="9" t="n"/>
      <c r="K493" s="9" t="n"/>
      <c r="L493">
        <f>IF($A493="","",IF($P493="Yes","Disputed / Review",IF($I493&lt;&gt;"Yes","Not Reimbursable",IF($M493&lt;=0.004,"Pending",IF($N493&lt;=0.004,"Reimbursed","Partially Reimbursed")))))</f>
        <v/>
      </c>
      <c r="M493" s="12">
        <f>IF($A493="",0,SUMIF('Family Contributions'!$I$4:$I$1003,$A493,'Family Contributions'!$G$4:$G$1003))</f>
        <v/>
      </c>
      <c r="N493" s="12">
        <f>IF($A493="",0,IF($I493="Yes",IF(ISNUMBER($G493),$G493,0)-$M493,0))</f>
        <v/>
      </c>
      <c r="O493" s="9" t="n"/>
      <c r="P493" s="9" t="n"/>
    </row>
    <row r="494">
      <c r="A494" s="9" t="n"/>
      <c r="B494" s="19" t="n"/>
      <c r="C494" s="9" t="n"/>
      <c r="D494" s="9" t="n"/>
      <c r="E494" s="9" t="n"/>
      <c r="F494" s="9" t="n"/>
      <c r="G494" s="10" t="n"/>
      <c r="H494" s="9" t="n"/>
      <c r="I494" s="9" t="n"/>
      <c r="J494" s="9" t="n"/>
      <c r="K494" s="9" t="n"/>
      <c r="L494">
        <f>IF($A494="","",IF($P494="Yes","Disputed / Review",IF($I494&lt;&gt;"Yes","Not Reimbursable",IF($M494&lt;=0.004,"Pending",IF($N494&lt;=0.004,"Reimbursed","Partially Reimbursed")))))</f>
        <v/>
      </c>
      <c r="M494" s="12">
        <f>IF($A494="",0,SUMIF('Family Contributions'!$I$4:$I$1003,$A494,'Family Contributions'!$G$4:$G$1003))</f>
        <v/>
      </c>
      <c r="N494" s="12">
        <f>IF($A494="",0,IF($I494="Yes",IF(ISNUMBER($G494),$G494,0)-$M494,0))</f>
        <v/>
      </c>
      <c r="O494" s="9" t="n"/>
      <c r="P494" s="9" t="n"/>
    </row>
    <row r="495">
      <c r="A495" s="9" t="n"/>
      <c r="B495" s="19" t="n"/>
      <c r="C495" s="9" t="n"/>
      <c r="D495" s="9" t="n"/>
      <c r="E495" s="9" t="n"/>
      <c r="F495" s="9" t="n"/>
      <c r="G495" s="10" t="n"/>
      <c r="H495" s="9" t="n"/>
      <c r="I495" s="9" t="n"/>
      <c r="J495" s="9" t="n"/>
      <c r="K495" s="9" t="n"/>
      <c r="L495">
        <f>IF($A495="","",IF($P495="Yes","Disputed / Review",IF($I495&lt;&gt;"Yes","Not Reimbursable",IF($M495&lt;=0.004,"Pending",IF($N495&lt;=0.004,"Reimbursed","Partially Reimbursed")))))</f>
        <v/>
      </c>
      <c r="M495" s="12">
        <f>IF($A495="",0,SUMIF('Family Contributions'!$I$4:$I$1003,$A495,'Family Contributions'!$G$4:$G$1003))</f>
        <v/>
      </c>
      <c r="N495" s="12">
        <f>IF($A495="",0,IF($I495="Yes",IF(ISNUMBER($G495),$G495,0)-$M495,0))</f>
        <v/>
      </c>
      <c r="O495" s="9" t="n"/>
      <c r="P495" s="9" t="n"/>
    </row>
    <row r="496">
      <c r="A496" s="9" t="n"/>
      <c r="B496" s="19" t="n"/>
      <c r="C496" s="9" t="n"/>
      <c r="D496" s="9" t="n"/>
      <c r="E496" s="9" t="n"/>
      <c r="F496" s="9" t="n"/>
      <c r="G496" s="10" t="n"/>
      <c r="H496" s="9" t="n"/>
      <c r="I496" s="9" t="n"/>
      <c r="J496" s="9" t="n"/>
      <c r="K496" s="9" t="n"/>
      <c r="L496">
        <f>IF($A496="","",IF($P496="Yes","Disputed / Review",IF($I496&lt;&gt;"Yes","Not Reimbursable",IF($M496&lt;=0.004,"Pending",IF($N496&lt;=0.004,"Reimbursed","Partially Reimbursed")))))</f>
        <v/>
      </c>
      <c r="M496" s="12">
        <f>IF($A496="",0,SUMIF('Family Contributions'!$I$4:$I$1003,$A496,'Family Contributions'!$G$4:$G$1003))</f>
        <v/>
      </c>
      <c r="N496" s="12">
        <f>IF($A496="",0,IF($I496="Yes",IF(ISNUMBER($G496),$G496,0)-$M496,0))</f>
        <v/>
      </c>
      <c r="O496" s="9" t="n"/>
      <c r="P496" s="9" t="n"/>
    </row>
    <row r="497">
      <c r="A497" s="9" t="n"/>
      <c r="B497" s="19" t="n"/>
      <c r="C497" s="9" t="n"/>
      <c r="D497" s="9" t="n"/>
      <c r="E497" s="9" t="n"/>
      <c r="F497" s="9" t="n"/>
      <c r="G497" s="10" t="n"/>
      <c r="H497" s="9" t="n"/>
      <c r="I497" s="9" t="n"/>
      <c r="J497" s="9" t="n"/>
      <c r="K497" s="9" t="n"/>
      <c r="L497">
        <f>IF($A497="","",IF($P497="Yes","Disputed / Review",IF($I497&lt;&gt;"Yes","Not Reimbursable",IF($M497&lt;=0.004,"Pending",IF($N497&lt;=0.004,"Reimbursed","Partially Reimbursed")))))</f>
        <v/>
      </c>
      <c r="M497" s="12">
        <f>IF($A497="",0,SUMIF('Family Contributions'!$I$4:$I$1003,$A497,'Family Contributions'!$G$4:$G$1003))</f>
        <v/>
      </c>
      <c r="N497" s="12">
        <f>IF($A497="",0,IF($I497="Yes",IF(ISNUMBER($G497),$G497,0)-$M497,0))</f>
        <v/>
      </c>
      <c r="O497" s="9" t="n"/>
      <c r="P497" s="9" t="n"/>
    </row>
    <row r="498">
      <c r="A498" s="9" t="n"/>
      <c r="B498" s="19" t="n"/>
      <c r="C498" s="9" t="n"/>
      <c r="D498" s="9" t="n"/>
      <c r="E498" s="9" t="n"/>
      <c r="F498" s="9" t="n"/>
      <c r="G498" s="10" t="n"/>
      <c r="H498" s="9" t="n"/>
      <c r="I498" s="9" t="n"/>
      <c r="J498" s="9" t="n"/>
      <c r="K498" s="9" t="n"/>
      <c r="L498">
        <f>IF($A498="","",IF($P498="Yes","Disputed / Review",IF($I498&lt;&gt;"Yes","Not Reimbursable",IF($M498&lt;=0.004,"Pending",IF($N498&lt;=0.004,"Reimbursed","Partially Reimbursed")))))</f>
        <v/>
      </c>
      <c r="M498" s="12">
        <f>IF($A498="",0,SUMIF('Family Contributions'!$I$4:$I$1003,$A498,'Family Contributions'!$G$4:$G$1003))</f>
        <v/>
      </c>
      <c r="N498" s="12">
        <f>IF($A498="",0,IF($I498="Yes",IF(ISNUMBER($G498),$G498,0)-$M498,0))</f>
        <v/>
      </c>
      <c r="O498" s="9" t="n"/>
      <c r="P498" s="9" t="n"/>
    </row>
    <row r="499">
      <c r="A499" s="9" t="n"/>
      <c r="B499" s="19" t="n"/>
      <c r="C499" s="9" t="n"/>
      <c r="D499" s="9" t="n"/>
      <c r="E499" s="9" t="n"/>
      <c r="F499" s="9" t="n"/>
      <c r="G499" s="10" t="n"/>
      <c r="H499" s="9" t="n"/>
      <c r="I499" s="9" t="n"/>
      <c r="J499" s="9" t="n"/>
      <c r="K499" s="9" t="n"/>
      <c r="L499">
        <f>IF($A499="","",IF($P499="Yes","Disputed / Review",IF($I499&lt;&gt;"Yes","Not Reimbursable",IF($M499&lt;=0.004,"Pending",IF($N499&lt;=0.004,"Reimbursed","Partially Reimbursed")))))</f>
        <v/>
      </c>
      <c r="M499" s="12">
        <f>IF($A499="",0,SUMIF('Family Contributions'!$I$4:$I$1003,$A499,'Family Contributions'!$G$4:$G$1003))</f>
        <v/>
      </c>
      <c r="N499" s="12">
        <f>IF($A499="",0,IF($I499="Yes",IF(ISNUMBER($G499),$G499,0)-$M499,0))</f>
        <v/>
      </c>
      <c r="O499" s="9" t="n"/>
      <c r="P499" s="9" t="n"/>
    </row>
    <row r="500">
      <c r="A500" s="9" t="n"/>
      <c r="B500" s="19" t="n"/>
      <c r="C500" s="9" t="n"/>
      <c r="D500" s="9" t="n"/>
      <c r="E500" s="9" t="n"/>
      <c r="F500" s="9" t="n"/>
      <c r="G500" s="10" t="n"/>
      <c r="H500" s="9" t="n"/>
      <c r="I500" s="9" t="n"/>
      <c r="J500" s="9" t="n"/>
      <c r="K500" s="9" t="n"/>
      <c r="L500">
        <f>IF($A500="","",IF($P500="Yes","Disputed / Review",IF($I500&lt;&gt;"Yes","Not Reimbursable",IF($M500&lt;=0.004,"Pending",IF($N500&lt;=0.004,"Reimbursed","Partially Reimbursed")))))</f>
        <v/>
      </c>
      <c r="M500" s="12">
        <f>IF($A500="",0,SUMIF('Family Contributions'!$I$4:$I$1003,$A500,'Family Contributions'!$G$4:$G$1003))</f>
        <v/>
      </c>
      <c r="N500" s="12">
        <f>IF($A500="",0,IF($I500="Yes",IF(ISNUMBER($G500),$G500,0)-$M500,0))</f>
        <v/>
      </c>
      <c r="O500" s="9" t="n"/>
      <c r="P500" s="9" t="n"/>
    </row>
    <row r="501">
      <c r="A501" s="9" t="n"/>
      <c r="B501" s="19" t="n"/>
      <c r="C501" s="9" t="n"/>
      <c r="D501" s="9" t="n"/>
      <c r="E501" s="9" t="n"/>
      <c r="F501" s="9" t="n"/>
      <c r="G501" s="10" t="n"/>
      <c r="H501" s="9" t="n"/>
      <c r="I501" s="9" t="n"/>
      <c r="J501" s="9" t="n"/>
      <c r="K501" s="9" t="n"/>
      <c r="L501">
        <f>IF($A501="","",IF($P501="Yes","Disputed / Review",IF($I501&lt;&gt;"Yes","Not Reimbursable",IF($M501&lt;=0.004,"Pending",IF($N501&lt;=0.004,"Reimbursed","Partially Reimbursed")))))</f>
        <v/>
      </c>
      <c r="M501" s="12">
        <f>IF($A501="",0,SUMIF('Family Contributions'!$I$4:$I$1003,$A501,'Family Contributions'!$G$4:$G$1003))</f>
        <v/>
      </c>
      <c r="N501" s="12">
        <f>IF($A501="",0,IF($I501="Yes",IF(ISNUMBER($G501),$G501,0)-$M501,0))</f>
        <v/>
      </c>
      <c r="O501" s="9" t="n"/>
      <c r="P501" s="9" t="n"/>
    </row>
    <row r="502">
      <c r="A502" s="9" t="n"/>
      <c r="B502" s="19" t="n"/>
      <c r="C502" s="9" t="n"/>
      <c r="D502" s="9" t="n"/>
      <c r="E502" s="9" t="n"/>
      <c r="F502" s="9" t="n"/>
      <c r="G502" s="10" t="n"/>
      <c r="H502" s="9" t="n"/>
      <c r="I502" s="9" t="n"/>
      <c r="J502" s="9" t="n"/>
      <c r="K502" s="9" t="n"/>
      <c r="L502">
        <f>IF($A502="","",IF($P502="Yes","Disputed / Review",IF($I502&lt;&gt;"Yes","Not Reimbursable",IF($M502&lt;=0.004,"Pending",IF($N502&lt;=0.004,"Reimbursed","Partially Reimbursed")))))</f>
        <v/>
      </c>
      <c r="M502" s="12">
        <f>IF($A502="",0,SUMIF('Family Contributions'!$I$4:$I$1003,$A502,'Family Contributions'!$G$4:$G$1003))</f>
        <v/>
      </c>
      <c r="N502" s="12">
        <f>IF($A502="",0,IF($I502="Yes",IF(ISNUMBER($G502),$G502,0)-$M502,0))</f>
        <v/>
      </c>
      <c r="O502" s="9" t="n"/>
      <c r="P502" s="9" t="n"/>
    </row>
    <row r="503">
      <c r="A503" s="9" t="n"/>
      <c r="B503" s="19" t="n"/>
      <c r="C503" s="9" t="n"/>
      <c r="D503" s="9" t="n"/>
      <c r="E503" s="9" t="n"/>
      <c r="F503" s="9" t="n"/>
      <c r="G503" s="10" t="n"/>
      <c r="H503" s="9" t="n"/>
      <c r="I503" s="9" t="n"/>
      <c r="J503" s="9" t="n"/>
      <c r="K503" s="9" t="n"/>
      <c r="L503">
        <f>IF($A503="","",IF($P503="Yes","Disputed / Review",IF($I503&lt;&gt;"Yes","Not Reimbursable",IF($M503&lt;=0.004,"Pending",IF($N503&lt;=0.004,"Reimbursed","Partially Reimbursed")))))</f>
        <v/>
      </c>
      <c r="M503" s="12">
        <f>IF($A503="",0,SUMIF('Family Contributions'!$I$4:$I$1003,$A503,'Family Contributions'!$G$4:$G$1003))</f>
        <v/>
      </c>
      <c r="N503" s="12">
        <f>IF($A503="",0,IF($I503="Yes",IF(ISNUMBER($G503),$G503,0)-$M503,0))</f>
        <v/>
      </c>
      <c r="O503" s="9" t="n"/>
      <c r="P503" s="9" t="n"/>
    </row>
    <row r="504">
      <c r="A504" s="9" t="n"/>
      <c r="B504" s="19" t="n"/>
      <c r="C504" s="9" t="n"/>
      <c r="D504" s="9" t="n"/>
      <c r="E504" s="9" t="n"/>
      <c r="F504" s="9" t="n"/>
      <c r="G504" s="10" t="n"/>
      <c r="H504" s="9" t="n"/>
      <c r="I504" s="9" t="n"/>
      <c r="J504" s="9" t="n"/>
      <c r="K504" s="9" t="n"/>
      <c r="L504">
        <f>IF($A504="","",IF($P504="Yes","Disputed / Review",IF($I504&lt;&gt;"Yes","Not Reimbursable",IF($M504&lt;=0.004,"Pending",IF($N504&lt;=0.004,"Reimbursed","Partially Reimbursed")))))</f>
        <v/>
      </c>
      <c r="M504" s="12">
        <f>IF($A504="",0,SUMIF('Family Contributions'!$I$4:$I$1003,$A504,'Family Contributions'!$G$4:$G$1003))</f>
        <v/>
      </c>
      <c r="N504" s="12">
        <f>IF($A504="",0,IF($I504="Yes",IF(ISNUMBER($G504),$G504,0)-$M504,0))</f>
        <v/>
      </c>
      <c r="O504" s="9" t="n"/>
      <c r="P504" s="9" t="n"/>
    </row>
    <row r="505">
      <c r="A505" s="9" t="n"/>
      <c r="B505" s="19" t="n"/>
      <c r="C505" s="9" t="n"/>
      <c r="D505" s="9" t="n"/>
      <c r="E505" s="9" t="n"/>
      <c r="F505" s="9" t="n"/>
      <c r="G505" s="10" t="n"/>
      <c r="H505" s="9" t="n"/>
      <c r="I505" s="9" t="n"/>
      <c r="J505" s="9" t="n"/>
      <c r="K505" s="9" t="n"/>
      <c r="L505">
        <f>IF($A505="","",IF($P505="Yes","Disputed / Review",IF($I505&lt;&gt;"Yes","Not Reimbursable",IF($M505&lt;=0.004,"Pending",IF($N505&lt;=0.004,"Reimbursed","Partially Reimbursed")))))</f>
        <v/>
      </c>
      <c r="M505" s="12">
        <f>IF($A505="",0,SUMIF('Family Contributions'!$I$4:$I$1003,$A505,'Family Contributions'!$G$4:$G$1003))</f>
        <v/>
      </c>
      <c r="N505" s="12">
        <f>IF($A505="",0,IF($I505="Yes",IF(ISNUMBER($G505),$G505,0)-$M505,0))</f>
        <v/>
      </c>
      <c r="O505" s="9" t="n"/>
      <c r="P505" s="9" t="n"/>
    </row>
    <row r="506">
      <c r="A506" s="9" t="n"/>
      <c r="B506" s="19" t="n"/>
      <c r="C506" s="9" t="n"/>
      <c r="D506" s="9" t="n"/>
      <c r="E506" s="9" t="n"/>
      <c r="F506" s="9" t="n"/>
      <c r="G506" s="10" t="n"/>
      <c r="H506" s="9" t="n"/>
      <c r="I506" s="9" t="n"/>
      <c r="J506" s="9" t="n"/>
      <c r="K506" s="9" t="n"/>
      <c r="L506">
        <f>IF($A506="","",IF($P506="Yes","Disputed / Review",IF($I506&lt;&gt;"Yes","Not Reimbursable",IF($M506&lt;=0.004,"Pending",IF($N506&lt;=0.004,"Reimbursed","Partially Reimbursed")))))</f>
        <v/>
      </c>
      <c r="M506" s="12">
        <f>IF($A506="",0,SUMIF('Family Contributions'!$I$4:$I$1003,$A506,'Family Contributions'!$G$4:$G$1003))</f>
        <v/>
      </c>
      <c r="N506" s="12">
        <f>IF($A506="",0,IF($I506="Yes",IF(ISNUMBER($G506),$G506,0)-$M506,0))</f>
        <v/>
      </c>
      <c r="O506" s="9" t="n"/>
      <c r="P506" s="9" t="n"/>
    </row>
    <row r="507">
      <c r="A507" s="9" t="n"/>
      <c r="B507" s="19" t="n"/>
      <c r="C507" s="9" t="n"/>
      <c r="D507" s="9" t="n"/>
      <c r="E507" s="9" t="n"/>
      <c r="F507" s="9" t="n"/>
      <c r="G507" s="10" t="n"/>
      <c r="H507" s="9" t="n"/>
      <c r="I507" s="9" t="n"/>
      <c r="J507" s="9" t="n"/>
      <c r="K507" s="9" t="n"/>
      <c r="L507">
        <f>IF($A507="","",IF($P507="Yes","Disputed / Review",IF($I507&lt;&gt;"Yes","Not Reimbursable",IF($M507&lt;=0.004,"Pending",IF($N507&lt;=0.004,"Reimbursed","Partially Reimbursed")))))</f>
        <v/>
      </c>
      <c r="M507" s="12">
        <f>IF($A507="",0,SUMIF('Family Contributions'!$I$4:$I$1003,$A507,'Family Contributions'!$G$4:$G$1003))</f>
        <v/>
      </c>
      <c r="N507" s="12">
        <f>IF($A507="",0,IF($I507="Yes",IF(ISNUMBER($G507),$G507,0)-$M507,0))</f>
        <v/>
      </c>
      <c r="O507" s="9" t="n"/>
      <c r="P507" s="9" t="n"/>
    </row>
    <row r="508">
      <c r="A508" s="9" t="n"/>
      <c r="B508" s="19" t="n"/>
      <c r="C508" s="9" t="n"/>
      <c r="D508" s="9" t="n"/>
      <c r="E508" s="9" t="n"/>
      <c r="F508" s="9" t="n"/>
      <c r="G508" s="10" t="n"/>
      <c r="H508" s="9" t="n"/>
      <c r="I508" s="9" t="n"/>
      <c r="J508" s="9" t="n"/>
      <c r="K508" s="9" t="n"/>
      <c r="L508">
        <f>IF($A508="","",IF($P508="Yes","Disputed / Review",IF($I508&lt;&gt;"Yes","Not Reimbursable",IF($M508&lt;=0.004,"Pending",IF($N508&lt;=0.004,"Reimbursed","Partially Reimbursed")))))</f>
        <v/>
      </c>
      <c r="M508" s="12">
        <f>IF($A508="",0,SUMIF('Family Contributions'!$I$4:$I$1003,$A508,'Family Contributions'!$G$4:$G$1003))</f>
        <v/>
      </c>
      <c r="N508" s="12">
        <f>IF($A508="",0,IF($I508="Yes",IF(ISNUMBER($G508),$G508,0)-$M508,0))</f>
        <v/>
      </c>
      <c r="O508" s="9" t="n"/>
      <c r="P508" s="9" t="n"/>
    </row>
    <row r="509">
      <c r="A509" s="9" t="n"/>
      <c r="B509" s="19" t="n"/>
      <c r="C509" s="9" t="n"/>
      <c r="D509" s="9" t="n"/>
      <c r="E509" s="9" t="n"/>
      <c r="F509" s="9" t="n"/>
      <c r="G509" s="10" t="n"/>
      <c r="H509" s="9" t="n"/>
      <c r="I509" s="9" t="n"/>
      <c r="J509" s="9" t="n"/>
      <c r="K509" s="9" t="n"/>
      <c r="L509">
        <f>IF($A509="","",IF($P509="Yes","Disputed / Review",IF($I509&lt;&gt;"Yes","Not Reimbursable",IF($M509&lt;=0.004,"Pending",IF($N509&lt;=0.004,"Reimbursed","Partially Reimbursed")))))</f>
        <v/>
      </c>
      <c r="M509" s="12">
        <f>IF($A509="",0,SUMIF('Family Contributions'!$I$4:$I$1003,$A509,'Family Contributions'!$G$4:$G$1003))</f>
        <v/>
      </c>
      <c r="N509" s="12">
        <f>IF($A509="",0,IF($I509="Yes",IF(ISNUMBER($G509),$G509,0)-$M509,0))</f>
        <v/>
      </c>
      <c r="O509" s="9" t="n"/>
      <c r="P509" s="9" t="n"/>
    </row>
    <row r="510">
      <c r="A510" s="9" t="n"/>
      <c r="B510" s="19" t="n"/>
      <c r="C510" s="9" t="n"/>
      <c r="D510" s="9" t="n"/>
      <c r="E510" s="9" t="n"/>
      <c r="F510" s="9" t="n"/>
      <c r="G510" s="10" t="n"/>
      <c r="H510" s="9" t="n"/>
      <c r="I510" s="9" t="n"/>
      <c r="J510" s="9" t="n"/>
      <c r="K510" s="9" t="n"/>
      <c r="L510">
        <f>IF($A510="","",IF($P510="Yes","Disputed / Review",IF($I510&lt;&gt;"Yes","Not Reimbursable",IF($M510&lt;=0.004,"Pending",IF($N510&lt;=0.004,"Reimbursed","Partially Reimbursed")))))</f>
        <v/>
      </c>
      <c r="M510" s="12">
        <f>IF($A510="",0,SUMIF('Family Contributions'!$I$4:$I$1003,$A510,'Family Contributions'!$G$4:$G$1003))</f>
        <v/>
      </c>
      <c r="N510" s="12">
        <f>IF($A510="",0,IF($I510="Yes",IF(ISNUMBER($G510),$G510,0)-$M510,0))</f>
        <v/>
      </c>
      <c r="O510" s="9" t="n"/>
      <c r="P510" s="9" t="n"/>
    </row>
    <row r="511">
      <c r="A511" s="9" t="n"/>
      <c r="B511" s="19" t="n"/>
      <c r="C511" s="9" t="n"/>
      <c r="D511" s="9" t="n"/>
      <c r="E511" s="9" t="n"/>
      <c r="F511" s="9" t="n"/>
      <c r="G511" s="10" t="n"/>
      <c r="H511" s="9" t="n"/>
      <c r="I511" s="9" t="n"/>
      <c r="J511" s="9" t="n"/>
      <c r="K511" s="9" t="n"/>
      <c r="L511">
        <f>IF($A511="","",IF($P511="Yes","Disputed / Review",IF($I511&lt;&gt;"Yes","Not Reimbursable",IF($M511&lt;=0.004,"Pending",IF($N511&lt;=0.004,"Reimbursed","Partially Reimbursed")))))</f>
        <v/>
      </c>
      <c r="M511" s="12">
        <f>IF($A511="",0,SUMIF('Family Contributions'!$I$4:$I$1003,$A511,'Family Contributions'!$G$4:$G$1003))</f>
        <v/>
      </c>
      <c r="N511" s="12">
        <f>IF($A511="",0,IF($I511="Yes",IF(ISNUMBER($G511),$G511,0)-$M511,0))</f>
        <v/>
      </c>
      <c r="O511" s="9" t="n"/>
      <c r="P511" s="9" t="n"/>
    </row>
    <row r="512">
      <c r="A512" s="9" t="n"/>
      <c r="B512" s="19" t="n"/>
      <c r="C512" s="9" t="n"/>
      <c r="D512" s="9" t="n"/>
      <c r="E512" s="9" t="n"/>
      <c r="F512" s="9" t="n"/>
      <c r="G512" s="10" t="n"/>
      <c r="H512" s="9" t="n"/>
      <c r="I512" s="9" t="n"/>
      <c r="J512" s="9" t="n"/>
      <c r="K512" s="9" t="n"/>
      <c r="L512">
        <f>IF($A512="","",IF($P512="Yes","Disputed / Review",IF($I512&lt;&gt;"Yes","Not Reimbursable",IF($M512&lt;=0.004,"Pending",IF($N512&lt;=0.004,"Reimbursed","Partially Reimbursed")))))</f>
        <v/>
      </c>
      <c r="M512" s="12">
        <f>IF($A512="",0,SUMIF('Family Contributions'!$I$4:$I$1003,$A512,'Family Contributions'!$G$4:$G$1003))</f>
        <v/>
      </c>
      <c r="N512" s="12">
        <f>IF($A512="",0,IF($I512="Yes",IF(ISNUMBER($G512),$G512,0)-$M512,0))</f>
        <v/>
      </c>
      <c r="O512" s="9" t="n"/>
      <c r="P512" s="9" t="n"/>
    </row>
    <row r="513">
      <c r="A513" s="9" t="n"/>
      <c r="B513" s="19" t="n"/>
      <c r="C513" s="9" t="n"/>
      <c r="D513" s="9" t="n"/>
      <c r="E513" s="9" t="n"/>
      <c r="F513" s="9" t="n"/>
      <c r="G513" s="10" t="n"/>
      <c r="H513" s="9" t="n"/>
      <c r="I513" s="9" t="n"/>
      <c r="J513" s="9" t="n"/>
      <c r="K513" s="9" t="n"/>
      <c r="L513">
        <f>IF($A513="","",IF($P513="Yes","Disputed / Review",IF($I513&lt;&gt;"Yes","Not Reimbursable",IF($M513&lt;=0.004,"Pending",IF($N513&lt;=0.004,"Reimbursed","Partially Reimbursed")))))</f>
        <v/>
      </c>
      <c r="M513" s="12">
        <f>IF($A513="",0,SUMIF('Family Contributions'!$I$4:$I$1003,$A513,'Family Contributions'!$G$4:$G$1003))</f>
        <v/>
      </c>
      <c r="N513" s="12">
        <f>IF($A513="",0,IF($I513="Yes",IF(ISNUMBER($G513),$G513,0)-$M513,0))</f>
        <v/>
      </c>
      <c r="O513" s="9" t="n"/>
      <c r="P513" s="9" t="n"/>
    </row>
    <row r="514">
      <c r="A514" s="9" t="n"/>
      <c r="B514" s="19" t="n"/>
      <c r="C514" s="9" t="n"/>
      <c r="D514" s="9" t="n"/>
      <c r="E514" s="9" t="n"/>
      <c r="F514" s="9" t="n"/>
      <c r="G514" s="10" t="n"/>
      <c r="H514" s="9" t="n"/>
      <c r="I514" s="9" t="n"/>
      <c r="J514" s="9" t="n"/>
      <c r="K514" s="9" t="n"/>
      <c r="L514">
        <f>IF($A514="","",IF($P514="Yes","Disputed / Review",IF($I514&lt;&gt;"Yes","Not Reimbursable",IF($M514&lt;=0.004,"Pending",IF($N514&lt;=0.004,"Reimbursed","Partially Reimbursed")))))</f>
        <v/>
      </c>
      <c r="M514" s="12">
        <f>IF($A514="",0,SUMIF('Family Contributions'!$I$4:$I$1003,$A514,'Family Contributions'!$G$4:$G$1003))</f>
        <v/>
      </c>
      <c r="N514" s="12">
        <f>IF($A514="",0,IF($I514="Yes",IF(ISNUMBER($G514),$G514,0)-$M514,0))</f>
        <v/>
      </c>
      <c r="O514" s="9" t="n"/>
      <c r="P514" s="9" t="n"/>
    </row>
    <row r="515">
      <c r="A515" s="9" t="n"/>
      <c r="B515" s="19" t="n"/>
      <c r="C515" s="9" t="n"/>
      <c r="D515" s="9" t="n"/>
      <c r="E515" s="9" t="n"/>
      <c r="F515" s="9" t="n"/>
      <c r="G515" s="10" t="n"/>
      <c r="H515" s="9" t="n"/>
      <c r="I515" s="9" t="n"/>
      <c r="J515" s="9" t="n"/>
      <c r="K515" s="9" t="n"/>
      <c r="L515">
        <f>IF($A515="","",IF($P515="Yes","Disputed / Review",IF($I515&lt;&gt;"Yes","Not Reimbursable",IF($M515&lt;=0.004,"Pending",IF($N515&lt;=0.004,"Reimbursed","Partially Reimbursed")))))</f>
        <v/>
      </c>
      <c r="M515" s="12">
        <f>IF($A515="",0,SUMIF('Family Contributions'!$I$4:$I$1003,$A515,'Family Contributions'!$G$4:$G$1003))</f>
        <v/>
      </c>
      <c r="N515" s="12">
        <f>IF($A515="",0,IF($I515="Yes",IF(ISNUMBER($G515),$G515,0)-$M515,0))</f>
        <v/>
      </c>
      <c r="O515" s="9" t="n"/>
      <c r="P515" s="9" t="n"/>
    </row>
    <row r="516">
      <c r="A516" s="9" t="n"/>
      <c r="B516" s="19" t="n"/>
      <c r="C516" s="9" t="n"/>
      <c r="D516" s="9" t="n"/>
      <c r="E516" s="9" t="n"/>
      <c r="F516" s="9" t="n"/>
      <c r="G516" s="10" t="n"/>
      <c r="H516" s="9" t="n"/>
      <c r="I516" s="9" t="n"/>
      <c r="J516" s="9" t="n"/>
      <c r="K516" s="9" t="n"/>
      <c r="L516">
        <f>IF($A516="","",IF($P516="Yes","Disputed / Review",IF($I516&lt;&gt;"Yes","Not Reimbursable",IF($M516&lt;=0.004,"Pending",IF($N516&lt;=0.004,"Reimbursed","Partially Reimbursed")))))</f>
        <v/>
      </c>
      <c r="M516" s="12">
        <f>IF($A516="",0,SUMIF('Family Contributions'!$I$4:$I$1003,$A516,'Family Contributions'!$G$4:$G$1003))</f>
        <v/>
      </c>
      <c r="N516" s="12">
        <f>IF($A516="",0,IF($I516="Yes",IF(ISNUMBER($G516),$G516,0)-$M516,0))</f>
        <v/>
      </c>
      <c r="O516" s="9" t="n"/>
      <c r="P516" s="9" t="n"/>
    </row>
    <row r="517">
      <c r="A517" s="9" t="n"/>
      <c r="B517" s="19" t="n"/>
      <c r="C517" s="9" t="n"/>
      <c r="D517" s="9" t="n"/>
      <c r="E517" s="9" t="n"/>
      <c r="F517" s="9" t="n"/>
      <c r="G517" s="10" t="n"/>
      <c r="H517" s="9" t="n"/>
      <c r="I517" s="9" t="n"/>
      <c r="J517" s="9" t="n"/>
      <c r="K517" s="9" t="n"/>
      <c r="L517">
        <f>IF($A517="","",IF($P517="Yes","Disputed / Review",IF($I517&lt;&gt;"Yes","Not Reimbursable",IF($M517&lt;=0.004,"Pending",IF($N517&lt;=0.004,"Reimbursed","Partially Reimbursed")))))</f>
        <v/>
      </c>
      <c r="M517" s="12">
        <f>IF($A517="",0,SUMIF('Family Contributions'!$I$4:$I$1003,$A517,'Family Contributions'!$G$4:$G$1003))</f>
        <v/>
      </c>
      <c r="N517" s="12">
        <f>IF($A517="",0,IF($I517="Yes",IF(ISNUMBER($G517),$G517,0)-$M517,0))</f>
        <v/>
      </c>
      <c r="O517" s="9" t="n"/>
      <c r="P517" s="9" t="n"/>
    </row>
    <row r="518">
      <c r="A518" s="9" t="n"/>
      <c r="B518" s="19" t="n"/>
      <c r="C518" s="9" t="n"/>
      <c r="D518" s="9" t="n"/>
      <c r="E518" s="9" t="n"/>
      <c r="F518" s="9" t="n"/>
      <c r="G518" s="10" t="n"/>
      <c r="H518" s="9" t="n"/>
      <c r="I518" s="9" t="n"/>
      <c r="J518" s="9" t="n"/>
      <c r="K518" s="9" t="n"/>
      <c r="L518">
        <f>IF($A518="","",IF($P518="Yes","Disputed / Review",IF($I518&lt;&gt;"Yes","Not Reimbursable",IF($M518&lt;=0.004,"Pending",IF($N518&lt;=0.004,"Reimbursed","Partially Reimbursed")))))</f>
        <v/>
      </c>
      <c r="M518" s="12">
        <f>IF($A518="",0,SUMIF('Family Contributions'!$I$4:$I$1003,$A518,'Family Contributions'!$G$4:$G$1003))</f>
        <v/>
      </c>
      <c r="N518" s="12">
        <f>IF($A518="",0,IF($I518="Yes",IF(ISNUMBER($G518),$G518,0)-$M518,0))</f>
        <v/>
      </c>
      <c r="O518" s="9" t="n"/>
      <c r="P518" s="9" t="n"/>
    </row>
    <row r="519">
      <c r="A519" s="9" t="n"/>
      <c r="B519" s="19" t="n"/>
      <c r="C519" s="9" t="n"/>
      <c r="D519" s="9" t="n"/>
      <c r="E519" s="9" t="n"/>
      <c r="F519" s="9" t="n"/>
      <c r="G519" s="10" t="n"/>
      <c r="H519" s="9" t="n"/>
      <c r="I519" s="9" t="n"/>
      <c r="J519" s="9" t="n"/>
      <c r="K519" s="9" t="n"/>
      <c r="L519">
        <f>IF($A519="","",IF($P519="Yes","Disputed / Review",IF($I519&lt;&gt;"Yes","Not Reimbursable",IF($M519&lt;=0.004,"Pending",IF($N519&lt;=0.004,"Reimbursed","Partially Reimbursed")))))</f>
        <v/>
      </c>
      <c r="M519" s="12">
        <f>IF($A519="",0,SUMIF('Family Contributions'!$I$4:$I$1003,$A519,'Family Contributions'!$G$4:$G$1003))</f>
        <v/>
      </c>
      <c r="N519" s="12">
        <f>IF($A519="",0,IF($I519="Yes",IF(ISNUMBER($G519),$G519,0)-$M519,0))</f>
        <v/>
      </c>
      <c r="O519" s="9" t="n"/>
      <c r="P519" s="9" t="n"/>
    </row>
    <row r="520">
      <c r="A520" s="9" t="n"/>
      <c r="B520" s="19" t="n"/>
      <c r="C520" s="9" t="n"/>
      <c r="D520" s="9" t="n"/>
      <c r="E520" s="9" t="n"/>
      <c r="F520" s="9" t="n"/>
      <c r="G520" s="10" t="n"/>
      <c r="H520" s="9" t="n"/>
      <c r="I520" s="9" t="n"/>
      <c r="J520" s="9" t="n"/>
      <c r="K520" s="9" t="n"/>
      <c r="L520">
        <f>IF($A520="","",IF($P520="Yes","Disputed / Review",IF($I520&lt;&gt;"Yes","Not Reimbursable",IF($M520&lt;=0.004,"Pending",IF($N520&lt;=0.004,"Reimbursed","Partially Reimbursed")))))</f>
        <v/>
      </c>
      <c r="M520" s="12">
        <f>IF($A520="",0,SUMIF('Family Contributions'!$I$4:$I$1003,$A520,'Family Contributions'!$G$4:$G$1003))</f>
        <v/>
      </c>
      <c r="N520" s="12">
        <f>IF($A520="",0,IF($I520="Yes",IF(ISNUMBER($G520),$G520,0)-$M520,0))</f>
        <v/>
      </c>
      <c r="O520" s="9" t="n"/>
      <c r="P520" s="9" t="n"/>
    </row>
    <row r="521">
      <c r="A521" s="9" t="n"/>
      <c r="B521" s="19" t="n"/>
      <c r="C521" s="9" t="n"/>
      <c r="D521" s="9" t="n"/>
      <c r="E521" s="9" t="n"/>
      <c r="F521" s="9" t="n"/>
      <c r="G521" s="10" t="n"/>
      <c r="H521" s="9" t="n"/>
      <c r="I521" s="9" t="n"/>
      <c r="J521" s="9" t="n"/>
      <c r="K521" s="9" t="n"/>
      <c r="L521">
        <f>IF($A521="","",IF($P521="Yes","Disputed / Review",IF($I521&lt;&gt;"Yes","Not Reimbursable",IF($M521&lt;=0.004,"Pending",IF($N521&lt;=0.004,"Reimbursed","Partially Reimbursed")))))</f>
        <v/>
      </c>
      <c r="M521" s="12">
        <f>IF($A521="",0,SUMIF('Family Contributions'!$I$4:$I$1003,$A521,'Family Contributions'!$G$4:$G$1003))</f>
        <v/>
      </c>
      <c r="N521" s="12">
        <f>IF($A521="",0,IF($I521="Yes",IF(ISNUMBER($G521),$G521,0)-$M521,0))</f>
        <v/>
      </c>
      <c r="O521" s="9" t="n"/>
      <c r="P521" s="9" t="n"/>
    </row>
    <row r="522">
      <c r="A522" s="9" t="n"/>
      <c r="B522" s="19" t="n"/>
      <c r="C522" s="9" t="n"/>
      <c r="D522" s="9" t="n"/>
      <c r="E522" s="9" t="n"/>
      <c r="F522" s="9" t="n"/>
      <c r="G522" s="10" t="n"/>
      <c r="H522" s="9" t="n"/>
      <c r="I522" s="9" t="n"/>
      <c r="J522" s="9" t="n"/>
      <c r="K522" s="9" t="n"/>
      <c r="L522">
        <f>IF($A522="","",IF($P522="Yes","Disputed / Review",IF($I522&lt;&gt;"Yes","Not Reimbursable",IF($M522&lt;=0.004,"Pending",IF($N522&lt;=0.004,"Reimbursed","Partially Reimbursed")))))</f>
        <v/>
      </c>
      <c r="M522" s="12">
        <f>IF($A522="",0,SUMIF('Family Contributions'!$I$4:$I$1003,$A522,'Family Contributions'!$G$4:$G$1003))</f>
        <v/>
      </c>
      <c r="N522" s="12">
        <f>IF($A522="",0,IF($I522="Yes",IF(ISNUMBER($G522),$G522,0)-$M522,0))</f>
        <v/>
      </c>
      <c r="O522" s="9" t="n"/>
      <c r="P522" s="9" t="n"/>
    </row>
    <row r="523">
      <c r="A523" s="9" t="n"/>
      <c r="B523" s="19" t="n"/>
      <c r="C523" s="9" t="n"/>
      <c r="D523" s="9" t="n"/>
      <c r="E523" s="9" t="n"/>
      <c r="F523" s="9" t="n"/>
      <c r="G523" s="10" t="n"/>
      <c r="H523" s="9" t="n"/>
      <c r="I523" s="9" t="n"/>
      <c r="J523" s="9" t="n"/>
      <c r="K523" s="9" t="n"/>
      <c r="L523">
        <f>IF($A523="","",IF($P523="Yes","Disputed / Review",IF($I523&lt;&gt;"Yes","Not Reimbursable",IF($M523&lt;=0.004,"Pending",IF($N523&lt;=0.004,"Reimbursed","Partially Reimbursed")))))</f>
        <v/>
      </c>
      <c r="M523" s="12">
        <f>IF($A523="",0,SUMIF('Family Contributions'!$I$4:$I$1003,$A523,'Family Contributions'!$G$4:$G$1003))</f>
        <v/>
      </c>
      <c r="N523" s="12">
        <f>IF($A523="",0,IF($I523="Yes",IF(ISNUMBER($G523),$G523,0)-$M523,0))</f>
        <v/>
      </c>
      <c r="O523" s="9" t="n"/>
      <c r="P523" s="9" t="n"/>
    </row>
    <row r="524">
      <c r="A524" s="9" t="n"/>
      <c r="B524" s="19" t="n"/>
      <c r="C524" s="9" t="n"/>
      <c r="D524" s="9" t="n"/>
      <c r="E524" s="9" t="n"/>
      <c r="F524" s="9" t="n"/>
      <c r="G524" s="10" t="n"/>
      <c r="H524" s="9" t="n"/>
      <c r="I524" s="9" t="n"/>
      <c r="J524" s="9" t="n"/>
      <c r="K524" s="9" t="n"/>
      <c r="L524">
        <f>IF($A524="","",IF($P524="Yes","Disputed / Review",IF($I524&lt;&gt;"Yes","Not Reimbursable",IF($M524&lt;=0.004,"Pending",IF($N524&lt;=0.004,"Reimbursed","Partially Reimbursed")))))</f>
        <v/>
      </c>
      <c r="M524" s="12">
        <f>IF($A524="",0,SUMIF('Family Contributions'!$I$4:$I$1003,$A524,'Family Contributions'!$G$4:$G$1003))</f>
        <v/>
      </c>
      <c r="N524" s="12">
        <f>IF($A524="",0,IF($I524="Yes",IF(ISNUMBER($G524),$G524,0)-$M524,0))</f>
        <v/>
      </c>
      <c r="O524" s="9" t="n"/>
      <c r="P524" s="9" t="n"/>
    </row>
    <row r="525">
      <c r="A525" s="9" t="n"/>
      <c r="B525" s="19" t="n"/>
      <c r="C525" s="9" t="n"/>
      <c r="D525" s="9" t="n"/>
      <c r="E525" s="9" t="n"/>
      <c r="F525" s="9" t="n"/>
      <c r="G525" s="10" t="n"/>
      <c r="H525" s="9" t="n"/>
      <c r="I525" s="9" t="n"/>
      <c r="J525" s="9" t="n"/>
      <c r="K525" s="9" t="n"/>
      <c r="L525">
        <f>IF($A525="","",IF($P525="Yes","Disputed / Review",IF($I525&lt;&gt;"Yes","Not Reimbursable",IF($M525&lt;=0.004,"Pending",IF($N525&lt;=0.004,"Reimbursed","Partially Reimbursed")))))</f>
        <v/>
      </c>
      <c r="M525" s="12">
        <f>IF($A525="",0,SUMIF('Family Contributions'!$I$4:$I$1003,$A525,'Family Contributions'!$G$4:$G$1003))</f>
        <v/>
      </c>
      <c r="N525" s="12">
        <f>IF($A525="",0,IF($I525="Yes",IF(ISNUMBER($G525),$G525,0)-$M525,0))</f>
        <v/>
      </c>
      <c r="O525" s="9" t="n"/>
      <c r="P525" s="9" t="n"/>
    </row>
    <row r="526">
      <c r="A526" s="9" t="n"/>
      <c r="B526" s="19" t="n"/>
      <c r="C526" s="9" t="n"/>
      <c r="D526" s="9" t="n"/>
      <c r="E526" s="9" t="n"/>
      <c r="F526" s="9" t="n"/>
      <c r="G526" s="10" t="n"/>
      <c r="H526" s="9" t="n"/>
      <c r="I526" s="9" t="n"/>
      <c r="J526" s="9" t="n"/>
      <c r="K526" s="9" t="n"/>
      <c r="L526">
        <f>IF($A526="","",IF($P526="Yes","Disputed / Review",IF($I526&lt;&gt;"Yes","Not Reimbursable",IF($M526&lt;=0.004,"Pending",IF($N526&lt;=0.004,"Reimbursed","Partially Reimbursed")))))</f>
        <v/>
      </c>
      <c r="M526" s="12">
        <f>IF($A526="",0,SUMIF('Family Contributions'!$I$4:$I$1003,$A526,'Family Contributions'!$G$4:$G$1003))</f>
        <v/>
      </c>
      <c r="N526" s="12">
        <f>IF($A526="",0,IF($I526="Yes",IF(ISNUMBER($G526),$G526,0)-$M526,0))</f>
        <v/>
      </c>
      <c r="O526" s="9" t="n"/>
      <c r="P526" s="9" t="n"/>
    </row>
    <row r="527">
      <c r="A527" s="9" t="n"/>
      <c r="B527" s="19" t="n"/>
      <c r="C527" s="9" t="n"/>
      <c r="D527" s="9" t="n"/>
      <c r="E527" s="9" t="n"/>
      <c r="F527" s="9" t="n"/>
      <c r="G527" s="10" t="n"/>
      <c r="H527" s="9" t="n"/>
      <c r="I527" s="9" t="n"/>
      <c r="J527" s="9" t="n"/>
      <c r="K527" s="9" t="n"/>
      <c r="L527">
        <f>IF($A527="","",IF($P527="Yes","Disputed / Review",IF($I527&lt;&gt;"Yes","Not Reimbursable",IF($M527&lt;=0.004,"Pending",IF($N527&lt;=0.004,"Reimbursed","Partially Reimbursed")))))</f>
        <v/>
      </c>
      <c r="M527" s="12">
        <f>IF($A527="",0,SUMIF('Family Contributions'!$I$4:$I$1003,$A527,'Family Contributions'!$G$4:$G$1003))</f>
        <v/>
      </c>
      <c r="N527" s="12">
        <f>IF($A527="",0,IF($I527="Yes",IF(ISNUMBER($G527),$G527,0)-$M527,0))</f>
        <v/>
      </c>
      <c r="O527" s="9" t="n"/>
      <c r="P527" s="9" t="n"/>
    </row>
    <row r="528">
      <c r="A528" s="9" t="n"/>
      <c r="B528" s="19" t="n"/>
      <c r="C528" s="9" t="n"/>
      <c r="D528" s="9" t="n"/>
      <c r="E528" s="9" t="n"/>
      <c r="F528" s="9" t="n"/>
      <c r="G528" s="10" t="n"/>
      <c r="H528" s="9" t="n"/>
      <c r="I528" s="9" t="n"/>
      <c r="J528" s="9" t="n"/>
      <c r="K528" s="9" t="n"/>
      <c r="L528">
        <f>IF($A528="","",IF($P528="Yes","Disputed / Review",IF($I528&lt;&gt;"Yes","Not Reimbursable",IF($M528&lt;=0.004,"Pending",IF($N528&lt;=0.004,"Reimbursed","Partially Reimbursed")))))</f>
        <v/>
      </c>
      <c r="M528" s="12">
        <f>IF($A528="",0,SUMIF('Family Contributions'!$I$4:$I$1003,$A528,'Family Contributions'!$G$4:$G$1003))</f>
        <v/>
      </c>
      <c r="N528" s="12">
        <f>IF($A528="",0,IF($I528="Yes",IF(ISNUMBER($G528),$G528,0)-$M528,0))</f>
        <v/>
      </c>
      <c r="O528" s="9" t="n"/>
      <c r="P528" s="9" t="n"/>
    </row>
    <row r="529">
      <c r="A529" s="9" t="n"/>
      <c r="B529" s="19" t="n"/>
      <c r="C529" s="9" t="n"/>
      <c r="D529" s="9" t="n"/>
      <c r="E529" s="9" t="n"/>
      <c r="F529" s="9" t="n"/>
      <c r="G529" s="10" t="n"/>
      <c r="H529" s="9" t="n"/>
      <c r="I529" s="9" t="n"/>
      <c r="J529" s="9" t="n"/>
      <c r="K529" s="9" t="n"/>
      <c r="L529">
        <f>IF($A529="","",IF($P529="Yes","Disputed / Review",IF($I529&lt;&gt;"Yes","Not Reimbursable",IF($M529&lt;=0.004,"Pending",IF($N529&lt;=0.004,"Reimbursed","Partially Reimbursed")))))</f>
        <v/>
      </c>
      <c r="M529" s="12">
        <f>IF($A529="",0,SUMIF('Family Contributions'!$I$4:$I$1003,$A529,'Family Contributions'!$G$4:$G$1003))</f>
        <v/>
      </c>
      <c r="N529" s="12">
        <f>IF($A529="",0,IF($I529="Yes",IF(ISNUMBER($G529),$G529,0)-$M529,0))</f>
        <v/>
      </c>
      <c r="O529" s="9" t="n"/>
      <c r="P529" s="9" t="n"/>
    </row>
    <row r="530">
      <c r="A530" s="9" t="n"/>
      <c r="B530" s="19" t="n"/>
      <c r="C530" s="9" t="n"/>
      <c r="D530" s="9" t="n"/>
      <c r="E530" s="9" t="n"/>
      <c r="F530" s="9" t="n"/>
      <c r="G530" s="10" t="n"/>
      <c r="H530" s="9" t="n"/>
      <c r="I530" s="9" t="n"/>
      <c r="J530" s="9" t="n"/>
      <c r="K530" s="9" t="n"/>
      <c r="L530">
        <f>IF($A530="","",IF($P530="Yes","Disputed / Review",IF($I530&lt;&gt;"Yes","Not Reimbursable",IF($M530&lt;=0.004,"Pending",IF($N530&lt;=0.004,"Reimbursed","Partially Reimbursed")))))</f>
        <v/>
      </c>
      <c r="M530" s="12">
        <f>IF($A530="",0,SUMIF('Family Contributions'!$I$4:$I$1003,$A530,'Family Contributions'!$G$4:$G$1003))</f>
        <v/>
      </c>
      <c r="N530" s="12">
        <f>IF($A530="",0,IF($I530="Yes",IF(ISNUMBER($G530),$G530,0)-$M530,0))</f>
        <v/>
      </c>
      <c r="O530" s="9" t="n"/>
      <c r="P530" s="9" t="n"/>
    </row>
    <row r="531">
      <c r="A531" s="9" t="n"/>
      <c r="B531" s="19" t="n"/>
      <c r="C531" s="9" t="n"/>
      <c r="D531" s="9" t="n"/>
      <c r="E531" s="9" t="n"/>
      <c r="F531" s="9" t="n"/>
      <c r="G531" s="10" t="n"/>
      <c r="H531" s="9" t="n"/>
      <c r="I531" s="9" t="n"/>
      <c r="J531" s="9" t="n"/>
      <c r="K531" s="9" t="n"/>
      <c r="L531">
        <f>IF($A531="","",IF($P531="Yes","Disputed / Review",IF($I531&lt;&gt;"Yes","Not Reimbursable",IF($M531&lt;=0.004,"Pending",IF($N531&lt;=0.004,"Reimbursed","Partially Reimbursed")))))</f>
        <v/>
      </c>
      <c r="M531" s="12">
        <f>IF($A531="",0,SUMIF('Family Contributions'!$I$4:$I$1003,$A531,'Family Contributions'!$G$4:$G$1003))</f>
        <v/>
      </c>
      <c r="N531" s="12">
        <f>IF($A531="",0,IF($I531="Yes",IF(ISNUMBER($G531),$G531,0)-$M531,0))</f>
        <v/>
      </c>
      <c r="O531" s="9" t="n"/>
      <c r="P531" s="9" t="n"/>
    </row>
    <row r="532">
      <c r="A532" s="9" t="n"/>
      <c r="B532" s="19" t="n"/>
      <c r="C532" s="9" t="n"/>
      <c r="D532" s="9" t="n"/>
      <c r="E532" s="9" t="n"/>
      <c r="F532" s="9" t="n"/>
      <c r="G532" s="10" t="n"/>
      <c r="H532" s="9" t="n"/>
      <c r="I532" s="9" t="n"/>
      <c r="J532" s="9" t="n"/>
      <c r="K532" s="9" t="n"/>
      <c r="L532">
        <f>IF($A532="","",IF($P532="Yes","Disputed / Review",IF($I532&lt;&gt;"Yes","Not Reimbursable",IF($M532&lt;=0.004,"Pending",IF($N532&lt;=0.004,"Reimbursed","Partially Reimbursed")))))</f>
        <v/>
      </c>
      <c r="M532" s="12">
        <f>IF($A532="",0,SUMIF('Family Contributions'!$I$4:$I$1003,$A532,'Family Contributions'!$G$4:$G$1003))</f>
        <v/>
      </c>
      <c r="N532" s="12">
        <f>IF($A532="",0,IF($I532="Yes",IF(ISNUMBER($G532),$G532,0)-$M532,0))</f>
        <v/>
      </c>
      <c r="O532" s="9" t="n"/>
      <c r="P532" s="9" t="n"/>
    </row>
    <row r="533">
      <c r="A533" s="9" t="n"/>
      <c r="B533" s="19" t="n"/>
      <c r="C533" s="9" t="n"/>
      <c r="D533" s="9" t="n"/>
      <c r="E533" s="9" t="n"/>
      <c r="F533" s="9" t="n"/>
      <c r="G533" s="10" t="n"/>
      <c r="H533" s="9" t="n"/>
      <c r="I533" s="9" t="n"/>
      <c r="J533" s="9" t="n"/>
      <c r="K533" s="9" t="n"/>
      <c r="L533">
        <f>IF($A533="","",IF($P533="Yes","Disputed / Review",IF($I533&lt;&gt;"Yes","Not Reimbursable",IF($M533&lt;=0.004,"Pending",IF($N533&lt;=0.004,"Reimbursed","Partially Reimbursed")))))</f>
        <v/>
      </c>
      <c r="M533" s="12">
        <f>IF($A533="",0,SUMIF('Family Contributions'!$I$4:$I$1003,$A533,'Family Contributions'!$G$4:$G$1003))</f>
        <v/>
      </c>
      <c r="N533" s="12">
        <f>IF($A533="",0,IF($I533="Yes",IF(ISNUMBER($G533),$G533,0)-$M533,0))</f>
        <v/>
      </c>
      <c r="O533" s="9" t="n"/>
      <c r="P533" s="9" t="n"/>
    </row>
    <row r="534">
      <c r="A534" s="9" t="n"/>
      <c r="B534" s="19" t="n"/>
      <c r="C534" s="9" t="n"/>
      <c r="D534" s="9" t="n"/>
      <c r="E534" s="9" t="n"/>
      <c r="F534" s="9" t="n"/>
      <c r="G534" s="10" t="n"/>
      <c r="H534" s="9" t="n"/>
      <c r="I534" s="9" t="n"/>
      <c r="J534" s="9" t="n"/>
      <c r="K534" s="9" t="n"/>
      <c r="L534">
        <f>IF($A534="","",IF($P534="Yes","Disputed / Review",IF($I534&lt;&gt;"Yes","Not Reimbursable",IF($M534&lt;=0.004,"Pending",IF($N534&lt;=0.004,"Reimbursed","Partially Reimbursed")))))</f>
        <v/>
      </c>
      <c r="M534" s="12">
        <f>IF($A534="",0,SUMIF('Family Contributions'!$I$4:$I$1003,$A534,'Family Contributions'!$G$4:$G$1003))</f>
        <v/>
      </c>
      <c r="N534" s="12">
        <f>IF($A534="",0,IF($I534="Yes",IF(ISNUMBER($G534),$G534,0)-$M534,0))</f>
        <v/>
      </c>
      <c r="O534" s="9" t="n"/>
      <c r="P534" s="9" t="n"/>
    </row>
    <row r="535">
      <c r="A535" s="9" t="n"/>
      <c r="B535" s="19" t="n"/>
      <c r="C535" s="9" t="n"/>
      <c r="D535" s="9" t="n"/>
      <c r="E535" s="9" t="n"/>
      <c r="F535" s="9" t="n"/>
      <c r="G535" s="10" t="n"/>
      <c r="H535" s="9" t="n"/>
      <c r="I535" s="9" t="n"/>
      <c r="J535" s="9" t="n"/>
      <c r="K535" s="9" t="n"/>
      <c r="L535">
        <f>IF($A535="","",IF($P535="Yes","Disputed / Review",IF($I535&lt;&gt;"Yes","Not Reimbursable",IF($M535&lt;=0.004,"Pending",IF($N535&lt;=0.004,"Reimbursed","Partially Reimbursed")))))</f>
        <v/>
      </c>
      <c r="M535" s="12">
        <f>IF($A535="",0,SUMIF('Family Contributions'!$I$4:$I$1003,$A535,'Family Contributions'!$G$4:$G$1003))</f>
        <v/>
      </c>
      <c r="N535" s="12">
        <f>IF($A535="",0,IF($I535="Yes",IF(ISNUMBER($G535),$G535,0)-$M535,0))</f>
        <v/>
      </c>
      <c r="O535" s="9" t="n"/>
      <c r="P535" s="9" t="n"/>
    </row>
    <row r="536">
      <c r="A536" s="9" t="n"/>
      <c r="B536" s="19" t="n"/>
      <c r="C536" s="9" t="n"/>
      <c r="D536" s="9" t="n"/>
      <c r="E536" s="9" t="n"/>
      <c r="F536" s="9" t="n"/>
      <c r="G536" s="10" t="n"/>
      <c r="H536" s="9" t="n"/>
      <c r="I536" s="9" t="n"/>
      <c r="J536" s="9" t="n"/>
      <c r="K536" s="9" t="n"/>
      <c r="L536">
        <f>IF($A536="","",IF($P536="Yes","Disputed / Review",IF($I536&lt;&gt;"Yes","Not Reimbursable",IF($M536&lt;=0.004,"Pending",IF($N536&lt;=0.004,"Reimbursed","Partially Reimbursed")))))</f>
        <v/>
      </c>
      <c r="M536" s="12">
        <f>IF($A536="",0,SUMIF('Family Contributions'!$I$4:$I$1003,$A536,'Family Contributions'!$G$4:$G$1003))</f>
        <v/>
      </c>
      <c r="N536" s="12">
        <f>IF($A536="",0,IF($I536="Yes",IF(ISNUMBER($G536),$G536,0)-$M536,0))</f>
        <v/>
      </c>
      <c r="O536" s="9" t="n"/>
      <c r="P536" s="9" t="n"/>
    </row>
    <row r="537">
      <c r="A537" s="9" t="n"/>
      <c r="B537" s="19" t="n"/>
      <c r="C537" s="9" t="n"/>
      <c r="D537" s="9" t="n"/>
      <c r="E537" s="9" t="n"/>
      <c r="F537" s="9" t="n"/>
      <c r="G537" s="10" t="n"/>
      <c r="H537" s="9" t="n"/>
      <c r="I537" s="9" t="n"/>
      <c r="J537" s="9" t="n"/>
      <c r="K537" s="9" t="n"/>
      <c r="L537">
        <f>IF($A537="","",IF($P537="Yes","Disputed / Review",IF($I537&lt;&gt;"Yes","Not Reimbursable",IF($M537&lt;=0.004,"Pending",IF($N537&lt;=0.004,"Reimbursed","Partially Reimbursed")))))</f>
        <v/>
      </c>
      <c r="M537" s="12">
        <f>IF($A537="",0,SUMIF('Family Contributions'!$I$4:$I$1003,$A537,'Family Contributions'!$G$4:$G$1003))</f>
        <v/>
      </c>
      <c r="N537" s="12">
        <f>IF($A537="",0,IF($I537="Yes",IF(ISNUMBER($G537),$G537,0)-$M537,0))</f>
        <v/>
      </c>
      <c r="O537" s="9" t="n"/>
      <c r="P537" s="9" t="n"/>
    </row>
    <row r="538">
      <c r="A538" s="9" t="n"/>
      <c r="B538" s="19" t="n"/>
      <c r="C538" s="9" t="n"/>
      <c r="D538" s="9" t="n"/>
      <c r="E538" s="9" t="n"/>
      <c r="F538" s="9" t="n"/>
      <c r="G538" s="10" t="n"/>
      <c r="H538" s="9" t="n"/>
      <c r="I538" s="9" t="n"/>
      <c r="J538" s="9" t="n"/>
      <c r="K538" s="9" t="n"/>
      <c r="L538">
        <f>IF($A538="","",IF($P538="Yes","Disputed / Review",IF($I538&lt;&gt;"Yes","Not Reimbursable",IF($M538&lt;=0.004,"Pending",IF($N538&lt;=0.004,"Reimbursed","Partially Reimbursed")))))</f>
        <v/>
      </c>
      <c r="M538" s="12">
        <f>IF($A538="",0,SUMIF('Family Contributions'!$I$4:$I$1003,$A538,'Family Contributions'!$G$4:$G$1003))</f>
        <v/>
      </c>
      <c r="N538" s="12">
        <f>IF($A538="",0,IF($I538="Yes",IF(ISNUMBER($G538),$G538,0)-$M538,0))</f>
        <v/>
      </c>
      <c r="O538" s="9" t="n"/>
      <c r="P538" s="9" t="n"/>
    </row>
    <row r="539">
      <c r="A539" s="9" t="n"/>
      <c r="B539" s="19" t="n"/>
      <c r="C539" s="9" t="n"/>
      <c r="D539" s="9" t="n"/>
      <c r="E539" s="9" t="n"/>
      <c r="F539" s="9" t="n"/>
      <c r="G539" s="10" t="n"/>
      <c r="H539" s="9" t="n"/>
      <c r="I539" s="9" t="n"/>
      <c r="J539" s="9" t="n"/>
      <c r="K539" s="9" t="n"/>
      <c r="L539">
        <f>IF($A539="","",IF($P539="Yes","Disputed / Review",IF($I539&lt;&gt;"Yes","Not Reimbursable",IF($M539&lt;=0.004,"Pending",IF($N539&lt;=0.004,"Reimbursed","Partially Reimbursed")))))</f>
        <v/>
      </c>
      <c r="M539" s="12">
        <f>IF($A539="",0,SUMIF('Family Contributions'!$I$4:$I$1003,$A539,'Family Contributions'!$G$4:$G$1003))</f>
        <v/>
      </c>
      <c r="N539" s="12">
        <f>IF($A539="",0,IF($I539="Yes",IF(ISNUMBER($G539),$G539,0)-$M539,0))</f>
        <v/>
      </c>
      <c r="O539" s="9" t="n"/>
      <c r="P539" s="9" t="n"/>
    </row>
    <row r="540">
      <c r="A540" s="9" t="n"/>
      <c r="B540" s="19" t="n"/>
      <c r="C540" s="9" t="n"/>
      <c r="D540" s="9" t="n"/>
      <c r="E540" s="9" t="n"/>
      <c r="F540" s="9" t="n"/>
      <c r="G540" s="10" t="n"/>
      <c r="H540" s="9" t="n"/>
      <c r="I540" s="9" t="n"/>
      <c r="J540" s="9" t="n"/>
      <c r="K540" s="9" t="n"/>
      <c r="L540">
        <f>IF($A540="","",IF($P540="Yes","Disputed / Review",IF($I540&lt;&gt;"Yes","Not Reimbursable",IF($M540&lt;=0.004,"Pending",IF($N540&lt;=0.004,"Reimbursed","Partially Reimbursed")))))</f>
        <v/>
      </c>
      <c r="M540" s="12">
        <f>IF($A540="",0,SUMIF('Family Contributions'!$I$4:$I$1003,$A540,'Family Contributions'!$G$4:$G$1003))</f>
        <v/>
      </c>
      <c r="N540" s="12">
        <f>IF($A540="",0,IF($I540="Yes",IF(ISNUMBER($G540),$G540,0)-$M540,0))</f>
        <v/>
      </c>
      <c r="O540" s="9" t="n"/>
      <c r="P540" s="9" t="n"/>
    </row>
    <row r="541">
      <c r="A541" s="9" t="n"/>
      <c r="B541" s="19" t="n"/>
      <c r="C541" s="9" t="n"/>
      <c r="D541" s="9" t="n"/>
      <c r="E541" s="9" t="n"/>
      <c r="F541" s="9" t="n"/>
      <c r="G541" s="10" t="n"/>
      <c r="H541" s="9" t="n"/>
      <c r="I541" s="9" t="n"/>
      <c r="J541" s="9" t="n"/>
      <c r="K541" s="9" t="n"/>
      <c r="L541">
        <f>IF($A541="","",IF($P541="Yes","Disputed / Review",IF($I541&lt;&gt;"Yes","Not Reimbursable",IF($M541&lt;=0.004,"Pending",IF($N541&lt;=0.004,"Reimbursed","Partially Reimbursed")))))</f>
        <v/>
      </c>
      <c r="M541" s="12">
        <f>IF($A541="",0,SUMIF('Family Contributions'!$I$4:$I$1003,$A541,'Family Contributions'!$G$4:$G$1003))</f>
        <v/>
      </c>
      <c r="N541" s="12">
        <f>IF($A541="",0,IF($I541="Yes",IF(ISNUMBER($G541),$G541,0)-$M541,0))</f>
        <v/>
      </c>
      <c r="O541" s="9" t="n"/>
      <c r="P541" s="9" t="n"/>
    </row>
    <row r="542">
      <c r="A542" s="9" t="n"/>
      <c r="B542" s="19" t="n"/>
      <c r="C542" s="9" t="n"/>
      <c r="D542" s="9" t="n"/>
      <c r="E542" s="9" t="n"/>
      <c r="F542" s="9" t="n"/>
      <c r="G542" s="10" t="n"/>
      <c r="H542" s="9" t="n"/>
      <c r="I542" s="9" t="n"/>
      <c r="J542" s="9" t="n"/>
      <c r="K542" s="9" t="n"/>
      <c r="L542">
        <f>IF($A542="","",IF($P542="Yes","Disputed / Review",IF($I542&lt;&gt;"Yes","Not Reimbursable",IF($M542&lt;=0.004,"Pending",IF($N542&lt;=0.004,"Reimbursed","Partially Reimbursed")))))</f>
        <v/>
      </c>
      <c r="M542" s="12">
        <f>IF($A542="",0,SUMIF('Family Contributions'!$I$4:$I$1003,$A542,'Family Contributions'!$G$4:$G$1003))</f>
        <v/>
      </c>
      <c r="N542" s="12">
        <f>IF($A542="",0,IF($I542="Yes",IF(ISNUMBER($G542),$G542,0)-$M542,0))</f>
        <v/>
      </c>
      <c r="O542" s="9" t="n"/>
      <c r="P542" s="9" t="n"/>
    </row>
    <row r="543">
      <c r="A543" s="9" t="n"/>
      <c r="B543" s="19" t="n"/>
      <c r="C543" s="9" t="n"/>
      <c r="D543" s="9" t="n"/>
      <c r="E543" s="9" t="n"/>
      <c r="F543" s="9" t="n"/>
      <c r="G543" s="10" t="n"/>
      <c r="H543" s="9" t="n"/>
      <c r="I543" s="9" t="n"/>
      <c r="J543" s="9" t="n"/>
      <c r="K543" s="9" t="n"/>
      <c r="L543">
        <f>IF($A543="","",IF($P543="Yes","Disputed / Review",IF($I543&lt;&gt;"Yes","Not Reimbursable",IF($M543&lt;=0.004,"Pending",IF($N543&lt;=0.004,"Reimbursed","Partially Reimbursed")))))</f>
        <v/>
      </c>
      <c r="M543" s="12">
        <f>IF($A543="",0,SUMIF('Family Contributions'!$I$4:$I$1003,$A543,'Family Contributions'!$G$4:$G$1003))</f>
        <v/>
      </c>
      <c r="N543" s="12">
        <f>IF($A543="",0,IF($I543="Yes",IF(ISNUMBER($G543),$G543,0)-$M543,0))</f>
        <v/>
      </c>
      <c r="O543" s="9" t="n"/>
      <c r="P543" s="9" t="n"/>
    </row>
    <row r="544">
      <c r="A544" s="9" t="n"/>
      <c r="B544" s="19" t="n"/>
      <c r="C544" s="9" t="n"/>
      <c r="D544" s="9" t="n"/>
      <c r="E544" s="9" t="n"/>
      <c r="F544" s="9" t="n"/>
      <c r="G544" s="10" t="n"/>
      <c r="H544" s="9" t="n"/>
      <c r="I544" s="9" t="n"/>
      <c r="J544" s="9" t="n"/>
      <c r="K544" s="9" t="n"/>
      <c r="L544">
        <f>IF($A544="","",IF($P544="Yes","Disputed / Review",IF($I544&lt;&gt;"Yes","Not Reimbursable",IF($M544&lt;=0.004,"Pending",IF($N544&lt;=0.004,"Reimbursed","Partially Reimbursed")))))</f>
        <v/>
      </c>
      <c r="M544" s="12">
        <f>IF($A544="",0,SUMIF('Family Contributions'!$I$4:$I$1003,$A544,'Family Contributions'!$G$4:$G$1003))</f>
        <v/>
      </c>
      <c r="N544" s="12">
        <f>IF($A544="",0,IF($I544="Yes",IF(ISNUMBER($G544),$G544,0)-$M544,0))</f>
        <v/>
      </c>
      <c r="O544" s="9" t="n"/>
      <c r="P544" s="9" t="n"/>
    </row>
    <row r="545">
      <c r="A545" s="9" t="n"/>
      <c r="B545" s="19" t="n"/>
      <c r="C545" s="9" t="n"/>
      <c r="D545" s="9" t="n"/>
      <c r="E545" s="9" t="n"/>
      <c r="F545" s="9" t="n"/>
      <c r="G545" s="10" t="n"/>
      <c r="H545" s="9" t="n"/>
      <c r="I545" s="9" t="n"/>
      <c r="J545" s="9" t="n"/>
      <c r="K545" s="9" t="n"/>
      <c r="L545">
        <f>IF($A545="","",IF($P545="Yes","Disputed / Review",IF($I545&lt;&gt;"Yes","Not Reimbursable",IF($M545&lt;=0.004,"Pending",IF($N545&lt;=0.004,"Reimbursed","Partially Reimbursed")))))</f>
        <v/>
      </c>
      <c r="M545" s="12">
        <f>IF($A545="",0,SUMIF('Family Contributions'!$I$4:$I$1003,$A545,'Family Contributions'!$G$4:$G$1003))</f>
        <v/>
      </c>
      <c r="N545" s="12">
        <f>IF($A545="",0,IF($I545="Yes",IF(ISNUMBER($G545),$G545,0)-$M545,0))</f>
        <v/>
      </c>
      <c r="O545" s="9" t="n"/>
      <c r="P545" s="9" t="n"/>
    </row>
    <row r="546">
      <c r="A546" s="9" t="n"/>
      <c r="B546" s="19" t="n"/>
      <c r="C546" s="9" t="n"/>
      <c r="D546" s="9" t="n"/>
      <c r="E546" s="9" t="n"/>
      <c r="F546" s="9" t="n"/>
      <c r="G546" s="10" t="n"/>
      <c r="H546" s="9" t="n"/>
      <c r="I546" s="9" t="n"/>
      <c r="J546" s="9" t="n"/>
      <c r="K546" s="9" t="n"/>
      <c r="L546">
        <f>IF($A546="","",IF($P546="Yes","Disputed / Review",IF($I546&lt;&gt;"Yes","Not Reimbursable",IF($M546&lt;=0.004,"Pending",IF($N546&lt;=0.004,"Reimbursed","Partially Reimbursed")))))</f>
        <v/>
      </c>
      <c r="M546" s="12">
        <f>IF($A546="",0,SUMIF('Family Contributions'!$I$4:$I$1003,$A546,'Family Contributions'!$G$4:$G$1003))</f>
        <v/>
      </c>
      <c r="N546" s="12">
        <f>IF($A546="",0,IF($I546="Yes",IF(ISNUMBER($G546),$G546,0)-$M546,0))</f>
        <v/>
      </c>
      <c r="O546" s="9" t="n"/>
      <c r="P546" s="9" t="n"/>
    </row>
    <row r="547">
      <c r="A547" s="9" t="n"/>
      <c r="B547" s="19" t="n"/>
      <c r="C547" s="9" t="n"/>
      <c r="D547" s="9" t="n"/>
      <c r="E547" s="9" t="n"/>
      <c r="F547" s="9" t="n"/>
      <c r="G547" s="10" t="n"/>
      <c r="H547" s="9" t="n"/>
      <c r="I547" s="9" t="n"/>
      <c r="J547" s="9" t="n"/>
      <c r="K547" s="9" t="n"/>
      <c r="L547">
        <f>IF($A547="","",IF($P547="Yes","Disputed / Review",IF($I547&lt;&gt;"Yes","Not Reimbursable",IF($M547&lt;=0.004,"Pending",IF($N547&lt;=0.004,"Reimbursed","Partially Reimbursed")))))</f>
        <v/>
      </c>
      <c r="M547" s="12">
        <f>IF($A547="",0,SUMIF('Family Contributions'!$I$4:$I$1003,$A547,'Family Contributions'!$G$4:$G$1003))</f>
        <v/>
      </c>
      <c r="N547" s="12">
        <f>IF($A547="",0,IF($I547="Yes",IF(ISNUMBER($G547),$G547,0)-$M547,0))</f>
        <v/>
      </c>
      <c r="O547" s="9" t="n"/>
      <c r="P547" s="9" t="n"/>
    </row>
    <row r="548">
      <c r="A548" s="9" t="n"/>
      <c r="B548" s="19" t="n"/>
      <c r="C548" s="9" t="n"/>
      <c r="D548" s="9" t="n"/>
      <c r="E548" s="9" t="n"/>
      <c r="F548" s="9" t="n"/>
      <c r="G548" s="10" t="n"/>
      <c r="H548" s="9" t="n"/>
      <c r="I548" s="9" t="n"/>
      <c r="J548" s="9" t="n"/>
      <c r="K548" s="9" t="n"/>
      <c r="L548">
        <f>IF($A548="","",IF($P548="Yes","Disputed / Review",IF($I548&lt;&gt;"Yes","Not Reimbursable",IF($M548&lt;=0.004,"Pending",IF($N548&lt;=0.004,"Reimbursed","Partially Reimbursed")))))</f>
        <v/>
      </c>
      <c r="M548" s="12">
        <f>IF($A548="",0,SUMIF('Family Contributions'!$I$4:$I$1003,$A548,'Family Contributions'!$G$4:$G$1003))</f>
        <v/>
      </c>
      <c r="N548" s="12">
        <f>IF($A548="",0,IF($I548="Yes",IF(ISNUMBER($G548),$G548,0)-$M548,0))</f>
        <v/>
      </c>
      <c r="O548" s="9" t="n"/>
      <c r="P548" s="9" t="n"/>
    </row>
    <row r="549">
      <c r="A549" s="9" t="n"/>
      <c r="B549" s="19" t="n"/>
      <c r="C549" s="9" t="n"/>
      <c r="D549" s="9" t="n"/>
      <c r="E549" s="9" t="n"/>
      <c r="F549" s="9" t="n"/>
      <c r="G549" s="10" t="n"/>
      <c r="H549" s="9" t="n"/>
      <c r="I549" s="9" t="n"/>
      <c r="J549" s="9" t="n"/>
      <c r="K549" s="9" t="n"/>
      <c r="L549">
        <f>IF($A549="","",IF($P549="Yes","Disputed / Review",IF($I549&lt;&gt;"Yes","Not Reimbursable",IF($M549&lt;=0.004,"Pending",IF($N549&lt;=0.004,"Reimbursed","Partially Reimbursed")))))</f>
        <v/>
      </c>
      <c r="M549" s="12">
        <f>IF($A549="",0,SUMIF('Family Contributions'!$I$4:$I$1003,$A549,'Family Contributions'!$G$4:$G$1003))</f>
        <v/>
      </c>
      <c r="N549" s="12">
        <f>IF($A549="",0,IF($I549="Yes",IF(ISNUMBER($G549),$G549,0)-$M549,0))</f>
        <v/>
      </c>
      <c r="O549" s="9" t="n"/>
      <c r="P549" s="9" t="n"/>
    </row>
    <row r="550">
      <c r="A550" s="9" t="n"/>
      <c r="B550" s="19" t="n"/>
      <c r="C550" s="9" t="n"/>
      <c r="D550" s="9" t="n"/>
      <c r="E550" s="9" t="n"/>
      <c r="F550" s="9" t="n"/>
      <c r="G550" s="10" t="n"/>
      <c r="H550" s="9" t="n"/>
      <c r="I550" s="9" t="n"/>
      <c r="J550" s="9" t="n"/>
      <c r="K550" s="9" t="n"/>
      <c r="L550">
        <f>IF($A550="","",IF($P550="Yes","Disputed / Review",IF($I550&lt;&gt;"Yes","Not Reimbursable",IF($M550&lt;=0.004,"Pending",IF($N550&lt;=0.004,"Reimbursed","Partially Reimbursed")))))</f>
        <v/>
      </c>
      <c r="M550" s="12">
        <f>IF($A550="",0,SUMIF('Family Contributions'!$I$4:$I$1003,$A550,'Family Contributions'!$G$4:$G$1003))</f>
        <v/>
      </c>
      <c r="N550" s="12">
        <f>IF($A550="",0,IF($I550="Yes",IF(ISNUMBER($G550),$G550,0)-$M550,0))</f>
        <v/>
      </c>
      <c r="O550" s="9" t="n"/>
      <c r="P550" s="9" t="n"/>
    </row>
    <row r="551">
      <c r="A551" s="9" t="n"/>
      <c r="B551" s="19" t="n"/>
      <c r="C551" s="9" t="n"/>
      <c r="D551" s="9" t="n"/>
      <c r="E551" s="9" t="n"/>
      <c r="F551" s="9" t="n"/>
      <c r="G551" s="10" t="n"/>
      <c r="H551" s="9" t="n"/>
      <c r="I551" s="9" t="n"/>
      <c r="J551" s="9" t="n"/>
      <c r="K551" s="9" t="n"/>
      <c r="L551">
        <f>IF($A551="","",IF($P551="Yes","Disputed / Review",IF($I551&lt;&gt;"Yes","Not Reimbursable",IF($M551&lt;=0.004,"Pending",IF($N551&lt;=0.004,"Reimbursed","Partially Reimbursed")))))</f>
        <v/>
      </c>
      <c r="M551" s="12">
        <f>IF($A551="",0,SUMIF('Family Contributions'!$I$4:$I$1003,$A551,'Family Contributions'!$G$4:$G$1003))</f>
        <v/>
      </c>
      <c r="N551" s="12">
        <f>IF($A551="",0,IF($I551="Yes",IF(ISNUMBER($G551),$G551,0)-$M551,0))</f>
        <v/>
      </c>
      <c r="O551" s="9" t="n"/>
      <c r="P551" s="9" t="n"/>
    </row>
    <row r="552">
      <c r="A552" s="9" t="n"/>
      <c r="B552" s="19" t="n"/>
      <c r="C552" s="9" t="n"/>
      <c r="D552" s="9" t="n"/>
      <c r="E552" s="9" t="n"/>
      <c r="F552" s="9" t="n"/>
      <c r="G552" s="10" t="n"/>
      <c r="H552" s="9" t="n"/>
      <c r="I552" s="9" t="n"/>
      <c r="J552" s="9" t="n"/>
      <c r="K552" s="9" t="n"/>
      <c r="L552">
        <f>IF($A552="","",IF($P552="Yes","Disputed / Review",IF($I552&lt;&gt;"Yes","Not Reimbursable",IF($M552&lt;=0.004,"Pending",IF($N552&lt;=0.004,"Reimbursed","Partially Reimbursed")))))</f>
        <v/>
      </c>
      <c r="M552" s="12">
        <f>IF($A552="",0,SUMIF('Family Contributions'!$I$4:$I$1003,$A552,'Family Contributions'!$G$4:$G$1003))</f>
        <v/>
      </c>
      <c r="N552" s="12">
        <f>IF($A552="",0,IF($I552="Yes",IF(ISNUMBER($G552),$G552,0)-$M552,0))</f>
        <v/>
      </c>
      <c r="O552" s="9" t="n"/>
      <c r="P552" s="9" t="n"/>
    </row>
    <row r="553">
      <c r="A553" s="9" t="n"/>
      <c r="B553" s="19" t="n"/>
      <c r="C553" s="9" t="n"/>
      <c r="D553" s="9" t="n"/>
      <c r="E553" s="9" t="n"/>
      <c r="F553" s="9" t="n"/>
      <c r="G553" s="10" t="n"/>
      <c r="H553" s="9" t="n"/>
      <c r="I553" s="9" t="n"/>
      <c r="J553" s="9" t="n"/>
      <c r="K553" s="9" t="n"/>
      <c r="L553">
        <f>IF($A553="","",IF($P553="Yes","Disputed / Review",IF($I553&lt;&gt;"Yes","Not Reimbursable",IF($M553&lt;=0.004,"Pending",IF($N553&lt;=0.004,"Reimbursed","Partially Reimbursed")))))</f>
        <v/>
      </c>
      <c r="M553" s="12">
        <f>IF($A553="",0,SUMIF('Family Contributions'!$I$4:$I$1003,$A553,'Family Contributions'!$G$4:$G$1003))</f>
        <v/>
      </c>
      <c r="N553" s="12">
        <f>IF($A553="",0,IF($I553="Yes",IF(ISNUMBER($G553),$G553,0)-$M553,0))</f>
        <v/>
      </c>
      <c r="O553" s="9" t="n"/>
      <c r="P553" s="9" t="n"/>
    </row>
    <row r="554">
      <c r="A554" s="9" t="n"/>
      <c r="B554" s="19" t="n"/>
      <c r="C554" s="9" t="n"/>
      <c r="D554" s="9" t="n"/>
      <c r="E554" s="9" t="n"/>
      <c r="F554" s="9" t="n"/>
      <c r="G554" s="10" t="n"/>
      <c r="H554" s="9" t="n"/>
      <c r="I554" s="9" t="n"/>
      <c r="J554" s="9" t="n"/>
      <c r="K554" s="9" t="n"/>
      <c r="L554">
        <f>IF($A554="","",IF($P554="Yes","Disputed / Review",IF($I554&lt;&gt;"Yes","Not Reimbursable",IF($M554&lt;=0.004,"Pending",IF($N554&lt;=0.004,"Reimbursed","Partially Reimbursed")))))</f>
        <v/>
      </c>
      <c r="M554" s="12">
        <f>IF($A554="",0,SUMIF('Family Contributions'!$I$4:$I$1003,$A554,'Family Contributions'!$G$4:$G$1003))</f>
        <v/>
      </c>
      <c r="N554" s="12">
        <f>IF($A554="",0,IF($I554="Yes",IF(ISNUMBER($G554),$G554,0)-$M554,0))</f>
        <v/>
      </c>
      <c r="O554" s="9" t="n"/>
      <c r="P554" s="9" t="n"/>
    </row>
    <row r="555">
      <c r="A555" s="9" t="n"/>
      <c r="B555" s="19" t="n"/>
      <c r="C555" s="9" t="n"/>
      <c r="D555" s="9" t="n"/>
      <c r="E555" s="9" t="n"/>
      <c r="F555" s="9" t="n"/>
      <c r="G555" s="10" t="n"/>
      <c r="H555" s="9" t="n"/>
      <c r="I555" s="9" t="n"/>
      <c r="J555" s="9" t="n"/>
      <c r="K555" s="9" t="n"/>
      <c r="L555">
        <f>IF($A555="","",IF($P555="Yes","Disputed / Review",IF($I555&lt;&gt;"Yes","Not Reimbursable",IF($M555&lt;=0.004,"Pending",IF($N555&lt;=0.004,"Reimbursed","Partially Reimbursed")))))</f>
        <v/>
      </c>
      <c r="M555" s="12">
        <f>IF($A555="",0,SUMIF('Family Contributions'!$I$4:$I$1003,$A555,'Family Contributions'!$G$4:$G$1003))</f>
        <v/>
      </c>
      <c r="N555" s="12">
        <f>IF($A555="",0,IF($I555="Yes",IF(ISNUMBER($G555),$G555,0)-$M555,0))</f>
        <v/>
      </c>
      <c r="O555" s="9" t="n"/>
      <c r="P555" s="9" t="n"/>
    </row>
    <row r="556">
      <c r="A556" s="9" t="n"/>
      <c r="B556" s="19" t="n"/>
      <c r="C556" s="9" t="n"/>
      <c r="D556" s="9" t="n"/>
      <c r="E556" s="9" t="n"/>
      <c r="F556" s="9" t="n"/>
      <c r="G556" s="10" t="n"/>
      <c r="H556" s="9" t="n"/>
      <c r="I556" s="9" t="n"/>
      <c r="J556" s="9" t="n"/>
      <c r="K556" s="9" t="n"/>
      <c r="L556">
        <f>IF($A556="","",IF($P556="Yes","Disputed / Review",IF($I556&lt;&gt;"Yes","Not Reimbursable",IF($M556&lt;=0.004,"Pending",IF($N556&lt;=0.004,"Reimbursed","Partially Reimbursed")))))</f>
        <v/>
      </c>
      <c r="M556" s="12">
        <f>IF($A556="",0,SUMIF('Family Contributions'!$I$4:$I$1003,$A556,'Family Contributions'!$G$4:$G$1003))</f>
        <v/>
      </c>
      <c r="N556" s="12">
        <f>IF($A556="",0,IF($I556="Yes",IF(ISNUMBER($G556),$G556,0)-$M556,0))</f>
        <v/>
      </c>
      <c r="O556" s="9" t="n"/>
      <c r="P556" s="9" t="n"/>
    </row>
    <row r="557">
      <c r="A557" s="9" t="n"/>
      <c r="B557" s="19" t="n"/>
      <c r="C557" s="9" t="n"/>
      <c r="D557" s="9" t="n"/>
      <c r="E557" s="9" t="n"/>
      <c r="F557" s="9" t="n"/>
      <c r="G557" s="10" t="n"/>
      <c r="H557" s="9" t="n"/>
      <c r="I557" s="9" t="n"/>
      <c r="J557" s="9" t="n"/>
      <c r="K557" s="9" t="n"/>
      <c r="L557">
        <f>IF($A557="","",IF($P557="Yes","Disputed / Review",IF($I557&lt;&gt;"Yes","Not Reimbursable",IF($M557&lt;=0.004,"Pending",IF($N557&lt;=0.004,"Reimbursed","Partially Reimbursed")))))</f>
        <v/>
      </c>
      <c r="M557" s="12">
        <f>IF($A557="",0,SUMIF('Family Contributions'!$I$4:$I$1003,$A557,'Family Contributions'!$G$4:$G$1003))</f>
        <v/>
      </c>
      <c r="N557" s="12">
        <f>IF($A557="",0,IF($I557="Yes",IF(ISNUMBER($G557),$G557,0)-$M557,0))</f>
        <v/>
      </c>
      <c r="O557" s="9" t="n"/>
      <c r="P557" s="9" t="n"/>
    </row>
    <row r="558">
      <c r="A558" s="9" t="n"/>
      <c r="B558" s="19" t="n"/>
      <c r="C558" s="9" t="n"/>
      <c r="D558" s="9" t="n"/>
      <c r="E558" s="9" t="n"/>
      <c r="F558" s="9" t="n"/>
      <c r="G558" s="10" t="n"/>
      <c r="H558" s="9" t="n"/>
      <c r="I558" s="9" t="n"/>
      <c r="J558" s="9" t="n"/>
      <c r="K558" s="9" t="n"/>
      <c r="L558">
        <f>IF($A558="","",IF($P558="Yes","Disputed / Review",IF($I558&lt;&gt;"Yes","Not Reimbursable",IF($M558&lt;=0.004,"Pending",IF($N558&lt;=0.004,"Reimbursed","Partially Reimbursed")))))</f>
        <v/>
      </c>
      <c r="M558" s="12">
        <f>IF($A558="",0,SUMIF('Family Contributions'!$I$4:$I$1003,$A558,'Family Contributions'!$G$4:$G$1003))</f>
        <v/>
      </c>
      <c r="N558" s="12">
        <f>IF($A558="",0,IF($I558="Yes",IF(ISNUMBER($G558),$G558,0)-$M558,0))</f>
        <v/>
      </c>
      <c r="O558" s="9" t="n"/>
      <c r="P558" s="9" t="n"/>
    </row>
    <row r="559">
      <c r="A559" s="9" t="n"/>
      <c r="B559" s="19" t="n"/>
      <c r="C559" s="9" t="n"/>
      <c r="D559" s="9" t="n"/>
      <c r="E559" s="9" t="n"/>
      <c r="F559" s="9" t="n"/>
      <c r="G559" s="10" t="n"/>
      <c r="H559" s="9" t="n"/>
      <c r="I559" s="9" t="n"/>
      <c r="J559" s="9" t="n"/>
      <c r="K559" s="9" t="n"/>
      <c r="L559">
        <f>IF($A559="","",IF($P559="Yes","Disputed / Review",IF($I559&lt;&gt;"Yes","Not Reimbursable",IF($M559&lt;=0.004,"Pending",IF($N559&lt;=0.004,"Reimbursed","Partially Reimbursed")))))</f>
        <v/>
      </c>
      <c r="M559" s="12">
        <f>IF($A559="",0,SUMIF('Family Contributions'!$I$4:$I$1003,$A559,'Family Contributions'!$G$4:$G$1003))</f>
        <v/>
      </c>
      <c r="N559" s="12">
        <f>IF($A559="",0,IF($I559="Yes",IF(ISNUMBER($G559),$G559,0)-$M559,0))</f>
        <v/>
      </c>
      <c r="O559" s="9" t="n"/>
      <c r="P559" s="9" t="n"/>
    </row>
    <row r="560">
      <c r="A560" s="9" t="n"/>
      <c r="B560" s="19" t="n"/>
      <c r="C560" s="9" t="n"/>
      <c r="D560" s="9" t="n"/>
      <c r="E560" s="9" t="n"/>
      <c r="F560" s="9" t="n"/>
      <c r="G560" s="10" t="n"/>
      <c r="H560" s="9" t="n"/>
      <c r="I560" s="9" t="n"/>
      <c r="J560" s="9" t="n"/>
      <c r="K560" s="9" t="n"/>
      <c r="L560">
        <f>IF($A560="","",IF($P560="Yes","Disputed / Review",IF($I560&lt;&gt;"Yes","Not Reimbursable",IF($M560&lt;=0.004,"Pending",IF($N560&lt;=0.004,"Reimbursed","Partially Reimbursed")))))</f>
        <v/>
      </c>
      <c r="M560" s="12">
        <f>IF($A560="",0,SUMIF('Family Contributions'!$I$4:$I$1003,$A560,'Family Contributions'!$G$4:$G$1003))</f>
        <v/>
      </c>
      <c r="N560" s="12">
        <f>IF($A560="",0,IF($I560="Yes",IF(ISNUMBER($G560),$G560,0)-$M560,0))</f>
        <v/>
      </c>
      <c r="O560" s="9" t="n"/>
      <c r="P560" s="9" t="n"/>
    </row>
    <row r="561">
      <c r="A561" s="9" t="n"/>
      <c r="B561" s="19" t="n"/>
      <c r="C561" s="9" t="n"/>
      <c r="D561" s="9" t="n"/>
      <c r="E561" s="9" t="n"/>
      <c r="F561" s="9" t="n"/>
      <c r="G561" s="10" t="n"/>
      <c r="H561" s="9" t="n"/>
      <c r="I561" s="9" t="n"/>
      <c r="J561" s="9" t="n"/>
      <c r="K561" s="9" t="n"/>
      <c r="L561">
        <f>IF($A561="","",IF($P561="Yes","Disputed / Review",IF($I561&lt;&gt;"Yes","Not Reimbursable",IF($M561&lt;=0.004,"Pending",IF($N561&lt;=0.004,"Reimbursed","Partially Reimbursed")))))</f>
        <v/>
      </c>
      <c r="M561" s="12">
        <f>IF($A561="",0,SUMIF('Family Contributions'!$I$4:$I$1003,$A561,'Family Contributions'!$G$4:$G$1003))</f>
        <v/>
      </c>
      <c r="N561" s="12">
        <f>IF($A561="",0,IF($I561="Yes",IF(ISNUMBER($G561),$G561,0)-$M561,0))</f>
        <v/>
      </c>
      <c r="O561" s="9" t="n"/>
      <c r="P561" s="9" t="n"/>
    </row>
    <row r="562">
      <c r="A562" s="9" t="n"/>
      <c r="B562" s="19" t="n"/>
      <c r="C562" s="9" t="n"/>
      <c r="D562" s="9" t="n"/>
      <c r="E562" s="9" t="n"/>
      <c r="F562" s="9" t="n"/>
      <c r="G562" s="10" t="n"/>
      <c r="H562" s="9" t="n"/>
      <c r="I562" s="9" t="n"/>
      <c r="J562" s="9" t="n"/>
      <c r="K562" s="9" t="n"/>
      <c r="L562">
        <f>IF($A562="","",IF($P562="Yes","Disputed / Review",IF($I562&lt;&gt;"Yes","Not Reimbursable",IF($M562&lt;=0.004,"Pending",IF($N562&lt;=0.004,"Reimbursed","Partially Reimbursed")))))</f>
        <v/>
      </c>
      <c r="M562" s="12">
        <f>IF($A562="",0,SUMIF('Family Contributions'!$I$4:$I$1003,$A562,'Family Contributions'!$G$4:$G$1003))</f>
        <v/>
      </c>
      <c r="N562" s="12">
        <f>IF($A562="",0,IF($I562="Yes",IF(ISNUMBER($G562),$G562,0)-$M562,0))</f>
        <v/>
      </c>
      <c r="O562" s="9" t="n"/>
      <c r="P562" s="9" t="n"/>
    </row>
    <row r="563">
      <c r="A563" s="9" t="n"/>
      <c r="B563" s="19" t="n"/>
      <c r="C563" s="9" t="n"/>
      <c r="D563" s="9" t="n"/>
      <c r="E563" s="9" t="n"/>
      <c r="F563" s="9" t="n"/>
      <c r="G563" s="10" t="n"/>
      <c r="H563" s="9" t="n"/>
      <c r="I563" s="9" t="n"/>
      <c r="J563" s="9" t="n"/>
      <c r="K563" s="9" t="n"/>
      <c r="L563">
        <f>IF($A563="","",IF($P563="Yes","Disputed / Review",IF($I563&lt;&gt;"Yes","Not Reimbursable",IF($M563&lt;=0.004,"Pending",IF($N563&lt;=0.004,"Reimbursed","Partially Reimbursed")))))</f>
        <v/>
      </c>
      <c r="M563" s="12">
        <f>IF($A563="",0,SUMIF('Family Contributions'!$I$4:$I$1003,$A563,'Family Contributions'!$G$4:$G$1003))</f>
        <v/>
      </c>
      <c r="N563" s="12">
        <f>IF($A563="",0,IF($I563="Yes",IF(ISNUMBER($G563),$G563,0)-$M563,0))</f>
        <v/>
      </c>
      <c r="O563" s="9" t="n"/>
      <c r="P563" s="9" t="n"/>
    </row>
    <row r="564">
      <c r="A564" s="9" t="n"/>
      <c r="B564" s="19" t="n"/>
      <c r="C564" s="9" t="n"/>
      <c r="D564" s="9" t="n"/>
      <c r="E564" s="9" t="n"/>
      <c r="F564" s="9" t="n"/>
      <c r="G564" s="10" t="n"/>
      <c r="H564" s="9" t="n"/>
      <c r="I564" s="9" t="n"/>
      <c r="J564" s="9" t="n"/>
      <c r="K564" s="9" t="n"/>
      <c r="L564">
        <f>IF($A564="","",IF($P564="Yes","Disputed / Review",IF($I564&lt;&gt;"Yes","Not Reimbursable",IF($M564&lt;=0.004,"Pending",IF($N564&lt;=0.004,"Reimbursed","Partially Reimbursed")))))</f>
        <v/>
      </c>
      <c r="M564" s="12">
        <f>IF($A564="",0,SUMIF('Family Contributions'!$I$4:$I$1003,$A564,'Family Contributions'!$G$4:$G$1003))</f>
        <v/>
      </c>
      <c r="N564" s="12">
        <f>IF($A564="",0,IF($I564="Yes",IF(ISNUMBER($G564),$G564,0)-$M564,0))</f>
        <v/>
      </c>
      <c r="O564" s="9" t="n"/>
      <c r="P564" s="9" t="n"/>
    </row>
    <row r="565">
      <c r="A565" s="9" t="n"/>
      <c r="B565" s="19" t="n"/>
      <c r="C565" s="9" t="n"/>
      <c r="D565" s="9" t="n"/>
      <c r="E565" s="9" t="n"/>
      <c r="F565" s="9" t="n"/>
      <c r="G565" s="10" t="n"/>
      <c r="H565" s="9" t="n"/>
      <c r="I565" s="9" t="n"/>
      <c r="J565" s="9" t="n"/>
      <c r="K565" s="9" t="n"/>
      <c r="L565">
        <f>IF($A565="","",IF($P565="Yes","Disputed / Review",IF($I565&lt;&gt;"Yes","Not Reimbursable",IF($M565&lt;=0.004,"Pending",IF($N565&lt;=0.004,"Reimbursed","Partially Reimbursed")))))</f>
        <v/>
      </c>
      <c r="M565" s="12">
        <f>IF($A565="",0,SUMIF('Family Contributions'!$I$4:$I$1003,$A565,'Family Contributions'!$G$4:$G$1003))</f>
        <v/>
      </c>
      <c r="N565" s="12">
        <f>IF($A565="",0,IF($I565="Yes",IF(ISNUMBER($G565),$G565,0)-$M565,0))</f>
        <v/>
      </c>
      <c r="O565" s="9" t="n"/>
      <c r="P565" s="9" t="n"/>
    </row>
    <row r="566">
      <c r="A566" s="9" t="n"/>
      <c r="B566" s="19" t="n"/>
      <c r="C566" s="9" t="n"/>
      <c r="D566" s="9" t="n"/>
      <c r="E566" s="9" t="n"/>
      <c r="F566" s="9" t="n"/>
      <c r="G566" s="10" t="n"/>
      <c r="H566" s="9" t="n"/>
      <c r="I566" s="9" t="n"/>
      <c r="J566" s="9" t="n"/>
      <c r="K566" s="9" t="n"/>
      <c r="L566">
        <f>IF($A566="","",IF($P566="Yes","Disputed / Review",IF($I566&lt;&gt;"Yes","Not Reimbursable",IF($M566&lt;=0.004,"Pending",IF($N566&lt;=0.004,"Reimbursed","Partially Reimbursed")))))</f>
        <v/>
      </c>
      <c r="M566" s="12">
        <f>IF($A566="",0,SUMIF('Family Contributions'!$I$4:$I$1003,$A566,'Family Contributions'!$G$4:$G$1003))</f>
        <v/>
      </c>
      <c r="N566" s="12">
        <f>IF($A566="",0,IF($I566="Yes",IF(ISNUMBER($G566),$G566,0)-$M566,0))</f>
        <v/>
      </c>
      <c r="O566" s="9" t="n"/>
      <c r="P566" s="9" t="n"/>
    </row>
    <row r="567">
      <c r="A567" s="9" t="n"/>
      <c r="B567" s="19" t="n"/>
      <c r="C567" s="9" t="n"/>
      <c r="D567" s="9" t="n"/>
      <c r="E567" s="9" t="n"/>
      <c r="F567" s="9" t="n"/>
      <c r="G567" s="10" t="n"/>
      <c r="H567" s="9" t="n"/>
      <c r="I567" s="9" t="n"/>
      <c r="J567" s="9" t="n"/>
      <c r="K567" s="9" t="n"/>
      <c r="L567">
        <f>IF($A567="","",IF($P567="Yes","Disputed / Review",IF($I567&lt;&gt;"Yes","Not Reimbursable",IF($M567&lt;=0.004,"Pending",IF($N567&lt;=0.004,"Reimbursed","Partially Reimbursed")))))</f>
        <v/>
      </c>
      <c r="M567" s="12">
        <f>IF($A567="",0,SUMIF('Family Contributions'!$I$4:$I$1003,$A567,'Family Contributions'!$G$4:$G$1003))</f>
        <v/>
      </c>
      <c r="N567" s="12">
        <f>IF($A567="",0,IF($I567="Yes",IF(ISNUMBER($G567),$G567,0)-$M567,0))</f>
        <v/>
      </c>
      <c r="O567" s="9" t="n"/>
      <c r="P567" s="9" t="n"/>
    </row>
    <row r="568">
      <c r="A568" s="9" t="n"/>
      <c r="B568" s="19" t="n"/>
      <c r="C568" s="9" t="n"/>
      <c r="D568" s="9" t="n"/>
      <c r="E568" s="9" t="n"/>
      <c r="F568" s="9" t="n"/>
      <c r="G568" s="10" t="n"/>
      <c r="H568" s="9" t="n"/>
      <c r="I568" s="9" t="n"/>
      <c r="J568" s="9" t="n"/>
      <c r="K568" s="9" t="n"/>
      <c r="L568">
        <f>IF($A568="","",IF($P568="Yes","Disputed / Review",IF($I568&lt;&gt;"Yes","Not Reimbursable",IF($M568&lt;=0.004,"Pending",IF($N568&lt;=0.004,"Reimbursed","Partially Reimbursed")))))</f>
        <v/>
      </c>
      <c r="M568" s="12">
        <f>IF($A568="",0,SUMIF('Family Contributions'!$I$4:$I$1003,$A568,'Family Contributions'!$G$4:$G$1003))</f>
        <v/>
      </c>
      <c r="N568" s="12">
        <f>IF($A568="",0,IF($I568="Yes",IF(ISNUMBER($G568),$G568,0)-$M568,0))</f>
        <v/>
      </c>
      <c r="O568" s="9" t="n"/>
      <c r="P568" s="9" t="n"/>
    </row>
    <row r="569">
      <c r="A569" s="9" t="n"/>
      <c r="B569" s="19" t="n"/>
      <c r="C569" s="9" t="n"/>
      <c r="D569" s="9" t="n"/>
      <c r="E569" s="9" t="n"/>
      <c r="F569" s="9" t="n"/>
      <c r="G569" s="10" t="n"/>
      <c r="H569" s="9" t="n"/>
      <c r="I569" s="9" t="n"/>
      <c r="J569" s="9" t="n"/>
      <c r="K569" s="9" t="n"/>
      <c r="L569">
        <f>IF($A569="","",IF($P569="Yes","Disputed / Review",IF($I569&lt;&gt;"Yes","Not Reimbursable",IF($M569&lt;=0.004,"Pending",IF($N569&lt;=0.004,"Reimbursed","Partially Reimbursed")))))</f>
        <v/>
      </c>
      <c r="M569" s="12">
        <f>IF($A569="",0,SUMIF('Family Contributions'!$I$4:$I$1003,$A569,'Family Contributions'!$G$4:$G$1003))</f>
        <v/>
      </c>
      <c r="N569" s="12">
        <f>IF($A569="",0,IF($I569="Yes",IF(ISNUMBER($G569),$G569,0)-$M569,0))</f>
        <v/>
      </c>
      <c r="O569" s="9" t="n"/>
      <c r="P569" s="9" t="n"/>
    </row>
    <row r="570">
      <c r="A570" s="9" t="n"/>
      <c r="B570" s="19" t="n"/>
      <c r="C570" s="9" t="n"/>
      <c r="D570" s="9" t="n"/>
      <c r="E570" s="9" t="n"/>
      <c r="F570" s="9" t="n"/>
      <c r="G570" s="10" t="n"/>
      <c r="H570" s="9" t="n"/>
      <c r="I570" s="9" t="n"/>
      <c r="J570" s="9" t="n"/>
      <c r="K570" s="9" t="n"/>
      <c r="L570">
        <f>IF($A570="","",IF($P570="Yes","Disputed / Review",IF($I570&lt;&gt;"Yes","Not Reimbursable",IF($M570&lt;=0.004,"Pending",IF($N570&lt;=0.004,"Reimbursed","Partially Reimbursed")))))</f>
        <v/>
      </c>
      <c r="M570" s="12">
        <f>IF($A570="",0,SUMIF('Family Contributions'!$I$4:$I$1003,$A570,'Family Contributions'!$G$4:$G$1003))</f>
        <v/>
      </c>
      <c r="N570" s="12">
        <f>IF($A570="",0,IF($I570="Yes",IF(ISNUMBER($G570),$G570,0)-$M570,0))</f>
        <v/>
      </c>
      <c r="O570" s="9" t="n"/>
      <c r="P570" s="9" t="n"/>
    </row>
    <row r="571">
      <c r="A571" s="9" t="n"/>
      <c r="B571" s="19" t="n"/>
      <c r="C571" s="9" t="n"/>
      <c r="D571" s="9" t="n"/>
      <c r="E571" s="9" t="n"/>
      <c r="F571" s="9" t="n"/>
      <c r="G571" s="10" t="n"/>
      <c r="H571" s="9" t="n"/>
      <c r="I571" s="9" t="n"/>
      <c r="J571" s="9" t="n"/>
      <c r="K571" s="9" t="n"/>
      <c r="L571">
        <f>IF($A571="","",IF($P571="Yes","Disputed / Review",IF($I571&lt;&gt;"Yes","Not Reimbursable",IF($M571&lt;=0.004,"Pending",IF($N571&lt;=0.004,"Reimbursed","Partially Reimbursed")))))</f>
        <v/>
      </c>
      <c r="M571" s="12">
        <f>IF($A571="",0,SUMIF('Family Contributions'!$I$4:$I$1003,$A571,'Family Contributions'!$G$4:$G$1003))</f>
        <v/>
      </c>
      <c r="N571" s="12">
        <f>IF($A571="",0,IF($I571="Yes",IF(ISNUMBER($G571),$G571,0)-$M571,0))</f>
        <v/>
      </c>
      <c r="O571" s="9" t="n"/>
      <c r="P571" s="9" t="n"/>
    </row>
    <row r="572">
      <c r="A572" s="9" t="n"/>
      <c r="B572" s="19" t="n"/>
      <c r="C572" s="9" t="n"/>
      <c r="D572" s="9" t="n"/>
      <c r="E572" s="9" t="n"/>
      <c r="F572" s="9" t="n"/>
      <c r="G572" s="10" t="n"/>
      <c r="H572" s="9" t="n"/>
      <c r="I572" s="9" t="n"/>
      <c r="J572" s="9" t="n"/>
      <c r="K572" s="9" t="n"/>
      <c r="L572">
        <f>IF($A572="","",IF($P572="Yes","Disputed / Review",IF($I572&lt;&gt;"Yes","Not Reimbursable",IF($M572&lt;=0.004,"Pending",IF($N572&lt;=0.004,"Reimbursed","Partially Reimbursed")))))</f>
        <v/>
      </c>
      <c r="M572" s="12">
        <f>IF($A572="",0,SUMIF('Family Contributions'!$I$4:$I$1003,$A572,'Family Contributions'!$G$4:$G$1003))</f>
        <v/>
      </c>
      <c r="N572" s="12">
        <f>IF($A572="",0,IF($I572="Yes",IF(ISNUMBER($G572),$G572,0)-$M572,0))</f>
        <v/>
      </c>
      <c r="O572" s="9" t="n"/>
      <c r="P572" s="9" t="n"/>
    </row>
    <row r="573">
      <c r="A573" s="9" t="n"/>
      <c r="B573" s="19" t="n"/>
      <c r="C573" s="9" t="n"/>
      <c r="D573" s="9" t="n"/>
      <c r="E573" s="9" t="n"/>
      <c r="F573" s="9" t="n"/>
      <c r="G573" s="10" t="n"/>
      <c r="H573" s="9" t="n"/>
      <c r="I573" s="9" t="n"/>
      <c r="J573" s="9" t="n"/>
      <c r="K573" s="9" t="n"/>
      <c r="L573">
        <f>IF($A573="","",IF($P573="Yes","Disputed / Review",IF($I573&lt;&gt;"Yes","Not Reimbursable",IF($M573&lt;=0.004,"Pending",IF($N573&lt;=0.004,"Reimbursed","Partially Reimbursed")))))</f>
        <v/>
      </c>
      <c r="M573" s="12">
        <f>IF($A573="",0,SUMIF('Family Contributions'!$I$4:$I$1003,$A573,'Family Contributions'!$G$4:$G$1003))</f>
        <v/>
      </c>
      <c r="N573" s="12">
        <f>IF($A573="",0,IF($I573="Yes",IF(ISNUMBER($G573),$G573,0)-$M573,0))</f>
        <v/>
      </c>
      <c r="O573" s="9" t="n"/>
      <c r="P573" s="9" t="n"/>
    </row>
    <row r="574">
      <c r="A574" s="9" t="n"/>
      <c r="B574" s="19" t="n"/>
      <c r="C574" s="9" t="n"/>
      <c r="D574" s="9" t="n"/>
      <c r="E574" s="9" t="n"/>
      <c r="F574" s="9" t="n"/>
      <c r="G574" s="10" t="n"/>
      <c r="H574" s="9" t="n"/>
      <c r="I574" s="9" t="n"/>
      <c r="J574" s="9" t="n"/>
      <c r="K574" s="9" t="n"/>
      <c r="L574">
        <f>IF($A574="","",IF($P574="Yes","Disputed / Review",IF($I574&lt;&gt;"Yes","Not Reimbursable",IF($M574&lt;=0.004,"Pending",IF($N574&lt;=0.004,"Reimbursed","Partially Reimbursed")))))</f>
        <v/>
      </c>
      <c r="M574" s="12">
        <f>IF($A574="",0,SUMIF('Family Contributions'!$I$4:$I$1003,$A574,'Family Contributions'!$G$4:$G$1003))</f>
        <v/>
      </c>
      <c r="N574" s="12">
        <f>IF($A574="",0,IF($I574="Yes",IF(ISNUMBER($G574),$G574,0)-$M574,0))</f>
        <v/>
      </c>
      <c r="O574" s="9" t="n"/>
      <c r="P574" s="9" t="n"/>
    </row>
    <row r="575">
      <c r="A575" s="9" t="n"/>
      <c r="B575" s="19" t="n"/>
      <c r="C575" s="9" t="n"/>
      <c r="D575" s="9" t="n"/>
      <c r="E575" s="9" t="n"/>
      <c r="F575" s="9" t="n"/>
      <c r="G575" s="10" t="n"/>
      <c r="H575" s="9" t="n"/>
      <c r="I575" s="9" t="n"/>
      <c r="J575" s="9" t="n"/>
      <c r="K575" s="9" t="n"/>
      <c r="L575">
        <f>IF($A575="","",IF($P575="Yes","Disputed / Review",IF($I575&lt;&gt;"Yes","Not Reimbursable",IF($M575&lt;=0.004,"Pending",IF($N575&lt;=0.004,"Reimbursed","Partially Reimbursed")))))</f>
        <v/>
      </c>
      <c r="M575" s="12">
        <f>IF($A575="",0,SUMIF('Family Contributions'!$I$4:$I$1003,$A575,'Family Contributions'!$G$4:$G$1003))</f>
        <v/>
      </c>
      <c r="N575" s="12">
        <f>IF($A575="",0,IF($I575="Yes",IF(ISNUMBER($G575),$G575,0)-$M575,0))</f>
        <v/>
      </c>
      <c r="O575" s="9" t="n"/>
      <c r="P575" s="9" t="n"/>
    </row>
    <row r="576">
      <c r="A576" s="9" t="n"/>
      <c r="B576" s="19" t="n"/>
      <c r="C576" s="9" t="n"/>
      <c r="D576" s="9" t="n"/>
      <c r="E576" s="9" t="n"/>
      <c r="F576" s="9" t="n"/>
      <c r="G576" s="10" t="n"/>
      <c r="H576" s="9" t="n"/>
      <c r="I576" s="9" t="n"/>
      <c r="J576" s="9" t="n"/>
      <c r="K576" s="9" t="n"/>
      <c r="L576">
        <f>IF($A576="","",IF($P576="Yes","Disputed / Review",IF($I576&lt;&gt;"Yes","Not Reimbursable",IF($M576&lt;=0.004,"Pending",IF($N576&lt;=0.004,"Reimbursed","Partially Reimbursed")))))</f>
        <v/>
      </c>
      <c r="M576" s="12">
        <f>IF($A576="",0,SUMIF('Family Contributions'!$I$4:$I$1003,$A576,'Family Contributions'!$G$4:$G$1003))</f>
        <v/>
      </c>
      <c r="N576" s="12">
        <f>IF($A576="",0,IF($I576="Yes",IF(ISNUMBER($G576),$G576,0)-$M576,0))</f>
        <v/>
      </c>
      <c r="O576" s="9" t="n"/>
      <c r="P576" s="9" t="n"/>
    </row>
    <row r="577">
      <c r="A577" s="9" t="n"/>
      <c r="B577" s="19" t="n"/>
      <c r="C577" s="9" t="n"/>
      <c r="D577" s="9" t="n"/>
      <c r="E577" s="9" t="n"/>
      <c r="F577" s="9" t="n"/>
      <c r="G577" s="10" t="n"/>
      <c r="H577" s="9" t="n"/>
      <c r="I577" s="9" t="n"/>
      <c r="J577" s="9" t="n"/>
      <c r="K577" s="9" t="n"/>
      <c r="L577">
        <f>IF($A577="","",IF($P577="Yes","Disputed / Review",IF($I577&lt;&gt;"Yes","Not Reimbursable",IF($M577&lt;=0.004,"Pending",IF($N577&lt;=0.004,"Reimbursed","Partially Reimbursed")))))</f>
        <v/>
      </c>
      <c r="M577" s="12">
        <f>IF($A577="",0,SUMIF('Family Contributions'!$I$4:$I$1003,$A577,'Family Contributions'!$G$4:$G$1003))</f>
        <v/>
      </c>
      <c r="N577" s="12">
        <f>IF($A577="",0,IF($I577="Yes",IF(ISNUMBER($G577),$G577,0)-$M577,0))</f>
        <v/>
      </c>
      <c r="O577" s="9" t="n"/>
      <c r="P577" s="9" t="n"/>
    </row>
    <row r="578">
      <c r="A578" s="9" t="n"/>
      <c r="B578" s="19" t="n"/>
      <c r="C578" s="9" t="n"/>
      <c r="D578" s="9" t="n"/>
      <c r="E578" s="9" t="n"/>
      <c r="F578" s="9" t="n"/>
      <c r="G578" s="10" t="n"/>
      <c r="H578" s="9" t="n"/>
      <c r="I578" s="9" t="n"/>
      <c r="J578" s="9" t="n"/>
      <c r="K578" s="9" t="n"/>
      <c r="L578">
        <f>IF($A578="","",IF($P578="Yes","Disputed / Review",IF($I578&lt;&gt;"Yes","Not Reimbursable",IF($M578&lt;=0.004,"Pending",IF($N578&lt;=0.004,"Reimbursed","Partially Reimbursed")))))</f>
        <v/>
      </c>
      <c r="M578" s="12">
        <f>IF($A578="",0,SUMIF('Family Contributions'!$I$4:$I$1003,$A578,'Family Contributions'!$G$4:$G$1003))</f>
        <v/>
      </c>
      <c r="N578" s="12">
        <f>IF($A578="",0,IF($I578="Yes",IF(ISNUMBER($G578),$G578,0)-$M578,0))</f>
        <v/>
      </c>
      <c r="O578" s="9" t="n"/>
      <c r="P578" s="9" t="n"/>
    </row>
    <row r="579">
      <c r="A579" s="9" t="n"/>
      <c r="B579" s="19" t="n"/>
      <c r="C579" s="9" t="n"/>
      <c r="D579" s="9" t="n"/>
      <c r="E579" s="9" t="n"/>
      <c r="F579" s="9" t="n"/>
      <c r="G579" s="10" t="n"/>
      <c r="H579" s="9" t="n"/>
      <c r="I579" s="9" t="n"/>
      <c r="J579" s="9" t="n"/>
      <c r="K579" s="9" t="n"/>
      <c r="L579">
        <f>IF($A579="","",IF($P579="Yes","Disputed / Review",IF($I579&lt;&gt;"Yes","Not Reimbursable",IF($M579&lt;=0.004,"Pending",IF($N579&lt;=0.004,"Reimbursed","Partially Reimbursed")))))</f>
        <v/>
      </c>
      <c r="M579" s="12">
        <f>IF($A579="",0,SUMIF('Family Contributions'!$I$4:$I$1003,$A579,'Family Contributions'!$G$4:$G$1003))</f>
        <v/>
      </c>
      <c r="N579" s="12">
        <f>IF($A579="",0,IF($I579="Yes",IF(ISNUMBER($G579),$G579,0)-$M579,0))</f>
        <v/>
      </c>
      <c r="O579" s="9" t="n"/>
      <c r="P579" s="9" t="n"/>
    </row>
    <row r="580">
      <c r="A580" s="9" t="n"/>
      <c r="B580" s="19" t="n"/>
      <c r="C580" s="9" t="n"/>
      <c r="D580" s="9" t="n"/>
      <c r="E580" s="9" t="n"/>
      <c r="F580" s="9" t="n"/>
      <c r="G580" s="10" t="n"/>
      <c r="H580" s="9" t="n"/>
      <c r="I580" s="9" t="n"/>
      <c r="J580" s="9" t="n"/>
      <c r="K580" s="9" t="n"/>
      <c r="L580">
        <f>IF($A580="","",IF($P580="Yes","Disputed / Review",IF($I580&lt;&gt;"Yes","Not Reimbursable",IF($M580&lt;=0.004,"Pending",IF($N580&lt;=0.004,"Reimbursed","Partially Reimbursed")))))</f>
        <v/>
      </c>
      <c r="M580" s="12">
        <f>IF($A580="",0,SUMIF('Family Contributions'!$I$4:$I$1003,$A580,'Family Contributions'!$G$4:$G$1003))</f>
        <v/>
      </c>
      <c r="N580" s="12">
        <f>IF($A580="",0,IF($I580="Yes",IF(ISNUMBER($G580),$G580,0)-$M580,0))</f>
        <v/>
      </c>
      <c r="O580" s="9" t="n"/>
      <c r="P580" s="9" t="n"/>
    </row>
    <row r="581">
      <c r="A581" s="9" t="n"/>
      <c r="B581" s="19" t="n"/>
      <c r="C581" s="9" t="n"/>
      <c r="D581" s="9" t="n"/>
      <c r="E581" s="9" t="n"/>
      <c r="F581" s="9" t="n"/>
      <c r="G581" s="10" t="n"/>
      <c r="H581" s="9" t="n"/>
      <c r="I581" s="9" t="n"/>
      <c r="J581" s="9" t="n"/>
      <c r="K581" s="9" t="n"/>
      <c r="L581">
        <f>IF($A581="","",IF($P581="Yes","Disputed / Review",IF($I581&lt;&gt;"Yes","Not Reimbursable",IF($M581&lt;=0.004,"Pending",IF($N581&lt;=0.004,"Reimbursed","Partially Reimbursed")))))</f>
        <v/>
      </c>
      <c r="M581" s="12">
        <f>IF($A581="",0,SUMIF('Family Contributions'!$I$4:$I$1003,$A581,'Family Contributions'!$G$4:$G$1003))</f>
        <v/>
      </c>
      <c r="N581" s="12">
        <f>IF($A581="",0,IF($I581="Yes",IF(ISNUMBER($G581),$G581,0)-$M581,0))</f>
        <v/>
      </c>
      <c r="O581" s="9" t="n"/>
      <c r="P581" s="9" t="n"/>
    </row>
    <row r="582">
      <c r="A582" s="9" t="n"/>
      <c r="B582" s="19" t="n"/>
      <c r="C582" s="9" t="n"/>
      <c r="D582" s="9" t="n"/>
      <c r="E582" s="9" t="n"/>
      <c r="F582" s="9" t="n"/>
      <c r="G582" s="10" t="n"/>
      <c r="H582" s="9" t="n"/>
      <c r="I582" s="9" t="n"/>
      <c r="J582" s="9" t="n"/>
      <c r="K582" s="9" t="n"/>
      <c r="L582">
        <f>IF($A582="","",IF($P582="Yes","Disputed / Review",IF($I582&lt;&gt;"Yes","Not Reimbursable",IF($M582&lt;=0.004,"Pending",IF($N582&lt;=0.004,"Reimbursed","Partially Reimbursed")))))</f>
        <v/>
      </c>
      <c r="M582" s="12">
        <f>IF($A582="",0,SUMIF('Family Contributions'!$I$4:$I$1003,$A582,'Family Contributions'!$G$4:$G$1003))</f>
        <v/>
      </c>
      <c r="N582" s="12">
        <f>IF($A582="",0,IF($I582="Yes",IF(ISNUMBER($G582),$G582,0)-$M582,0))</f>
        <v/>
      </c>
      <c r="O582" s="9" t="n"/>
      <c r="P582" s="9" t="n"/>
    </row>
    <row r="583">
      <c r="A583" s="9" t="n"/>
      <c r="B583" s="19" t="n"/>
      <c r="C583" s="9" t="n"/>
      <c r="D583" s="9" t="n"/>
      <c r="E583" s="9" t="n"/>
      <c r="F583" s="9" t="n"/>
      <c r="G583" s="10" t="n"/>
      <c r="H583" s="9" t="n"/>
      <c r="I583" s="9" t="n"/>
      <c r="J583" s="9" t="n"/>
      <c r="K583" s="9" t="n"/>
      <c r="L583">
        <f>IF($A583="","",IF($P583="Yes","Disputed / Review",IF($I583&lt;&gt;"Yes","Not Reimbursable",IF($M583&lt;=0.004,"Pending",IF($N583&lt;=0.004,"Reimbursed","Partially Reimbursed")))))</f>
        <v/>
      </c>
      <c r="M583" s="12">
        <f>IF($A583="",0,SUMIF('Family Contributions'!$I$4:$I$1003,$A583,'Family Contributions'!$G$4:$G$1003))</f>
        <v/>
      </c>
      <c r="N583" s="12">
        <f>IF($A583="",0,IF($I583="Yes",IF(ISNUMBER($G583),$G583,0)-$M583,0))</f>
        <v/>
      </c>
      <c r="O583" s="9" t="n"/>
      <c r="P583" s="9" t="n"/>
    </row>
    <row r="584">
      <c r="A584" s="9" t="n"/>
      <c r="B584" s="19" t="n"/>
      <c r="C584" s="9" t="n"/>
      <c r="D584" s="9" t="n"/>
      <c r="E584" s="9" t="n"/>
      <c r="F584" s="9" t="n"/>
      <c r="G584" s="10" t="n"/>
      <c r="H584" s="9" t="n"/>
      <c r="I584" s="9" t="n"/>
      <c r="J584" s="9" t="n"/>
      <c r="K584" s="9" t="n"/>
      <c r="L584">
        <f>IF($A584="","",IF($P584="Yes","Disputed / Review",IF($I584&lt;&gt;"Yes","Not Reimbursable",IF($M584&lt;=0.004,"Pending",IF($N584&lt;=0.004,"Reimbursed","Partially Reimbursed")))))</f>
        <v/>
      </c>
      <c r="M584" s="12">
        <f>IF($A584="",0,SUMIF('Family Contributions'!$I$4:$I$1003,$A584,'Family Contributions'!$G$4:$G$1003))</f>
        <v/>
      </c>
      <c r="N584" s="12">
        <f>IF($A584="",0,IF($I584="Yes",IF(ISNUMBER($G584),$G584,0)-$M584,0))</f>
        <v/>
      </c>
      <c r="O584" s="9" t="n"/>
      <c r="P584" s="9" t="n"/>
    </row>
    <row r="585">
      <c r="A585" s="9" t="n"/>
      <c r="B585" s="19" t="n"/>
      <c r="C585" s="9" t="n"/>
      <c r="D585" s="9" t="n"/>
      <c r="E585" s="9" t="n"/>
      <c r="F585" s="9" t="n"/>
      <c r="G585" s="10" t="n"/>
      <c r="H585" s="9" t="n"/>
      <c r="I585" s="9" t="n"/>
      <c r="J585" s="9" t="n"/>
      <c r="K585" s="9" t="n"/>
      <c r="L585">
        <f>IF($A585="","",IF($P585="Yes","Disputed / Review",IF($I585&lt;&gt;"Yes","Not Reimbursable",IF($M585&lt;=0.004,"Pending",IF($N585&lt;=0.004,"Reimbursed","Partially Reimbursed")))))</f>
        <v/>
      </c>
      <c r="M585" s="12">
        <f>IF($A585="",0,SUMIF('Family Contributions'!$I$4:$I$1003,$A585,'Family Contributions'!$G$4:$G$1003))</f>
        <v/>
      </c>
      <c r="N585" s="12">
        <f>IF($A585="",0,IF($I585="Yes",IF(ISNUMBER($G585),$G585,0)-$M585,0))</f>
        <v/>
      </c>
      <c r="O585" s="9" t="n"/>
      <c r="P585" s="9" t="n"/>
    </row>
    <row r="586">
      <c r="A586" s="9" t="n"/>
      <c r="B586" s="19" t="n"/>
      <c r="C586" s="9" t="n"/>
      <c r="D586" s="9" t="n"/>
      <c r="E586" s="9" t="n"/>
      <c r="F586" s="9" t="n"/>
      <c r="G586" s="10" t="n"/>
      <c r="H586" s="9" t="n"/>
      <c r="I586" s="9" t="n"/>
      <c r="J586" s="9" t="n"/>
      <c r="K586" s="9" t="n"/>
      <c r="L586">
        <f>IF($A586="","",IF($P586="Yes","Disputed / Review",IF($I586&lt;&gt;"Yes","Not Reimbursable",IF($M586&lt;=0.004,"Pending",IF($N586&lt;=0.004,"Reimbursed","Partially Reimbursed")))))</f>
        <v/>
      </c>
      <c r="M586" s="12">
        <f>IF($A586="",0,SUMIF('Family Contributions'!$I$4:$I$1003,$A586,'Family Contributions'!$G$4:$G$1003))</f>
        <v/>
      </c>
      <c r="N586" s="12">
        <f>IF($A586="",0,IF($I586="Yes",IF(ISNUMBER($G586),$G586,0)-$M586,0))</f>
        <v/>
      </c>
      <c r="O586" s="9" t="n"/>
      <c r="P586" s="9" t="n"/>
    </row>
    <row r="587">
      <c r="A587" s="9" t="n"/>
      <c r="B587" s="19" t="n"/>
      <c r="C587" s="9" t="n"/>
      <c r="D587" s="9" t="n"/>
      <c r="E587" s="9" t="n"/>
      <c r="F587" s="9" t="n"/>
      <c r="G587" s="10" t="n"/>
      <c r="H587" s="9" t="n"/>
      <c r="I587" s="9" t="n"/>
      <c r="J587" s="9" t="n"/>
      <c r="K587" s="9" t="n"/>
      <c r="L587">
        <f>IF($A587="","",IF($P587="Yes","Disputed / Review",IF($I587&lt;&gt;"Yes","Not Reimbursable",IF($M587&lt;=0.004,"Pending",IF($N587&lt;=0.004,"Reimbursed","Partially Reimbursed")))))</f>
        <v/>
      </c>
      <c r="M587" s="12">
        <f>IF($A587="",0,SUMIF('Family Contributions'!$I$4:$I$1003,$A587,'Family Contributions'!$G$4:$G$1003))</f>
        <v/>
      </c>
      <c r="N587" s="12">
        <f>IF($A587="",0,IF($I587="Yes",IF(ISNUMBER($G587),$G587,0)-$M587,0))</f>
        <v/>
      </c>
      <c r="O587" s="9" t="n"/>
      <c r="P587" s="9" t="n"/>
    </row>
    <row r="588">
      <c r="A588" s="9" t="n"/>
      <c r="B588" s="19" t="n"/>
      <c r="C588" s="9" t="n"/>
      <c r="D588" s="9" t="n"/>
      <c r="E588" s="9" t="n"/>
      <c r="F588" s="9" t="n"/>
      <c r="G588" s="10" t="n"/>
      <c r="H588" s="9" t="n"/>
      <c r="I588" s="9" t="n"/>
      <c r="J588" s="9" t="n"/>
      <c r="K588" s="9" t="n"/>
      <c r="L588">
        <f>IF($A588="","",IF($P588="Yes","Disputed / Review",IF($I588&lt;&gt;"Yes","Not Reimbursable",IF($M588&lt;=0.004,"Pending",IF($N588&lt;=0.004,"Reimbursed","Partially Reimbursed")))))</f>
        <v/>
      </c>
      <c r="M588" s="12">
        <f>IF($A588="",0,SUMIF('Family Contributions'!$I$4:$I$1003,$A588,'Family Contributions'!$G$4:$G$1003))</f>
        <v/>
      </c>
      <c r="N588" s="12">
        <f>IF($A588="",0,IF($I588="Yes",IF(ISNUMBER($G588),$G588,0)-$M588,0))</f>
        <v/>
      </c>
      <c r="O588" s="9" t="n"/>
      <c r="P588" s="9" t="n"/>
    </row>
    <row r="589">
      <c r="A589" s="9" t="n"/>
      <c r="B589" s="19" t="n"/>
      <c r="C589" s="9" t="n"/>
      <c r="D589" s="9" t="n"/>
      <c r="E589" s="9" t="n"/>
      <c r="F589" s="9" t="n"/>
      <c r="G589" s="10" t="n"/>
      <c r="H589" s="9" t="n"/>
      <c r="I589" s="9" t="n"/>
      <c r="J589" s="9" t="n"/>
      <c r="K589" s="9" t="n"/>
      <c r="L589">
        <f>IF($A589="","",IF($P589="Yes","Disputed / Review",IF($I589&lt;&gt;"Yes","Not Reimbursable",IF($M589&lt;=0.004,"Pending",IF($N589&lt;=0.004,"Reimbursed","Partially Reimbursed")))))</f>
        <v/>
      </c>
      <c r="M589" s="12">
        <f>IF($A589="",0,SUMIF('Family Contributions'!$I$4:$I$1003,$A589,'Family Contributions'!$G$4:$G$1003))</f>
        <v/>
      </c>
      <c r="N589" s="12">
        <f>IF($A589="",0,IF($I589="Yes",IF(ISNUMBER($G589),$G589,0)-$M589,0))</f>
        <v/>
      </c>
      <c r="O589" s="9" t="n"/>
      <c r="P589" s="9" t="n"/>
    </row>
    <row r="590">
      <c r="A590" s="9" t="n"/>
      <c r="B590" s="19" t="n"/>
      <c r="C590" s="9" t="n"/>
      <c r="D590" s="9" t="n"/>
      <c r="E590" s="9" t="n"/>
      <c r="F590" s="9" t="n"/>
      <c r="G590" s="10" t="n"/>
      <c r="H590" s="9" t="n"/>
      <c r="I590" s="9" t="n"/>
      <c r="J590" s="9" t="n"/>
      <c r="K590" s="9" t="n"/>
      <c r="L590">
        <f>IF($A590="","",IF($P590="Yes","Disputed / Review",IF($I590&lt;&gt;"Yes","Not Reimbursable",IF($M590&lt;=0.004,"Pending",IF($N590&lt;=0.004,"Reimbursed","Partially Reimbursed")))))</f>
        <v/>
      </c>
      <c r="M590" s="12">
        <f>IF($A590="",0,SUMIF('Family Contributions'!$I$4:$I$1003,$A590,'Family Contributions'!$G$4:$G$1003))</f>
        <v/>
      </c>
      <c r="N590" s="12">
        <f>IF($A590="",0,IF($I590="Yes",IF(ISNUMBER($G590),$G590,0)-$M590,0))</f>
        <v/>
      </c>
      <c r="O590" s="9" t="n"/>
      <c r="P590" s="9" t="n"/>
    </row>
    <row r="591">
      <c r="A591" s="9" t="n"/>
      <c r="B591" s="19" t="n"/>
      <c r="C591" s="9" t="n"/>
      <c r="D591" s="9" t="n"/>
      <c r="E591" s="9" t="n"/>
      <c r="F591" s="9" t="n"/>
      <c r="G591" s="10" t="n"/>
      <c r="H591" s="9" t="n"/>
      <c r="I591" s="9" t="n"/>
      <c r="J591" s="9" t="n"/>
      <c r="K591" s="9" t="n"/>
      <c r="L591">
        <f>IF($A591="","",IF($P591="Yes","Disputed / Review",IF($I591&lt;&gt;"Yes","Not Reimbursable",IF($M591&lt;=0.004,"Pending",IF($N591&lt;=0.004,"Reimbursed","Partially Reimbursed")))))</f>
        <v/>
      </c>
      <c r="M591" s="12">
        <f>IF($A591="",0,SUMIF('Family Contributions'!$I$4:$I$1003,$A591,'Family Contributions'!$G$4:$G$1003))</f>
        <v/>
      </c>
      <c r="N591" s="12">
        <f>IF($A591="",0,IF($I591="Yes",IF(ISNUMBER($G591),$G591,0)-$M591,0))</f>
        <v/>
      </c>
      <c r="O591" s="9" t="n"/>
      <c r="P591" s="9" t="n"/>
    </row>
    <row r="592">
      <c r="A592" s="9" t="n"/>
      <c r="B592" s="19" t="n"/>
      <c r="C592" s="9" t="n"/>
      <c r="D592" s="9" t="n"/>
      <c r="E592" s="9" t="n"/>
      <c r="F592" s="9" t="n"/>
      <c r="G592" s="10" t="n"/>
      <c r="H592" s="9" t="n"/>
      <c r="I592" s="9" t="n"/>
      <c r="J592" s="9" t="n"/>
      <c r="K592" s="9" t="n"/>
      <c r="L592">
        <f>IF($A592="","",IF($P592="Yes","Disputed / Review",IF($I592&lt;&gt;"Yes","Not Reimbursable",IF($M592&lt;=0.004,"Pending",IF($N592&lt;=0.004,"Reimbursed","Partially Reimbursed")))))</f>
        <v/>
      </c>
      <c r="M592" s="12">
        <f>IF($A592="",0,SUMIF('Family Contributions'!$I$4:$I$1003,$A592,'Family Contributions'!$G$4:$G$1003))</f>
        <v/>
      </c>
      <c r="N592" s="12">
        <f>IF($A592="",0,IF($I592="Yes",IF(ISNUMBER($G592),$G592,0)-$M592,0))</f>
        <v/>
      </c>
      <c r="O592" s="9" t="n"/>
      <c r="P592" s="9" t="n"/>
    </row>
    <row r="593">
      <c r="A593" s="9" t="n"/>
      <c r="B593" s="19" t="n"/>
      <c r="C593" s="9" t="n"/>
      <c r="D593" s="9" t="n"/>
      <c r="E593" s="9" t="n"/>
      <c r="F593" s="9" t="n"/>
      <c r="G593" s="10" t="n"/>
      <c r="H593" s="9" t="n"/>
      <c r="I593" s="9" t="n"/>
      <c r="J593" s="9" t="n"/>
      <c r="K593" s="9" t="n"/>
      <c r="L593">
        <f>IF($A593="","",IF($P593="Yes","Disputed / Review",IF($I593&lt;&gt;"Yes","Not Reimbursable",IF($M593&lt;=0.004,"Pending",IF($N593&lt;=0.004,"Reimbursed","Partially Reimbursed")))))</f>
        <v/>
      </c>
      <c r="M593" s="12">
        <f>IF($A593="",0,SUMIF('Family Contributions'!$I$4:$I$1003,$A593,'Family Contributions'!$G$4:$G$1003))</f>
        <v/>
      </c>
      <c r="N593" s="12">
        <f>IF($A593="",0,IF($I593="Yes",IF(ISNUMBER($G593),$G593,0)-$M593,0))</f>
        <v/>
      </c>
      <c r="O593" s="9" t="n"/>
      <c r="P593" s="9" t="n"/>
    </row>
    <row r="594">
      <c r="A594" s="9" t="n"/>
      <c r="B594" s="19" t="n"/>
      <c r="C594" s="9" t="n"/>
      <c r="D594" s="9" t="n"/>
      <c r="E594" s="9" t="n"/>
      <c r="F594" s="9" t="n"/>
      <c r="G594" s="10" t="n"/>
      <c r="H594" s="9" t="n"/>
      <c r="I594" s="9" t="n"/>
      <c r="J594" s="9" t="n"/>
      <c r="K594" s="9" t="n"/>
      <c r="L594">
        <f>IF($A594="","",IF($P594="Yes","Disputed / Review",IF($I594&lt;&gt;"Yes","Not Reimbursable",IF($M594&lt;=0.004,"Pending",IF($N594&lt;=0.004,"Reimbursed","Partially Reimbursed")))))</f>
        <v/>
      </c>
      <c r="M594" s="12">
        <f>IF($A594="",0,SUMIF('Family Contributions'!$I$4:$I$1003,$A594,'Family Contributions'!$G$4:$G$1003))</f>
        <v/>
      </c>
      <c r="N594" s="12">
        <f>IF($A594="",0,IF($I594="Yes",IF(ISNUMBER($G594),$G594,0)-$M594,0))</f>
        <v/>
      </c>
      <c r="O594" s="9" t="n"/>
      <c r="P594" s="9" t="n"/>
    </row>
    <row r="595">
      <c r="A595" s="9" t="n"/>
      <c r="B595" s="19" t="n"/>
      <c r="C595" s="9" t="n"/>
      <c r="D595" s="9" t="n"/>
      <c r="E595" s="9" t="n"/>
      <c r="F595" s="9" t="n"/>
      <c r="G595" s="10" t="n"/>
      <c r="H595" s="9" t="n"/>
      <c r="I595" s="9" t="n"/>
      <c r="J595" s="9" t="n"/>
      <c r="K595" s="9" t="n"/>
      <c r="L595">
        <f>IF($A595="","",IF($P595="Yes","Disputed / Review",IF($I595&lt;&gt;"Yes","Not Reimbursable",IF($M595&lt;=0.004,"Pending",IF($N595&lt;=0.004,"Reimbursed","Partially Reimbursed")))))</f>
        <v/>
      </c>
      <c r="M595" s="12">
        <f>IF($A595="",0,SUMIF('Family Contributions'!$I$4:$I$1003,$A595,'Family Contributions'!$G$4:$G$1003))</f>
        <v/>
      </c>
      <c r="N595" s="12">
        <f>IF($A595="",0,IF($I595="Yes",IF(ISNUMBER($G595),$G595,0)-$M595,0))</f>
        <v/>
      </c>
      <c r="O595" s="9" t="n"/>
      <c r="P595" s="9" t="n"/>
    </row>
    <row r="596">
      <c r="A596" s="9" t="n"/>
      <c r="B596" s="19" t="n"/>
      <c r="C596" s="9" t="n"/>
      <c r="D596" s="9" t="n"/>
      <c r="E596" s="9" t="n"/>
      <c r="F596" s="9" t="n"/>
      <c r="G596" s="10" t="n"/>
      <c r="H596" s="9" t="n"/>
      <c r="I596" s="9" t="n"/>
      <c r="J596" s="9" t="n"/>
      <c r="K596" s="9" t="n"/>
      <c r="L596">
        <f>IF($A596="","",IF($P596="Yes","Disputed / Review",IF($I596&lt;&gt;"Yes","Not Reimbursable",IF($M596&lt;=0.004,"Pending",IF($N596&lt;=0.004,"Reimbursed","Partially Reimbursed")))))</f>
        <v/>
      </c>
      <c r="M596" s="12">
        <f>IF($A596="",0,SUMIF('Family Contributions'!$I$4:$I$1003,$A596,'Family Contributions'!$G$4:$G$1003))</f>
        <v/>
      </c>
      <c r="N596" s="12">
        <f>IF($A596="",0,IF($I596="Yes",IF(ISNUMBER($G596),$G596,0)-$M596,0))</f>
        <v/>
      </c>
      <c r="O596" s="9" t="n"/>
      <c r="P596" s="9" t="n"/>
    </row>
    <row r="597">
      <c r="A597" s="9" t="n"/>
      <c r="B597" s="19" t="n"/>
      <c r="C597" s="9" t="n"/>
      <c r="D597" s="9" t="n"/>
      <c r="E597" s="9" t="n"/>
      <c r="F597" s="9" t="n"/>
      <c r="G597" s="10" t="n"/>
      <c r="H597" s="9" t="n"/>
      <c r="I597" s="9" t="n"/>
      <c r="J597" s="9" t="n"/>
      <c r="K597" s="9" t="n"/>
      <c r="L597">
        <f>IF($A597="","",IF($P597="Yes","Disputed / Review",IF($I597&lt;&gt;"Yes","Not Reimbursable",IF($M597&lt;=0.004,"Pending",IF($N597&lt;=0.004,"Reimbursed","Partially Reimbursed")))))</f>
        <v/>
      </c>
      <c r="M597" s="12">
        <f>IF($A597="",0,SUMIF('Family Contributions'!$I$4:$I$1003,$A597,'Family Contributions'!$G$4:$G$1003))</f>
        <v/>
      </c>
      <c r="N597" s="12">
        <f>IF($A597="",0,IF($I597="Yes",IF(ISNUMBER($G597),$G597,0)-$M597,0))</f>
        <v/>
      </c>
      <c r="O597" s="9" t="n"/>
      <c r="P597" s="9" t="n"/>
    </row>
    <row r="598">
      <c r="A598" s="9" t="n"/>
      <c r="B598" s="19" t="n"/>
      <c r="C598" s="9" t="n"/>
      <c r="D598" s="9" t="n"/>
      <c r="E598" s="9" t="n"/>
      <c r="F598" s="9" t="n"/>
      <c r="G598" s="10" t="n"/>
      <c r="H598" s="9" t="n"/>
      <c r="I598" s="9" t="n"/>
      <c r="J598" s="9" t="n"/>
      <c r="K598" s="9" t="n"/>
      <c r="L598">
        <f>IF($A598="","",IF($P598="Yes","Disputed / Review",IF($I598&lt;&gt;"Yes","Not Reimbursable",IF($M598&lt;=0.004,"Pending",IF($N598&lt;=0.004,"Reimbursed","Partially Reimbursed")))))</f>
        <v/>
      </c>
      <c r="M598" s="12">
        <f>IF($A598="",0,SUMIF('Family Contributions'!$I$4:$I$1003,$A598,'Family Contributions'!$G$4:$G$1003))</f>
        <v/>
      </c>
      <c r="N598" s="12">
        <f>IF($A598="",0,IF($I598="Yes",IF(ISNUMBER($G598),$G598,0)-$M598,0))</f>
        <v/>
      </c>
      <c r="O598" s="9" t="n"/>
      <c r="P598" s="9" t="n"/>
    </row>
    <row r="599">
      <c r="A599" s="9" t="n"/>
      <c r="B599" s="19" t="n"/>
      <c r="C599" s="9" t="n"/>
      <c r="D599" s="9" t="n"/>
      <c r="E599" s="9" t="n"/>
      <c r="F599" s="9" t="n"/>
      <c r="G599" s="10" t="n"/>
      <c r="H599" s="9" t="n"/>
      <c r="I599" s="9" t="n"/>
      <c r="J599" s="9" t="n"/>
      <c r="K599" s="9" t="n"/>
      <c r="L599">
        <f>IF($A599="","",IF($P599="Yes","Disputed / Review",IF($I599&lt;&gt;"Yes","Not Reimbursable",IF($M599&lt;=0.004,"Pending",IF($N599&lt;=0.004,"Reimbursed","Partially Reimbursed")))))</f>
        <v/>
      </c>
      <c r="M599" s="12">
        <f>IF($A599="",0,SUMIF('Family Contributions'!$I$4:$I$1003,$A599,'Family Contributions'!$G$4:$G$1003))</f>
        <v/>
      </c>
      <c r="N599" s="12">
        <f>IF($A599="",0,IF($I599="Yes",IF(ISNUMBER($G599),$G599,0)-$M599,0))</f>
        <v/>
      </c>
      <c r="O599" s="9" t="n"/>
      <c r="P599" s="9" t="n"/>
    </row>
    <row r="600">
      <c r="A600" s="9" t="n"/>
      <c r="B600" s="19" t="n"/>
      <c r="C600" s="9" t="n"/>
      <c r="D600" s="9" t="n"/>
      <c r="E600" s="9" t="n"/>
      <c r="F600" s="9" t="n"/>
      <c r="G600" s="10" t="n"/>
      <c r="H600" s="9" t="n"/>
      <c r="I600" s="9" t="n"/>
      <c r="J600" s="9" t="n"/>
      <c r="K600" s="9" t="n"/>
      <c r="L600">
        <f>IF($A600="","",IF($P600="Yes","Disputed / Review",IF($I600&lt;&gt;"Yes","Not Reimbursable",IF($M600&lt;=0.004,"Pending",IF($N600&lt;=0.004,"Reimbursed","Partially Reimbursed")))))</f>
        <v/>
      </c>
      <c r="M600" s="12">
        <f>IF($A600="",0,SUMIF('Family Contributions'!$I$4:$I$1003,$A600,'Family Contributions'!$G$4:$G$1003))</f>
        <v/>
      </c>
      <c r="N600" s="12">
        <f>IF($A600="",0,IF($I600="Yes",IF(ISNUMBER($G600),$G600,0)-$M600,0))</f>
        <v/>
      </c>
      <c r="O600" s="9" t="n"/>
      <c r="P600" s="9" t="n"/>
    </row>
    <row r="601">
      <c r="A601" s="9" t="n"/>
      <c r="B601" s="19" t="n"/>
      <c r="C601" s="9" t="n"/>
      <c r="D601" s="9" t="n"/>
      <c r="E601" s="9" t="n"/>
      <c r="F601" s="9" t="n"/>
      <c r="G601" s="10" t="n"/>
      <c r="H601" s="9" t="n"/>
      <c r="I601" s="9" t="n"/>
      <c r="J601" s="9" t="n"/>
      <c r="K601" s="9" t="n"/>
      <c r="L601">
        <f>IF($A601="","",IF($P601="Yes","Disputed / Review",IF($I601&lt;&gt;"Yes","Not Reimbursable",IF($M601&lt;=0.004,"Pending",IF($N601&lt;=0.004,"Reimbursed","Partially Reimbursed")))))</f>
        <v/>
      </c>
      <c r="M601" s="12">
        <f>IF($A601="",0,SUMIF('Family Contributions'!$I$4:$I$1003,$A601,'Family Contributions'!$G$4:$G$1003))</f>
        <v/>
      </c>
      <c r="N601" s="12">
        <f>IF($A601="",0,IF($I601="Yes",IF(ISNUMBER($G601),$G601,0)-$M601,0))</f>
        <v/>
      </c>
      <c r="O601" s="9" t="n"/>
      <c r="P601" s="9" t="n"/>
    </row>
    <row r="602">
      <c r="A602" s="9" t="n"/>
      <c r="B602" s="19" t="n"/>
      <c r="C602" s="9" t="n"/>
      <c r="D602" s="9" t="n"/>
      <c r="E602" s="9" t="n"/>
      <c r="F602" s="9" t="n"/>
      <c r="G602" s="10" t="n"/>
      <c r="H602" s="9" t="n"/>
      <c r="I602" s="9" t="n"/>
      <c r="J602" s="9" t="n"/>
      <c r="K602" s="9" t="n"/>
      <c r="L602">
        <f>IF($A602="","",IF($P602="Yes","Disputed / Review",IF($I602&lt;&gt;"Yes","Not Reimbursable",IF($M602&lt;=0.004,"Pending",IF($N602&lt;=0.004,"Reimbursed","Partially Reimbursed")))))</f>
        <v/>
      </c>
      <c r="M602" s="12">
        <f>IF($A602="",0,SUMIF('Family Contributions'!$I$4:$I$1003,$A602,'Family Contributions'!$G$4:$G$1003))</f>
        <v/>
      </c>
      <c r="N602" s="12">
        <f>IF($A602="",0,IF($I602="Yes",IF(ISNUMBER($G602),$G602,0)-$M602,0))</f>
        <v/>
      </c>
      <c r="O602" s="9" t="n"/>
      <c r="P602" s="9" t="n"/>
    </row>
    <row r="603">
      <c r="A603" s="9" t="n"/>
      <c r="B603" s="19" t="n"/>
      <c r="C603" s="9" t="n"/>
      <c r="D603" s="9" t="n"/>
      <c r="E603" s="9" t="n"/>
      <c r="F603" s="9" t="n"/>
      <c r="G603" s="10" t="n"/>
      <c r="H603" s="9" t="n"/>
      <c r="I603" s="9" t="n"/>
      <c r="J603" s="9" t="n"/>
      <c r="K603" s="9" t="n"/>
      <c r="L603">
        <f>IF($A603="","",IF($P603="Yes","Disputed / Review",IF($I603&lt;&gt;"Yes","Not Reimbursable",IF($M603&lt;=0.004,"Pending",IF($N603&lt;=0.004,"Reimbursed","Partially Reimbursed")))))</f>
        <v/>
      </c>
      <c r="M603" s="12">
        <f>IF($A603="",0,SUMIF('Family Contributions'!$I$4:$I$1003,$A603,'Family Contributions'!$G$4:$G$1003))</f>
        <v/>
      </c>
      <c r="N603" s="12">
        <f>IF($A603="",0,IF($I603="Yes",IF(ISNUMBER($G603),$G603,0)-$M603,0))</f>
        <v/>
      </c>
      <c r="O603" s="9" t="n"/>
      <c r="P603" s="9" t="n"/>
    </row>
    <row r="604">
      <c r="A604" s="9" t="n"/>
      <c r="B604" s="19" t="n"/>
      <c r="C604" s="9" t="n"/>
      <c r="D604" s="9" t="n"/>
      <c r="E604" s="9" t="n"/>
      <c r="F604" s="9" t="n"/>
      <c r="G604" s="10" t="n"/>
      <c r="H604" s="9" t="n"/>
      <c r="I604" s="9" t="n"/>
      <c r="J604" s="9" t="n"/>
      <c r="K604" s="9" t="n"/>
      <c r="L604">
        <f>IF($A604="","",IF($P604="Yes","Disputed / Review",IF($I604&lt;&gt;"Yes","Not Reimbursable",IF($M604&lt;=0.004,"Pending",IF($N604&lt;=0.004,"Reimbursed","Partially Reimbursed")))))</f>
        <v/>
      </c>
      <c r="M604" s="12">
        <f>IF($A604="",0,SUMIF('Family Contributions'!$I$4:$I$1003,$A604,'Family Contributions'!$G$4:$G$1003))</f>
        <v/>
      </c>
      <c r="N604" s="12">
        <f>IF($A604="",0,IF($I604="Yes",IF(ISNUMBER($G604),$G604,0)-$M604,0))</f>
        <v/>
      </c>
      <c r="O604" s="9" t="n"/>
      <c r="P604" s="9" t="n"/>
    </row>
    <row r="605">
      <c r="A605" s="9" t="n"/>
      <c r="B605" s="19" t="n"/>
      <c r="C605" s="9" t="n"/>
      <c r="D605" s="9" t="n"/>
      <c r="E605" s="9" t="n"/>
      <c r="F605" s="9" t="n"/>
      <c r="G605" s="10" t="n"/>
      <c r="H605" s="9" t="n"/>
      <c r="I605" s="9" t="n"/>
      <c r="J605" s="9" t="n"/>
      <c r="K605" s="9" t="n"/>
      <c r="L605">
        <f>IF($A605="","",IF($P605="Yes","Disputed / Review",IF($I605&lt;&gt;"Yes","Not Reimbursable",IF($M605&lt;=0.004,"Pending",IF($N605&lt;=0.004,"Reimbursed","Partially Reimbursed")))))</f>
        <v/>
      </c>
      <c r="M605" s="12">
        <f>IF($A605="",0,SUMIF('Family Contributions'!$I$4:$I$1003,$A605,'Family Contributions'!$G$4:$G$1003))</f>
        <v/>
      </c>
      <c r="N605" s="12">
        <f>IF($A605="",0,IF($I605="Yes",IF(ISNUMBER($G605),$G605,0)-$M605,0))</f>
        <v/>
      </c>
      <c r="O605" s="9" t="n"/>
      <c r="P605" s="9" t="n"/>
    </row>
    <row r="606">
      <c r="A606" s="9" t="n"/>
      <c r="B606" s="19" t="n"/>
      <c r="C606" s="9" t="n"/>
      <c r="D606" s="9" t="n"/>
      <c r="E606" s="9" t="n"/>
      <c r="F606" s="9" t="n"/>
      <c r="G606" s="10" t="n"/>
      <c r="H606" s="9" t="n"/>
      <c r="I606" s="9" t="n"/>
      <c r="J606" s="9" t="n"/>
      <c r="K606" s="9" t="n"/>
      <c r="L606">
        <f>IF($A606="","",IF($P606="Yes","Disputed / Review",IF($I606&lt;&gt;"Yes","Not Reimbursable",IF($M606&lt;=0.004,"Pending",IF($N606&lt;=0.004,"Reimbursed","Partially Reimbursed")))))</f>
        <v/>
      </c>
      <c r="M606" s="12">
        <f>IF($A606="",0,SUMIF('Family Contributions'!$I$4:$I$1003,$A606,'Family Contributions'!$G$4:$G$1003))</f>
        <v/>
      </c>
      <c r="N606" s="12">
        <f>IF($A606="",0,IF($I606="Yes",IF(ISNUMBER($G606),$G606,0)-$M606,0))</f>
        <v/>
      </c>
      <c r="O606" s="9" t="n"/>
      <c r="P606" s="9" t="n"/>
    </row>
    <row r="607">
      <c r="A607" s="9" t="n"/>
      <c r="B607" s="19" t="n"/>
      <c r="C607" s="9" t="n"/>
      <c r="D607" s="9" t="n"/>
      <c r="E607" s="9" t="n"/>
      <c r="F607" s="9" t="n"/>
      <c r="G607" s="10" t="n"/>
      <c r="H607" s="9" t="n"/>
      <c r="I607" s="9" t="n"/>
      <c r="J607" s="9" t="n"/>
      <c r="K607" s="9" t="n"/>
      <c r="L607">
        <f>IF($A607="","",IF($P607="Yes","Disputed / Review",IF($I607&lt;&gt;"Yes","Not Reimbursable",IF($M607&lt;=0.004,"Pending",IF($N607&lt;=0.004,"Reimbursed","Partially Reimbursed")))))</f>
        <v/>
      </c>
      <c r="M607" s="12">
        <f>IF($A607="",0,SUMIF('Family Contributions'!$I$4:$I$1003,$A607,'Family Contributions'!$G$4:$G$1003))</f>
        <v/>
      </c>
      <c r="N607" s="12">
        <f>IF($A607="",0,IF($I607="Yes",IF(ISNUMBER($G607),$G607,0)-$M607,0))</f>
        <v/>
      </c>
      <c r="O607" s="9" t="n"/>
      <c r="P607" s="9" t="n"/>
    </row>
    <row r="608">
      <c r="A608" s="9" t="n"/>
      <c r="B608" s="19" t="n"/>
      <c r="C608" s="9" t="n"/>
      <c r="D608" s="9" t="n"/>
      <c r="E608" s="9" t="n"/>
      <c r="F608" s="9" t="n"/>
      <c r="G608" s="10" t="n"/>
      <c r="H608" s="9" t="n"/>
      <c r="I608" s="9" t="n"/>
      <c r="J608" s="9" t="n"/>
      <c r="K608" s="9" t="n"/>
      <c r="L608">
        <f>IF($A608="","",IF($P608="Yes","Disputed / Review",IF($I608&lt;&gt;"Yes","Not Reimbursable",IF($M608&lt;=0.004,"Pending",IF($N608&lt;=0.004,"Reimbursed","Partially Reimbursed")))))</f>
        <v/>
      </c>
      <c r="M608" s="12">
        <f>IF($A608="",0,SUMIF('Family Contributions'!$I$4:$I$1003,$A608,'Family Contributions'!$G$4:$G$1003))</f>
        <v/>
      </c>
      <c r="N608" s="12">
        <f>IF($A608="",0,IF($I608="Yes",IF(ISNUMBER($G608),$G608,0)-$M608,0))</f>
        <v/>
      </c>
      <c r="O608" s="9" t="n"/>
      <c r="P608" s="9" t="n"/>
    </row>
    <row r="609">
      <c r="A609" s="9" t="n"/>
      <c r="B609" s="19" t="n"/>
      <c r="C609" s="9" t="n"/>
      <c r="D609" s="9" t="n"/>
      <c r="E609" s="9" t="n"/>
      <c r="F609" s="9" t="n"/>
      <c r="G609" s="10" t="n"/>
      <c r="H609" s="9" t="n"/>
      <c r="I609" s="9" t="n"/>
      <c r="J609" s="9" t="n"/>
      <c r="K609" s="9" t="n"/>
      <c r="L609">
        <f>IF($A609="","",IF($P609="Yes","Disputed / Review",IF($I609&lt;&gt;"Yes","Not Reimbursable",IF($M609&lt;=0.004,"Pending",IF($N609&lt;=0.004,"Reimbursed","Partially Reimbursed")))))</f>
        <v/>
      </c>
      <c r="M609" s="12">
        <f>IF($A609="",0,SUMIF('Family Contributions'!$I$4:$I$1003,$A609,'Family Contributions'!$G$4:$G$1003))</f>
        <v/>
      </c>
      <c r="N609" s="12">
        <f>IF($A609="",0,IF($I609="Yes",IF(ISNUMBER($G609),$G609,0)-$M609,0))</f>
        <v/>
      </c>
      <c r="O609" s="9" t="n"/>
      <c r="P609" s="9" t="n"/>
    </row>
    <row r="610">
      <c r="A610" s="9" t="n"/>
      <c r="B610" s="19" t="n"/>
      <c r="C610" s="9" t="n"/>
      <c r="D610" s="9" t="n"/>
      <c r="E610" s="9" t="n"/>
      <c r="F610" s="9" t="n"/>
      <c r="G610" s="10" t="n"/>
      <c r="H610" s="9" t="n"/>
      <c r="I610" s="9" t="n"/>
      <c r="J610" s="9" t="n"/>
      <c r="K610" s="9" t="n"/>
      <c r="L610">
        <f>IF($A610="","",IF($P610="Yes","Disputed / Review",IF($I610&lt;&gt;"Yes","Not Reimbursable",IF($M610&lt;=0.004,"Pending",IF($N610&lt;=0.004,"Reimbursed","Partially Reimbursed")))))</f>
        <v/>
      </c>
      <c r="M610" s="12">
        <f>IF($A610="",0,SUMIF('Family Contributions'!$I$4:$I$1003,$A610,'Family Contributions'!$G$4:$G$1003))</f>
        <v/>
      </c>
      <c r="N610" s="12">
        <f>IF($A610="",0,IF($I610="Yes",IF(ISNUMBER($G610),$G610,0)-$M610,0))</f>
        <v/>
      </c>
      <c r="O610" s="9" t="n"/>
      <c r="P610" s="9" t="n"/>
    </row>
    <row r="611">
      <c r="A611" s="9" t="n"/>
      <c r="B611" s="19" t="n"/>
      <c r="C611" s="9" t="n"/>
      <c r="D611" s="9" t="n"/>
      <c r="E611" s="9" t="n"/>
      <c r="F611" s="9" t="n"/>
      <c r="G611" s="10" t="n"/>
      <c r="H611" s="9" t="n"/>
      <c r="I611" s="9" t="n"/>
      <c r="J611" s="9" t="n"/>
      <c r="K611" s="9" t="n"/>
      <c r="L611">
        <f>IF($A611="","",IF($P611="Yes","Disputed / Review",IF($I611&lt;&gt;"Yes","Not Reimbursable",IF($M611&lt;=0.004,"Pending",IF($N611&lt;=0.004,"Reimbursed","Partially Reimbursed")))))</f>
        <v/>
      </c>
      <c r="M611" s="12">
        <f>IF($A611="",0,SUMIF('Family Contributions'!$I$4:$I$1003,$A611,'Family Contributions'!$G$4:$G$1003))</f>
        <v/>
      </c>
      <c r="N611" s="12">
        <f>IF($A611="",0,IF($I611="Yes",IF(ISNUMBER($G611),$G611,0)-$M611,0))</f>
        <v/>
      </c>
      <c r="O611" s="9" t="n"/>
      <c r="P611" s="9" t="n"/>
    </row>
    <row r="612">
      <c r="A612" s="9" t="n"/>
      <c r="B612" s="19" t="n"/>
      <c r="C612" s="9" t="n"/>
      <c r="D612" s="9" t="n"/>
      <c r="E612" s="9" t="n"/>
      <c r="F612" s="9" t="n"/>
      <c r="G612" s="10" t="n"/>
      <c r="H612" s="9" t="n"/>
      <c r="I612" s="9" t="n"/>
      <c r="J612" s="9" t="n"/>
      <c r="K612" s="9" t="n"/>
      <c r="L612">
        <f>IF($A612="","",IF($P612="Yes","Disputed / Review",IF($I612&lt;&gt;"Yes","Not Reimbursable",IF($M612&lt;=0.004,"Pending",IF($N612&lt;=0.004,"Reimbursed","Partially Reimbursed")))))</f>
        <v/>
      </c>
      <c r="M612" s="12">
        <f>IF($A612="",0,SUMIF('Family Contributions'!$I$4:$I$1003,$A612,'Family Contributions'!$G$4:$G$1003))</f>
        <v/>
      </c>
      <c r="N612" s="12">
        <f>IF($A612="",0,IF($I612="Yes",IF(ISNUMBER($G612),$G612,0)-$M612,0))</f>
        <v/>
      </c>
      <c r="O612" s="9" t="n"/>
      <c r="P612" s="9" t="n"/>
    </row>
    <row r="613">
      <c r="A613" s="9" t="n"/>
      <c r="B613" s="19" t="n"/>
      <c r="C613" s="9" t="n"/>
      <c r="D613" s="9" t="n"/>
      <c r="E613" s="9" t="n"/>
      <c r="F613" s="9" t="n"/>
      <c r="G613" s="10" t="n"/>
      <c r="H613" s="9" t="n"/>
      <c r="I613" s="9" t="n"/>
      <c r="J613" s="9" t="n"/>
      <c r="K613" s="9" t="n"/>
      <c r="L613">
        <f>IF($A613="","",IF($P613="Yes","Disputed / Review",IF($I613&lt;&gt;"Yes","Not Reimbursable",IF($M613&lt;=0.004,"Pending",IF($N613&lt;=0.004,"Reimbursed","Partially Reimbursed")))))</f>
        <v/>
      </c>
      <c r="M613" s="12">
        <f>IF($A613="",0,SUMIF('Family Contributions'!$I$4:$I$1003,$A613,'Family Contributions'!$G$4:$G$1003))</f>
        <v/>
      </c>
      <c r="N613" s="12">
        <f>IF($A613="",0,IF($I613="Yes",IF(ISNUMBER($G613),$G613,0)-$M613,0))</f>
        <v/>
      </c>
      <c r="O613" s="9" t="n"/>
      <c r="P613" s="9" t="n"/>
    </row>
    <row r="614">
      <c r="A614" s="9" t="n"/>
      <c r="B614" s="19" t="n"/>
      <c r="C614" s="9" t="n"/>
      <c r="D614" s="9" t="n"/>
      <c r="E614" s="9" t="n"/>
      <c r="F614" s="9" t="n"/>
      <c r="G614" s="10" t="n"/>
      <c r="H614" s="9" t="n"/>
      <c r="I614" s="9" t="n"/>
      <c r="J614" s="9" t="n"/>
      <c r="K614" s="9" t="n"/>
      <c r="L614">
        <f>IF($A614="","",IF($P614="Yes","Disputed / Review",IF($I614&lt;&gt;"Yes","Not Reimbursable",IF($M614&lt;=0.004,"Pending",IF($N614&lt;=0.004,"Reimbursed","Partially Reimbursed")))))</f>
        <v/>
      </c>
      <c r="M614" s="12">
        <f>IF($A614="",0,SUMIF('Family Contributions'!$I$4:$I$1003,$A614,'Family Contributions'!$G$4:$G$1003))</f>
        <v/>
      </c>
      <c r="N614" s="12">
        <f>IF($A614="",0,IF($I614="Yes",IF(ISNUMBER($G614),$G614,0)-$M614,0))</f>
        <v/>
      </c>
      <c r="O614" s="9" t="n"/>
      <c r="P614" s="9" t="n"/>
    </row>
    <row r="615">
      <c r="A615" s="9" t="n"/>
      <c r="B615" s="19" t="n"/>
      <c r="C615" s="9" t="n"/>
      <c r="D615" s="9" t="n"/>
      <c r="E615" s="9" t="n"/>
      <c r="F615" s="9" t="n"/>
      <c r="G615" s="10" t="n"/>
      <c r="H615" s="9" t="n"/>
      <c r="I615" s="9" t="n"/>
      <c r="J615" s="9" t="n"/>
      <c r="K615" s="9" t="n"/>
      <c r="L615">
        <f>IF($A615="","",IF($P615="Yes","Disputed / Review",IF($I615&lt;&gt;"Yes","Not Reimbursable",IF($M615&lt;=0.004,"Pending",IF($N615&lt;=0.004,"Reimbursed","Partially Reimbursed")))))</f>
        <v/>
      </c>
      <c r="M615" s="12">
        <f>IF($A615="",0,SUMIF('Family Contributions'!$I$4:$I$1003,$A615,'Family Contributions'!$G$4:$G$1003))</f>
        <v/>
      </c>
      <c r="N615" s="12">
        <f>IF($A615="",0,IF($I615="Yes",IF(ISNUMBER($G615),$G615,0)-$M615,0))</f>
        <v/>
      </c>
      <c r="O615" s="9" t="n"/>
      <c r="P615" s="9" t="n"/>
    </row>
    <row r="616">
      <c r="A616" s="9" t="n"/>
      <c r="B616" s="19" t="n"/>
      <c r="C616" s="9" t="n"/>
      <c r="D616" s="9" t="n"/>
      <c r="E616" s="9" t="n"/>
      <c r="F616" s="9" t="n"/>
      <c r="G616" s="10" t="n"/>
      <c r="H616" s="9" t="n"/>
      <c r="I616" s="9" t="n"/>
      <c r="J616" s="9" t="n"/>
      <c r="K616" s="9" t="n"/>
      <c r="L616">
        <f>IF($A616="","",IF($P616="Yes","Disputed / Review",IF($I616&lt;&gt;"Yes","Not Reimbursable",IF($M616&lt;=0.004,"Pending",IF($N616&lt;=0.004,"Reimbursed","Partially Reimbursed")))))</f>
        <v/>
      </c>
      <c r="M616" s="12">
        <f>IF($A616="",0,SUMIF('Family Contributions'!$I$4:$I$1003,$A616,'Family Contributions'!$G$4:$G$1003))</f>
        <v/>
      </c>
      <c r="N616" s="12">
        <f>IF($A616="",0,IF($I616="Yes",IF(ISNUMBER($G616),$G616,0)-$M616,0))</f>
        <v/>
      </c>
      <c r="O616" s="9" t="n"/>
      <c r="P616" s="9" t="n"/>
    </row>
    <row r="617">
      <c r="A617" s="9" t="n"/>
      <c r="B617" s="19" t="n"/>
      <c r="C617" s="9" t="n"/>
      <c r="D617" s="9" t="n"/>
      <c r="E617" s="9" t="n"/>
      <c r="F617" s="9" t="n"/>
      <c r="G617" s="10" t="n"/>
      <c r="H617" s="9" t="n"/>
      <c r="I617" s="9" t="n"/>
      <c r="J617" s="9" t="n"/>
      <c r="K617" s="9" t="n"/>
      <c r="L617">
        <f>IF($A617="","",IF($P617="Yes","Disputed / Review",IF($I617&lt;&gt;"Yes","Not Reimbursable",IF($M617&lt;=0.004,"Pending",IF($N617&lt;=0.004,"Reimbursed","Partially Reimbursed")))))</f>
        <v/>
      </c>
      <c r="M617" s="12">
        <f>IF($A617="",0,SUMIF('Family Contributions'!$I$4:$I$1003,$A617,'Family Contributions'!$G$4:$G$1003))</f>
        <v/>
      </c>
      <c r="N617" s="12">
        <f>IF($A617="",0,IF($I617="Yes",IF(ISNUMBER($G617),$G617,0)-$M617,0))</f>
        <v/>
      </c>
      <c r="O617" s="9" t="n"/>
      <c r="P617" s="9" t="n"/>
    </row>
    <row r="618">
      <c r="A618" s="9" t="n"/>
      <c r="B618" s="19" t="n"/>
      <c r="C618" s="9" t="n"/>
      <c r="D618" s="9" t="n"/>
      <c r="E618" s="9" t="n"/>
      <c r="F618" s="9" t="n"/>
      <c r="G618" s="10" t="n"/>
      <c r="H618" s="9" t="n"/>
      <c r="I618" s="9" t="n"/>
      <c r="J618" s="9" t="n"/>
      <c r="K618" s="9" t="n"/>
      <c r="L618">
        <f>IF($A618="","",IF($P618="Yes","Disputed / Review",IF($I618&lt;&gt;"Yes","Not Reimbursable",IF($M618&lt;=0.004,"Pending",IF($N618&lt;=0.004,"Reimbursed","Partially Reimbursed")))))</f>
        <v/>
      </c>
      <c r="M618" s="12">
        <f>IF($A618="",0,SUMIF('Family Contributions'!$I$4:$I$1003,$A618,'Family Contributions'!$G$4:$G$1003))</f>
        <v/>
      </c>
      <c r="N618" s="12">
        <f>IF($A618="",0,IF($I618="Yes",IF(ISNUMBER($G618),$G618,0)-$M618,0))</f>
        <v/>
      </c>
      <c r="O618" s="9" t="n"/>
      <c r="P618" s="9" t="n"/>
    </row>
    <row r="619">
      <c r="A619" s="9" t="n"/>
      <c r="B619" s="19" t="n"/>
      <c r="C619" s="9" t="n"/>
      <c r="D619" s="9" t="n"/>
      <c r="E619" s="9" t="n"/>
      <c r="F619" s="9" t="n"/>
      <c r="G619" s="10" t="n"/>
      <c r="H619" s="9" t="n"/>
      <c r="I619" s="9" t="n"/>
      <c r="J619" s="9" t="n"/>
      <c r="K619" s="9" t="n"/>
      <c r="L619">
        <f>IF($A619="","",IF($P619="Yes","Disputed / Review",IF($I619&lt;&gt;"Yes","Not Reimbursable",IF($M619&lt;=0.004,"Pending",IF($N619&lt;=0.004,"Reimbursed","Partially Reimbursed")))))</f>
        <v/>
      </c>
      <c r="M619" s="12">
        <f>IF($A619="",0,SUMIF('Family Contributions'!$I$4:$I$1003,$A619,'Family Contributions'!$G$4:$G$1003))</f>
        <v/>
      </c>
      <c r="N619" s="12">
        <f>IF($A619="",0,IF($I619="Yes",IF(ISNUMBER($G619),$G619,0)-$M619,0))</f>
        <v/>
      </c>
      <c r="O619" s="9" t="n"/>
      <c r="P619" s="9" t="n"/>
    </row>
    <row r="620">
      <c r="A620" s="9" t="n"/>
      <c r="B620" s="19" t="n"/>
      <c r="C620" s="9" t="n"/>
      <c r="D620" s="9" t="n"/>
      <c r="E620" s="9" t="n"/>
      <c r="F620" s="9" t="n"/>
      <c r="G620" s="10" t="n"/>
      <c r="H620" s="9" t="n"/>
      <c r="I620" s="9" t="n"/>
      <c r="J620" s="9" t="n"/>
      <c r="K620" s="9" t="n"/>
      <c r="L620">
        <f>IF($A620="","",IF($P620="Yes","Disputed / Review",IF($I620&lt;&gt;"Yes","Not Reimbursable",IF($M620&lt;=0.004,"Pending",IF($N620&lt;=0.004,"Reimbursed","Partially Reimbursed")))))</f>
        <v/>
      </c>
      <c r="M620" s="12">
        <f>IF($A620="",0,SUMIF('Family Contributions'!$I$4:$I$1003,$A620,'Family Contributions'!$G$4:$G$1003))</f>
        <v/>
      </c>
      <c r="N620" s="12">
        <f>IF($A620="",0,IF($I620="Yes",IF(ISNUMBER($G620),$G620,0)-$M620,0))</f>
        <v/>
      </c>
      <c r="O620" s="9" t="n"/>
      <c r="P620" s="9" t="n"/>
    </row>
    <row r="621">
      <c r="A621" s="9" t="n"/>
      <c r="B621" s="19" t="n"/>
      <c r="C621" s="9" t="n"/>
      <c r="D621" s="9" t="n"/>
      <c r="E621" s="9" t="n"/>
      <c r="F621" s="9" t="n"/>
      <c r="G621" s="10" t="n"/>
      <c r="H621" s="9" t="n"/>
      <c r="I621" s="9" t="n"/>
      <c r="J621" s="9" t="n"/>
      <c r="K621" s="9" t="n"/>
      <c r="L621">
        <f>IF($A621="","",IF($P621="Yes","Disputed / Review",IF($I621&lt;&gt;"Yes","Not Reimbursable",IF($M621&lt;=0.004,"Pending",IF($N621&lt;=0.004,"Reimbursed","Partially Reimbursed")))))</f>
        <v/>
      </c>
      <c r="M621" s="12">
        <f>IF($A621="",0,SUMIF('Family Contributions'!$I$4:$I$1003,$A621,'Family Contributions'!$G$4:$G$1003))</f>
        <v/>
      </c>
      <c r="N621" s="12">
        <f>IF($A621="",0,IF($I621="Yes",IF(ISNUMBER($G621),$G621,0)-$M621,0))</f>
        <v/>
      </c>
      <c r="O621" s="9" t="n"/>
      <c r="P621" s="9" t="n"/>
    </row>
    <row r="622">
      <c r="A622" s="9" t="n"/>
      <c r="B622" s="19" t="n"/>
      <c r="C622" s="9" t="n"/>
      <c r="D622" s="9" t="n"/>
      <c r="E622" s="9" t="n"/>
      <c r="F622" s="9" t="n"/>
      <c r="G622" s="10" t="n"/>
      <c r="H622" s="9" t="n"/>
      <c r="I622" s="9" t="n"/>
      <c r="J622" s="9" t="n"/>
      <c r="K622" s="9" t="n"/>
      <c r="L622">
        <f>IF($A622="","",IF($P622="Yes","Disputed / Review",IF($I622&lt;&gt;"Yes","Not Reimbursable",IF($M622&lt;=0.004,"Pending",IF($N622&lt;=0.004,"Reimbursed","Partially Reimbursed")))))</f>
        <v/>
      </c>
      <c r="M622" s="12">
        <f>IF($A622="",0,SUMIF('Family Contributions'!$I$4:$I$1003,$A622,'Family Contributions'!$G$4:$G$1003))</f>
        <v/>
      </c>
      <c r="N622" s="12">
        <f>IF($A622="",0,IF($I622="Yes",IF(ISNUMBER($G622),$G622,0)-$M622,0))</f>
        <v/>
      </c>
      <c r="O622" s="9" t="n"/>
      <c r="P622" s="9" t="n"/>
    </row>
    <row r="623">
      <c r="A623" s="9" t="n"/>
      <c r="B623" s="19" t="n"/>
      <c r="C623" s="9" t="n"/>
      <c r="D623" s="9" t="n"/>
      <c r="E623" s="9" t="n"/>
      <c r="F623" s="9" t="n"/>
      <c r="G623" s="10" t="n"/>
      <c r="H623" s="9" t="n"/>
      <c r="I623" s="9" t="n"/>
      <c r="J623" s="9" t="n"/>
      <c r="K623" s="9" t="n"/>
      <c r="L623">
        <f>IF($A623="","",IF($P623="Yes","Disputed / Review",IF($I623&lt;&gt;"Yes","Not Reimbursable",IF($M623&lt;=0.004,"Pending",IF($N623&lt;=0.004,"Reimbursed","Partially Reimbursed")))))</f>
        <v/>
      </c>
      <c r="M623" s="12">
        <f>IF($A623="",0,SUMIF('Family Contributions'!$I$4:$I$1003,$A623,'Family Contributions'!$G$4:$G$1003))</f>
        <v/>
      </c>
      <c r="N623" s="12">
        <f>IF($A623="",0,IF($I623="Yes",IF(ISNUMBER($G623),$G623,0)-$M623,0))</f>
        <v/>
      </c>
      <c r="O623" s="9" t="n"/>
      <c r="P623" s="9" t="n"/>
    </row>
    <row r="624">
      <c r="A624" s="9" t="n"/>
      <c r="B624" s="19" t="n"/>
      <c r="C624" s="9" t="n"/>
      <c r="D624" s="9" t="n"/>
      <c r="E624" s="9" t="n"/>
      <c r="F624" s="9" t="n"/>
      <c r="G624" s="10" t="n"/>
      <c r="H624" s="9" t="n"/>
      <c r="I624" s="9" t="n"/>
      <c r="J624" s="9" t="n"/>
      <c r="K624" s="9" t="n"/>
      <c r="L624">
        <f>IF($A624="","",IF($P624="Yes","Disputed / Review",IF($I624&lt;&gt;"Yes","Not Reimbursable",IF($M624&lt;=0.004,"Pending",IF($N624&lt;=0.004,"Reimbursed","Partially Reimbursed")))))</f>
        <v/>
      </c>
      <c r="M624" s="12">
        <f>IF($A624="",0,SUMIF('Family Contributions'!$I$4:$I$1003,$A624,'Family Contributions'!$G$4:$G$1003))</f>
        <v/>
      </c>
      <c r="N624" s="12">
        <f>IF($A624="",0,IF($I624="Yes",IF(ISNUMBER($G624),$G624,0)-$M624,0))</f>
        <v/>
      </c>
      <c r="O624" s="9" t="n"/>
      <c r="P624" s="9" t="n"/>
    </row>
    <row r="625">
      <c r="A625" s="9" t="n"/>
      <c r="B625" s="19" t="n"/>
      <c r="C625" s="9" t="n"/>
      <c r="D625" s="9" t="n"/>
      <c r="E625" s="9" t="n"/>
      <c r="F625" s="9" t="n"/>
      <c r="G625" s="10" t="n"/>
      <c r="H625" s="9" t="n"/>
      <c r="I625" s="9" t="n"/>
      <c r="J625" s="9" t="n"/>
      <c r="K625" s="9" t="n"/>
      <c r="L625">
        <f>IF($A625="","",IF($P625="Yes","Disputed / Review",IF($I625&lt;&gt;"Yes","Not Reimbursable",IF($M625&lt;=0.004,"Pending",IF($N625&lt;=0.004,"Reimbursed","Partially Reimbursed")))))</f>
        <v/>
      </c>
      <c r="M625" s="12">
        <f>IF($A625="",0,SUMIF('Family Contributions'!$I$4:$I$1003,$A625,'Family Contributions'!$G$4:$G$1003))</f>
        <v/>
      </c>
      <c r="N625" s="12">
        <f>IF($A625="",0,IF($I625="Yes",IF(ISNUMBER($G625),$G625,0)-$M625,0))</f>
        <v/>
      </c>
      <c r="O625" s="9" t="n"/>
      <c r="P625" s="9" t="n"/>
    </row>
    <row r="626">
      <c r="A626" s="9" t="n"/>
      <c r="B626" s="19" t="n"/>
      <c r="C626" s="9" t="n"/>
      <c r="D626" s="9" t="n"/>
      <c r="E626" s="9" t="n"/>
      <c r="F626" s="9" t="n"/>
      <c r="G626" s="10" t="n"/>
      <c r="H626" s="9" t="n"/>
      <c r="I626" s="9" t="n"/>
      <c r="J626" s="9" t="n"/>
      <c r="K626" s="9" t="n"/>
      <c r="L626">
        <f>IF($A626="","",IF($P626="Yes","Disputed / Review",IF($I626&lt;&gt;"Yes","Not Reimbursable",IF($M626&lt;=0.004,"Pending",IF($N626&lt;=0.004,"Reimbursed","Partially Reimbursed")))))</f>
        <v/>
      </c>
      <c r="M626" s="12">
        <f>IF($A626="",0,SUMIF('Family Contributions'!$I$4:$I$1003,$A626,'Family Contributions'!$G$4:$G$1003))</f>
        <v/>
      </c>
      <c r="N626" s="12">
        <f>IF($A626="",0,IF($I626="Yes",IF(ISNUMBER($G626),$G626,0)-$M626,0))</f>
        <v/>
      </c>
      <c r="O626" s="9" t="n"/>
      <c r="P626" s="9" t="n"/>
    </row>
    <row r="627">
      <c r="A627" s="9" t="n"/>
      <c r="B627" s="19" t="n"/>
      <c r="C627" s="9" t="n"/>
      <c r="D627" s="9" t="n"/>
      <c r="E627" s="9" t="n"/>
      <c r="F627" s="9" t="n"/>
      <c r="G627" s="10" t="n"/>
      <c r="H627" s="9" t="n"/>
      <c r="I627" s="9" t="n"/>
      <c r="J627" s="9" t="n"/>
      <c r="K627" s="9" t="n"/>
      <c r="L627">
        <f>IF($A627="","",IF($P627="Yes","Disputed / Review",IF($I627&lt;&gt;"Yes","Not Reimbursable",IF($M627&lt;=0.004,"Pending",IF($N627&lt;=0.004,"Reimbursed","Partially Reimbursed")))))</f>
        <v/>
      </c>
      <c r="M627" s="12">
        <f>IF($A627="",0,SUMIF('Family Contributions'!$I$4:$I$1003,$A627,'Family Contributions'!$G$4:$G$1003))</f>
        <v/>
      </c>
      <c r="N627" s="12">
        <f>IF($A627="",0,IF($I627="Yes",IF(ISNUMBER($G627),$G627,0)-$M627,0))</f>
        <v/>
      </c>
      <c r="O627" s="9" t="n"/>
      <c r="P627" s="9" t="n"/>
    </row>
    <row r="628">
      <c r="A628" s="9" t="n"/>
      <c r="B628" s="19" t="n"/>
      <c r="C628" s="9" t="n"/>
      <c r="D628" s="9" t="n"/>
      <c r="E628" s="9" t="n"/>
      <c r="F628" s="9" t="n"/>
      <c r="G628" s="10" t="n"/>
      <c r="H628" s="9" t="n"/>
      <c r="I628" s="9" t="n"/>
      <c r="J628" s="9" t="n"/>
      <c r="K628" s="9" t="n"/>
      <c r="L628">
        <f>IF($A628="","",IF($P628="Yes","Disputed / Review",IF($I628&lt;&gt;"Yes","Not Reimbursable",IF($M628&lt;=0.004,"Pending",IF($N628&lt;=0.004,"Reimbursed","Partially Reimbursed")))))</f>
        <v/>
      </c>
      <c r="M628" s="12">
        <f>IF($A628="",0,SUMIF('Family Contributions'!$I$4:$I$1003,$A628,'Family Contributions'!$G$4:$G$1003))</f>
        <v/>
      </c>
      <c r="N628" s="12">
        <f>IF($A628="",0,IF($I628="Yes",IF(ISNUMBER($G628),$G628,0)-$M628,0))</f>
        <v/>
      </c>
      <c r="O628" s="9" t="n"/>
      <c r="P628" s="9" t="n"/>
    </row>
    <row r="629">
      <c r="A629" s="9" t="n"/>
      <c r="B629" s="19" t="n"/>
      <c r="C629" s="9" t="n"/>
      <c r="D629" s="9" t="n"/>
      <c r="E629" s="9" t="n"/>
      <c r="F629" s="9" t="n"/>
      <c r="G629" s="10" t="n"/>
      <c r="H629" s="9" t="n"/>
      <c r="I629" s="9" t="n"/>
      <c r="J629" s="9" t="n"/>
      <c r="K629" s="9" t="n"/>
      <c r="L629">
        <f>IF($A629="","",IF($P629="Yes","Disputed / Review",IF($I629&lt;&gt;"Yes","Not Reimbursable",IF($M629&lt;=0.004,"Pending",IF($N629&lt;=0.004,"Reimbursed","Partially Reimbursed")))))</f>
        <v/>
      </c>
      <c r="M629" s="12">
        <f>IF($A629="",0,SUMIF('Family Contributions'!$I$4:$I$1003,$A629,'Family Contributions'!$G$4:$G$1003))</f>
        <v/>
      </c>
      <c r="N629" s="12">
        <f>IF($A629="",0,IF($I629="Yes",IF(ISNUMBER($G629),$G629,0)-$M629,0))</f>
        <v/>
      </c>
      <c r="O629" s="9" t="n"/>
      <c r="P629" s="9" t="n"/>
    </row>
    <row r="630">
      <c r="A630" s="9" t="n"/>
      <c r="B630" s="19" t="n"/>
      <c r="C630" s="9" t="n"/>
      <c r="D630" s="9" t="n"/>
      <c r="E630" s="9" t="n"/>
      <c r="F630" s="9" t="n"/>
      <c r="G630" s="10" t="n"/>
      <c r="H630" s="9" t="n"/>
      <c r="I630" s="9" t="n"/>
      <c r="J630" s="9" t="n"/>
      <c r="K630" s="9" t="n"/>
      <c r="L630">
        <f>IF($A630="","",IF($P630="Yes","Disputed / Review",IF($I630&lt;&gt;"Yes","Not Reimbursable",IF($M630&lt;=0.004,"Pending",IF($N630&lt;=0.004,"Reimbursed","Partially Reimbursed")))))</f>
        <v/>
      </c>
      <c r="M630" s="12">
        <f>IF($A630="",0,SUMIF('Family Contributions'!$I$4:$I$1003,$A630,'Family Contributions'!$G$4:$G$1003))</f>
        <v/>
      </c>
      <c r="N630" s="12">
        <f>IF($A630="",0,IF($I630="Yes",IF(ISNUMBER($G630),$G630,0)-$M630,0))</f>
        <v/>
      </c>
      <c r="O630" s="9" t="n"/>
      <c r="P630" s="9" t="n"/>
    </row>
    <row r="631">
      <c r="A631" s="9" t="n"/>
      <c r="B631" s="19" t="n"/>
      <c r="C631" s="9" t="n"/>
      <c r="D631" s="9" t="n"/>
      <c r="E631" s="9" t="n"/>
      <c r="F631" s="9" t="n"/>
      <c r="G631" s="10" t="n"/>
      <c r="H631" s="9" t="n"/>
      <c r="I631" s="9" t="n"/>
      <c r="J631" s="9" t="n"/>
      <c r="K631" s="9" t="n"/>
      <c r="L631">
        <f>IF($A631="","",IF($P631="Yes","Disputed / Review",IF($I631&lt;&gt;"Yes","Not Reimbursable",IF($M631&lt;=0.004,"Pending",IF($N631&lt;=0.004,"Reimbursed","Partially Reimbursed")))))</f>
        <v/>
      </c>
      <c r="M631" s="12">
        <f>IF($A631="",0,SUMIF('Family Contributions'!$I$4:$I$1003,$A631,'Family Contributions'!$G$4:$G$1003))</f>
        <v/>
      </c>
      <c r="N631" s="12">
        <f>IF($A631="",0,IF($I631="Yes",IF(ISNUMBER($G631),$G631,0)-$M631,0))</f>
        <v/>
      </c>
      <c r="O631" s="9" t="n"/>
      <c r="P631" s="9" t="n"/>
    </row>
    <row r="632">
      <c r="A632" s="9" t="n"/>
      <c r="B632" s="19" t="n"/>
      <c r="C632" s="9" t="n"/>
      <c r="D632" s="9" t="n"/>
      <c r="E632" s="9" t="n"/>
      <c r="F632" s="9" t="n"/>
      <c r="G632" s="10" t="n"/>
      <c r="H632" s="9" t="n"/>
      <c r="I632" s="9" t="n"/>
      <c r="J632" s="9" t="n"/>
      <c r="K632" s="9" t="n"/>
      <c r="L632">
        <f>IF($A632="","",IF($P632="Yes","Disputed / Review",IF($I632&lt;&gt;"Yes","Not Reimbursable",IF($M632&lt;=0.004,"Pending",IF($N632&lt;=0.004,"Reimbursed","Partially Reimbursed")))))</f>
        <v/>
      </c>
      <c r="M632" s="12">
        <f>IF($A632="",0,SUMIF('Family Contributions'!$I$4:$I$1003,$A632,'Family Contributions'!$G$4:$G$1003))</f>
        <v/>
      </c>
      <c r="N632" s="12">
        <f>IF($A632="",0,IF($I632="Yes",IF(ISNUMBER($G632),$G632,0)-$M632,0))</f>
        <v/>
      </c>
      <c r="O632" s="9" t="n"/>
      <c r="P632" s="9" t="n"/>
    </row>
    <row r="633">
      <c r="A633" s="9" t="n"/>
      <c r="B633" s="19" t="n"/>
      <c r="C633" s="9" t="n"/>
      <c r="D633" s="9" t="n"/>
      <c r="E633" s="9" t="n"/>
      <c r="F633" s="9" t="n"/>
      <c r="G633" s="10" t="n"/>
      <c r="H633" s="9" t="n"/>
      <c r="I633" s="9" t="n"/>
      <c r="J633" s="9" t="n"/>
      <c r="K633" s="9" t="n"/>
      <c r="L633">
        <f>IF($A633="","",IF($P633="Yes","Disputed / Review",IF($I633&lt;&gt;"Yes","Not Reimbursable",IF($M633&lt;=0.004,"Pending",IF($N633&lt;=0.004,"Reimbursed","Partially Reimbursed")))))</f>
        <v/>
      </c>
      <c r="M633" s="12">
        <f>IF($A633="",0,SUMIF('Family Contributions'!$I$4:$I$1003,$A633,'Family Contributions'!$G$4:$G$1003))</f>
        <v/>
      </c>
      <c r="N633" s="12">
        <f>IF($A633="",0,IF($I633="Yes",IF(ISNUMBER($G633),$G633,0)-$M633,0))</f>
        <v/>
      </c>
      <c r="O633" s="9" t="n"/>
      <c r="P633" s="9" t="n"/>
    </row>
    <row r="634">
      <c r="A634" s="9" t="n"/>
      <c r="B634" s="19" t="n"/>
      <c r="C634" s="9" t="n"/>
      <c r="D634" s="9" t="n"/>
      <c r="E634" s="9" t="n"/>
      <c r="F634" s="9" t="n"/>
      <c r="G634" s="10" t="n"/>
      <c r="H634" s="9" t="n"/>
      <c r="I634" s="9" t="n"/>
      <c r="J634" s="9" t="n"/>
      <c r="K634" s="9" t="n"/>
      <c r="L634">
        <f>IF($A634="","",IF($P634="Yes","Disputed / Review",IF($I634&lt;&gt;"Yes","Not Reimbursable",IF($M634&lt;=0.004,"Pending",IF($N634&lt;=0.004,"Reimbursed","Partially Reimbursed")))))</f>
        <v/>
      </c>
      <c r="M634" s="12">
        <f>IF($A634="",0,SUMIF('Family Contributions'!$I$4:$I$1003,$A634,'Family Contributions'!$G$4:$G$1003))</f>
        <v/>
      </c>
      <c r="N634" s="12">
        <f>IF($A634="",0,IF($I634="Yes",IF(ISNUMBER($G634),$G634,0)-$M634,0))</f>
        <v/>
      </c>
      <c r="O634" s="9" t="n"/>
      <c r="P634" s="9" t="n"/>
    </row>
    <row r="635">
      <c r="A635" s="9" t="n"/>
      <c r="B635" s="19" t="n"/>
      <c r="C635" s="9" t="n"/>
      <c r="D635" s="9" t="n"/>
      <c r="E635" s="9" t="n"/>
      <c r="F635" s="9" t="n"/>
      <c r="G635" s="10" t="n"/>
      <c r="H635" s="9" t="n"/>
      <c r="I635" s="9" t="n"/>
      <c r="J635" s="9" t="n"/>
      <c r="K635" s="9" t="n"/>
      <c r="L635">
        <f>IF($A635="","",IF($P635="Yes","Disputed / Review",IF($I635&lt;&gt;"Yes","Not Reimbursable",IF($M635&lt;=0.004,"Pending",IF($N635&lt;=0.004,"Reimbursed","Partially Reimbursed")))))</f>
        <v/>
      </c>
      <c r="M635" s="12">
        <f>IF($A635="",0,SUMIF('Family Contributions'!$I$4:$I$1003,$A635,'Family Contributions'!$G$4:$G$1003))</f>
        <v/>
      </c>
      <c r="N635" s="12">
        <f>IF($A635="",0,IF($I635="Yes",IF(ISNUMBER($G635),$G635,0)-$M635,0))</f>
        <v/>
      </c>
      <c r="O635" s="9" t="n"/>
      <c r="P635" s="9" t="n"/>
    </row>
    <row r="636">
      <c r="A636" s="9" t="n"/>
      <c r="B636" s="19" t="n"/>
      <c r="C636" s="9" t="n"/>
      <c r="D636" s="9" t="n"/>
      <c r="E636" s="9" t="n"/>
      <c r="F636" s="9" t="n"/>
      <c r="G636" s="10" t="n"/>
      <c r="H636" s="9" t="n"/>
      <c r="I636" s="9" t="n"/>
      <c r="J636" s="9" t="n"/>
      <c r="K636" s="9" t="n"/>
      <c r="L636">
        <f>IF($A636="","",IF($P636="Yes","Disputed / Review",IF($I636&lt;&gt;"Yes","Not Reimbursable",IF($M636&lt;=0.004,"Pending",IF($N636&lt;=0.004,"Reimbursed","Partially Reimbursed")))))</f>
        <v/>
      </c>
      <c r="M636" s="12">
        <f>IF($A636="",0,SUMIF('Family Contributions'!$I$4:$I$1003,$A636,'Family Contributions'!$G$4:$G$1003))</f>
        <v/>
      </c>
      <c r="N636" s="12">
        <f>IF($A636="",0,IF($I636="Yes",IF(ISNUMBER($G636),$G636,0)-$M636,0))</f>
        <v/>
      </c>
      <c r="O636" s="9" t="n"/>
      <c r="P636" s="9" t="n"/>
    </row>
    <row r="637">
      <c r="A637" s="9" t="n"/>
      <c r="B637" s="19" t="n"/>
      <c r="C637" s="9" t="n"/>
      <c r="D637" s="9" t="n"/>
      <c r="E637" s="9" t="n"/>
      <c r="F637" s="9" t="n"/>
      <c r="G637" s="10" t="n"/>
      <c r="H637" s="9" t="n"/>
      <c r="I637" s="9" t="n"/>
      <c r="J637" s="9" t="n"/>
      <c r="K637" s="9" t="n"/>
      <c r="L637">
        <f>IF($A637="","",IF($P637="Yes","Disputed / Review",IF($I637&lt;&gt;"Yes","Not Reimbursable",IF($M637&lt;=0.004,"Pending",IF($N637&lt;=0.004,"Reimbursed","Partially Reimbursed")))))</f>
        <v/>
      </c>
      <c r="M637" s="12">
        <f>IF($A637="",0,SUMIF('Family Contributions'!$I$4:$I$1003,$A637,'Family Contributions'!$G$4:$G$1003))</f>
        <v/>
      </c>
      <c r="N637" s="12">
        <f>IF($A637="",0,IF($I637="Yes",IF(ISNUMBER($G637),$G637,0)-$M637,0))</f>
        <v/>
      </c>
      <c r="O637" s="9" t="n"/>
      <c r="P637" s="9" t="n"/>
    </row>
    <row r="638">
      <c r="A638" s="9" t="n"/>
      <c r="B638" s="19" t="n"/>
      <c r="C638" s="9" t="n"/>
      <c r="D638" s="9" t="n"/>
      <c r="E638" s="9" t="n"/>
      <c r="F638" s="9" t="n"/>
      <c r="G638" s="10" t="n"/>
      <c r="H638" s="9" t="n"/>
      <c r="I638" s="9" t="n"/>
      <c r="J638" s="9" t="n"/>
      <c r="K638" s="9" t="n"/>
      <c r="L638">
        <f>IF($A638="","",IF($P638="Yes","Disputed / Review",IF($I638&lt;&gt;"Yes","Not Reimbursable",IF($M638&lt;=0.004,"Pending",IF($N638&lt;=0.004,"Reimbursed","Partially Reimbursed")))))</f>
        <v/>
      </c>
      <c r="M638" s="12">
        <f>IF($A638="",0,SUMIF('Family Contributions'!$I$4:$I$1003,$A638,'Family Contributions'!$G$4:$G$1003))</f>
        <v/>
      </c>
      <c r="N638" s="12">
        <f>IF($A638="",0,IF($I638="Yes",IF(ISNUMBER($G638),$G638,0)-$M638,0))</f>
        <v/>
      </c>
      <c r="O638" s="9" t="n"/>
      <c r="P638" s="9" t="n"/>
    </row>
    <row r="639">
      <c r="A639" s="9" t="n"/>
      <c r="B639" s="19" t="n"/>
      <c r="C639" s="9" t="n"/>
      <c r="D639" s="9" t="n"/>
      <c r="E639" s="9" t="n"/>
      <c r="F639" s="9" t="n"/>
      <c r="G639" s="10" t="n"/>
      <c r="H639" s="9" t="n"/>
      <c r="I639" s="9" t="n"/>
      <c r="J639" s="9" t="n"/>
      <c r="K639" s="9" t="n"/>
      <c r="L639">
        <f>IF($A639="","",IF($P639="Yes","Disputed / Review",IF($I639&lt;&gt;"Yes","Not Reimbursable",IF($M639&lt;=0.004,"Pending",IF($N639&lt;=0.004,"Reimbursed","Partially Reimbursed")))))</f>
        <v/>
      </c>
      <c r="M639" s="12">
        <f>IF($A639="",0,SUMIF('Family Contributions'!$I$4:$I$1003,$A639,'Family Contributions'!$G$4:$G$1003))</f>
        <v/>
      </c>
      <c r="N639" s="12">
        <f>IF($A639="",0,IF($I639="Yes",IF(ISNUMBER($G639),$G639,0)-$M639,0))</f>
        <v/>
      </c>
      <c r="O639" s="9" t="n"/>
      <c r="P639" s="9" t="n"/>
    </row>
    <row r="640">
      <c r="A640" s="9" t="n"/>
      <c r="B640" s="19" t="n"/>
      <c r="C640" s="9" t="n"/>
      <c r="D640" s="9" t="n"/>
      <c r="E640" s="9" t="n"/>
      <c r="F640" s="9" t="n"/>
      <c r="G640" s="10" t="n"/>
      <c r="H640" s="9" t="n"/>
      <c r="I640" s="9" t="n"/>
      <c r="J640" s="9" t="n"/>
      <c r="K640" s="9" t="n"/>
      <c r="L640">
        <f>IF($A640="","",IF($P640="Yes","Disputed / Review",IF($I640&lt;&gt;"Yes","Not Reimbursable",IF($M640&lt;=0.004,"Pending",IF($N640&lt;=0.004,"Reimbursed","Partially Reimbursed")))))</f>
        <v/>
      </c>
      <c r="M640" s="12">
        <f>IF($A640="",0,SUMIF('Family Contributions'!$I$4:$I$1003,$A640,'Family Contributions'!$G$4:$G$1003))</f>
        <v/>
      </c>
      <c r="N640" s="12">
        <f>IF($A640="",0,IF($I640="Yes",IF(ISNUMBER($G640),$G640,0)-$M640,0))</f>
        <v/>
      </c>
      <c r="O640" s="9" t="n"/>
      <c r="P640" s="9" t="n"/>
    </row>
    <row r="641">
      <c r="A641" s="9" t="n"/>
      <c r="B641" s="19" t="n"/>
      <c r="C641" s="9" t="n"/>
      <c r="D641" s="9" t="n"/>
      <c r="E641" s="9" t="n"/>
      <c r="F641" s="9" t="n"/>
      <c r="G641" s="10" t="n"/>
      <c r="H641" s="9" t="n"/>
      <c r="I641" s="9" t="n"/>
      <c r="J641" s="9" t="n"/>
      <c r="K641" s="9" t="n"/>
      <c r="L641">
        <f>IF($A641="","",IF($P641="Yes","Disputed / Review",IF($I641&lt;&gt;"Yes","Not Reimbursable",IF($M641&lt;=0.004,"Pending",IF($N641&lt;=0.004,"Reimbursed","Partially Reimbursed")))))</f>
        <v/>
      </c>
      <c r="M641" s="12">
        <f>IF($A641="",0,SUMIF('Family Contributions'!$I$4:$I$1003,$A641,'Family Contributions'!$G$4:$G$1003))</f>
        <v/>
      </c>
      <c r="N641" s="12">
        <f>IF($A641="",0,IF($I641="Yes",IF(ISNUMBER($G641),$G641,0)-$M641,0))</f>
        <v/>
      </c>
      <c r="O641" s="9" t="n"/>
      <c r="P641" s="9" t="n"/>
    </row>
    <row r="642">
      <c r="A642" s="9" t="n"/>
      <c r="B642" s="19" t="n"/>
      <c r="C642" s="9" t="n"/>
      <c r="D642" s="9" t="n"/>
      <c r="E642" s="9" t="n"/>
      <c r="F642" s="9" t="n"/>
      <c r="G642" s="10" t="n"/>
      <c r="H642" s="9" t="n"/>
      <c r="I642" s="9" t="n"/>
      <c r="J642" s="9" t="n"/>
      <c r="K642" s="9" t="n"/>
      <c r="L642">
        <f>IF($A642="","",IF($P642="Yes","Disputed / Review",IF($I642&lt;&gt;"Yes","Not Reimbursable",IF($M642&lt;=0.004,"Pending",IF($N642&lt;=0.004,"Reimbursed","Partially Reimbursed")))))</f>
        <v/>
      </c>
      <c r="M642" s="12">
        <f>IF($A642="",0,SUMIF('Family Contributions'!$I$4:$I$1003,$A642,'Family Contributions'!$G$4:$G$1003))</f>
        <v/>
      </c>
      <c r="N642" s="12">
        <f>IF($A642="",0,IF($I642="Yes",IF(ISNUMBER($G642),$G642,0)-$M642,0))</f>
        <v/>
      </c>
      <c r="O642" s="9" t="n"/>
      <c r="P642" s="9" t="n"/>
    </row>
    <row r="643">
      <c r="A643" s="9" t="n"/>
      <c r="B643" s="19" t="n"/>
      <c r="C643" s="9" t="n"/>
      <c r="D643" s="9" t="n"/>
      <c r="E643" s="9" t="n"/>
      <c r="F643" s="9" t="n"/>
      <c r="G643" s="10" t="n"/>
      <c r="H643" s="9" t="n"/>
      <c r="I643" s="9" t="n"/>
      <c r="J643" s="9" t="n"/>
      <c r="K643" s="9" t="n"/>
      <c r="L643">
        <f>IF($A643="","",IF($P643="Yes","Disputed / Review",IF($I643&lt;&gt;"Yes","Not Reimbursable",IF($M643&lt;=0.004,"Pending",IF($N643&lt;=0.004,"Reimbursed","Partially Reimbursed")))))</f>
        <v/>
      </c>
      <c r="M643" s="12">
        <f>IF($A643="",0,SUMIF('Family Contributions'!$I$4:$I$1003,$A643,'Family Contributions'!$G$4:$G$1003))</f>
        <v/>
      </c>
      <c r="N643" s="12">
        <f>IF($A643="",0,IF($I643="Yes",IF(ISNUMBER($G643),$G643,0)-$M643,0))</f>
        <v/>
      </c>
      <c r="O643" s="9" t="n"/>
      <c r="P643" s="9" t="n"/>
    </row>
    <row r="644">
      <c r="A644" s="9" t="n"/>
      <c r="B644" s="19" t="n"/>
      <c r="C644" s="9" t="n"/>
      <c r="D644" s="9" t="n"/>
      <c r="E644" s="9" t="n"/>
      <c r="F644" s="9" t="n"/>
      <c r="G644" s="10" t="n"/>
      <c r="H644" s="9" t="n"/>
      <c r="I644" s="9" t="n"/>
      <c r="J644" s="9" t="n"/>
      <c r="K644" s="9" t="n"/>
      <c r="L644">
        <f>IF($A644="","",IF($P644="Yes","Disputed / Review",IF($I644&lt;&gt;"Yes","Not Reimbursable",IF($M644&lt;=0.004,"Pending",IF($N644&lt;=0.004,"Reimbursed","Partially Reimbursed")))))</f>
        <v/>
      </c>
      <c r="M644" s="12">
        <f>IF($A644="",0,SUMIF('Family Contributions'!$I$4:$I$1003,$A644,'Family Contributions'!$G$4:$G$1003))</f>
        <v/>
      </c>
      <c r="N644" s="12">
        <f>IF($A644="",0,IF($I644="Yes",IF(ISNUMBER($G644),$G644,0)-$M644,0))</f>
        <v/>
      </c>
      <c r="O644" s="9" t="n"/>
      <c r="P644" s="9" t="n"/>
    </row>
    <row r="645">
      <c r="A645" s="9" t="n"/>
      <c r="B645" s="19" t="n"/>
      <c r="C645" s="9" t="n"/>
      <c r="D645" s="9" t="n"/>
      <c r="E645" s="9" t="n"/>
      <c r="F645" s="9" t="n"/>
      <c r="G645" s="10" t="n"/>
      <c r="H645" s="9" t="n"/>
      <c r="I645" s="9" t="n"/>
      <c r="J645" s="9" t="n"/>
      <c r="K645" s="9" t="n"/>
      <c r="L645">
        <f>IF($A645="","",IF($P645="Yes","Disputed / Review",IF($I645&lt;&gt;"Yes","Not Reimbursable",IF($M645&lt;=0.004,"Pending",IF($N645&lt;=0.004,"Reimbursed","Partially Reimbursed")))))</f>
        <v/>
      </c>
      <c r="M645" s="12">
        <f>IF($A645="",0,SUMIF('Family Contributions'!$I$4:$I$1003,$A645,'Family Contributions'!$G$4:$G$1003))</f>
        <v/>
      </c>
      <c r="N645" s="12">
        <f>IF($A645="",0,IF($I645="Yes",IF(ISNUMBER($G645),$G645,0)-$M645,0))</f>
        <v/>
      </c>
      <c r="O645" s="9" t="n"/>
      <c r="P645" s="9" t="n"/>
    </row>
    <row r="646">
      <c r="A646" s="9" t="n"/>
      <c r="B646" s="19" t="n"/>
      <c r="C646" s="9" t="n"/>
      <c r="D646" s="9" t="n"/>
      <c r="E646" s="9" t="n"/>
      <c r="F646" s="9" t="n"/>
      <c r="G646" s="10" t="n"/>
      <c r="H646" s="9" t="n"/>
      <c r="I646" s="9" t="n"/>
      <c r="J646" s="9" t="n"/>
      <c r="K646" s="9" t="n"/>
      <c r="L646">
        <f>IF($A646="","",IF($P646="Yes","Disputed / Review",IF($I646&lt;&gt;"Yes","Not Reimbursable",IF($M646&lt;=0.004,"Pending",IF($N646&lt;=0.004,"Reimbursed","Partially Reimbursed")))))</f>
        <v/>
      </c>
      <c r="M646" s="12">
        <f>IF($A646="",0,SUMIF('Family Contributions'!$I$4:$I$1003,$A646,'Family Contributions'!$G$4:$G$1003))</f>
        <v/>
      </c>
      <c r="N646" s="12">
        <f>IF($A646="",0,IF($I646="Yes",IF(ISNUMBER($G646),$G646,0)-$M646,0))</f>
        <v/>
      </c>
      <c r="O646" s="9" t="n"/>
      <c r="P646" s="9" t="n"/>
    </row>
    <row r="647">
      <c r="A647" s="9" t="n"/>
      <c r="B647" s="19" t="n"/>
      <c r="C647" s="9" t="n"/>
      <c r="D647" s="9" t="n"/>
      <c r="E647" s="9" t="n"/>
      <c r="F647" s="9" t="n"/>
      <c r="G647" s="10" t="n"/>
      <c r="H647" s="9" t="n"/>
      <c r="I647" s="9" t="n"/>
      <c r="J647" s="9" t="n"/>
      <c r="K647" s="9" t="n"/>
      <c r="L647">
        <f>IF($A647="","",IF($P647="Yes","Disputed / Review",IF($I647&lt;&gt;"Yes","Not Reimbursable",IF($M647&lt;=0.004,"Pending",IF($N647&lt;=0.004,"Reimbursed","Partially Reimbursed")))))</f>
        <v/>
      </c>
      <c r="M647" s="12">
        <f>IF($A647="",0,SUMIF('Family Contributions'!$I$4:$I$1003,$A647,'Family Contributions'!$G$4:$G$1003))</f>
        <v/>
      </c>
      <c r="N647" s="12">
        <f>IF($A647="",0,IF($I647="Yes",IF(ISNUMBER($G647),$G647,0)-$M647,0))</f>
        <v/>
      </c>
      <c r="O647" s="9" t="n"/>
      <c r="P647" s="9" t="n"/>
    </row>
    <row r="648">
      <c r="A648" s="9" t="n"/>
      <c r="B648" s="19" t="n"/>
      <c r="C648" s="9" t="n"/>
      <c r="D648" s="9" t="n"/>
      <c r="E648" s="9" t="n"/>
      <c r="F648" s="9" t="n"/>
      <c r="G648" s="10" t="n"/>
      <c r="H648" s="9" t="n"/>
      <c r="I648" s="9" t="n"/>
      <c r="J648" s="9" t="n"/>
      <c r="K648" s="9" t="n"/>
      <c r="L648">
        <f>IF($A648="","",IF($P648="Yes","Disputed / Review",IF($I648&lt;&gt;"Yes","Not Reimbursable",IF($M648&lt;=0.004,"Pending",IF($N648&lt;=0.004,"Reimbursed","Partially Reimbursed")))))</f>
        <v/>
      </c>
      <c r="M648" s="12">
        <f>IF($A648="",0,SUMIF('Family Contributions'!$I$4:$I$1003,$A648,'Family Contributions'!$G$4:$G$1003))</f>
        <v/>
      </c>
      <c r="N648" s="12">
        <f>IF($A648="",0,IF($I648="Yes",IF(ISNUMBER($G648),$G648,0)-$M648,0))</f>
        <v/>
      </c>
      <c r="O648" s="9" t="n"/>
      <c r="P648" s="9" t="n"/>
    </row>
    <row r="649">
      <c r="A649" s="9" t="n"/>
      <c r="B649" s="19" t="n"/>
      <c r="C649" s="9" t="n"/>
      <c r="D649" s="9" t="n"/>
      <c r="E649" s="9" t="n"/>
      <c r="F649" s="9" t="n"/>
      <c r="G649" s="10" t="n"/>
      <c r="H649" s="9" t="n"/>
      <c r="I649" s="9" t="n"/>
      <c r="J649" s="9" t="n"/>
      <c r="K649" s="9" t="n"/>
      <c r="L649">
        <f>IF($A649="","",IF($P649="Yes","Disputed / Review",IF($I649&lt;&gt;"Yes","Not Reimbursable",IF($M649&lt;=0.004,"Pending",IF($N649&lt;=0.004,"Reimbursed","Partially Reimbursed")))))</f>
        <v/>
      </c>
      <c r="M649" s="12">
        <f>IF($A649="",0,SUMIF('Family Contributions'!$I$4:$I$1003,$A649,'Family Contributions'!$G$4:$G$1003))</f>
        <v/>
      </c>
      <c r="N649" s="12">
        <f>IF($A649="",0,IF($I649="Yes",IF(ISNUMBER($G649),$G649,0)-$M649,0))</f>
        <v/>
      </c>
      <c r="O649" s="9" t="n"/>
      <c r="P649" s="9" t="n"/>
    </row>
    <row r="650">
      <c r="A650" s="9" t="n"/>
      <c r="B650" s="19" t="n"/>
      <c r="C650" s="9" t="n"/>
      <c r="D650" s="9" t="n"/>
      <c r="E650" s="9" t="n"/>
      <c r="F650" s="9" t="n"/>
      <c r="G650" s="10" t="n"/>
      <c r="H650" s="9" t="n"/>
      <c r="I650" s="9" t="n"/>
      <c r="J650" s="9" t="n"/>
      <c r="K650" s="9" t="n"/>
      <c r="L650">
        <f>IF($A650="","",IF($P650="Yes","Disputed / Review",IF($I650&lt;&gt;"Yes","Not Reimbursable",IF($M650&lt;=0.004,"Pending",IF($N650&lt;=0.004,"Reimbursed","Partially Reimbursed")))))</f>
        <v/>
      </c>
      <c r="M650" s="12">
        <f>IF($A650="",0,SUMIF('Family Contributions'!$I$4:$I$1003,$A650,'Family Contributions'!$G$4:$G$1003))</f>
        <v/>
      </c>
      <c r="N650" s="12">
        <f>IF($A650="",0,IF($I650="Yes",IF(ISNUMBER($G650),$G650,0)-$M650,0))</f>
        <v/>
      </c>
      <c r="O650" s="9" t="n"/>
      <c r="P650" s="9" t="n"/>
    </row>
    <row r="651">
      <c r="A651" s="9" t="n"/>
      <c r="B651" s="19" t="n"/>
      <c r="C651" s="9" t="n"/>
      <c r="D651" s="9" t="n"/>
      <c r="E651" s="9" t="n"/>
      <c r="F651" s="9" t="n"/>
      <c r="G651" s="10" t="n"/>
      <c r="H651" s="9" t="n"/>
      <c r="I651" s="9" t="n"/>
      <c r="J651" s="9" t="n"/>
      <c r="K651" s="9" t="n"/>
      <c r="L651">
        <f>IF($A651="","",IF($P651="Yes","Disputed / Review",IF($I651&lt;&gt;"Yes","Not Reimbursable",IF($M651&lt;=0.004,"Pending",IF($N651&lt;=0.004,"Reimbursed","Partially Reimbursed")))))</f>
        <v/>
      </c>
      <c r="M651" s="12">
        <f>IF($A651="",0,SUMIF('Family Contributions'!$I$4:$I$1003,$A651,'Family Contributions'!$G$4:$G$1003))</f>
        <v/>
      </c>
      <c r="N651" s="12">
        <f>IF($A651="",0,IF($I651="Yes",IF(ISNUMBER($G651),$G651,0)-$M651,0))</f>
        <v/>
      </c>
      <c r="O651" s="9" t="n"/>
      <c r="P651" s="9" t="n"/>
    </row>
    <row r="652">
      <c r="A652" s="9" t="n"/>
      <c r="B652" s="19" t="n"/>
      <c r="C652" s="9" t="n"/>
      <c r="D652" s="9" t="n"/>
      <c r="E652" s="9" t="n"/>
      <c r="F652" s="9" t="n"/>
      <c r="G652" s="10" t="n"/>
      <c r="H652" s="9" t="n"/>
      <c r="I652" s="9" t="n"/>
      <c r="J652" s="9" t="n"/>
      <c r="K652" s="9" t="n"/>
      <c r="L652">
        <f>IF($A652="","",IF($P652="Yes","Disputed / Review",IF($I652&lt;&gt;"Yes","Not Reimbursable",IF($M652&lt;=0.004,"Pending",IF($N652&lt;=0.004,"Reimbursed","Partially Reimbursed")))))</f>
        <v/>
      </c>
      <c r="M652" s="12">
        <f>IF($A652="",0,SUMIF('Family Contributions'!$I$4:$I$1003,$A652,'Family Contributions'!$G$4:$G$1003))</f>
        <v/>
      </c>
      <c r="N652" s="12">
        <f>IF($A652="",0,IF($I652="Yes",IF(ISNUMBER($G652),$G652,0)-$M652,0))</f>
        <v/>
      </c>
      <c r="O652" s="9" t="n"/>
      <c r="P652" s="9" t="n"/>
    </row>
    <row r="653">
      <c r="A653" s="9" t="n"/>
      <c r="B653" s="19" t="n"/>
      <c r="C653" s="9" t="n"/>
      <c r="D653" s="9" t="n"/>
      <c r="E653" s="9" t="n"/>
      <c r="F653" s="9" t="n"/>
      <c r="G653" s="10" t="n"/>
      <c r="H653" s="9" t="n"/>
      <c r="I653" s="9" t="n"/>
      <c r="J653" s="9" t="n"/>
      <c r="K653" s="9" t="n"/>
      <c r="L653">
        <f>IF($A653="","",IF($P653="Yes","Disputed / Review",IF($I653&lt;&gt;"Yes","Not Reimbursable",IF($M653&lt;=0.004,"Pending",IF($N653&lt;=0.004,"Reimbursed","Partially Reimbursed")))))</f>
        <v/>
      </c>
      <c r="M653" s="12">
        <f>IF($A653="",0,SUMIF('Family Contributions'!$I$4:$I$1003,$A653,'Family Contributions'!$G$4:$G$1003))</f>
        <v/>
      </c>
      <c r="N653" s="12">
        <f>IF($A653="",0,IF($I653="Yes",IF(ISNUMBER($G653),$G653,0)-$M653,0))</f>
        <v/>
      </c>
      <c r="O653" s="9" t="n"/>
      <c r="P653" s="9" t="n"/>
    </row>
    <row r="654">
      <c r="A654" s="9" t="n"/>
      <c r="B654" s="19" t="n"/>
      <c r="C654" s="9" t="n"/>
      <c r="D654" s="9" t="n"/>
      <c r="E654" s="9" t="n"/>
      <c r="F654" s="9" t="n"/>
      <c r="G654" s="10" t="n"/>
      <c r="H654" s="9" t="n"/>
      <c r="I654" s="9" t="n"/>
      <c r="J654" s="9" t="n"/>
      <c r="K654" s="9" t="n"/>
      <c r="L654">
        <f>IF($A654="","",IF($P654="Yes","Disputed / Review",IF($I654&lt;&gt;"Yes","Not Reimbursable",IF($M654&lt;=0.004,"Pending",IF($N654&lt;=0.004,"Reimbursed","Partially Reimbursed")))))</f>
        <v/>
      </c>
      <c r="M654" s="12">
        <f>IF($A654="",0,SUMIF('Family Contributions'!$I$4:$I$1003,$A654,'Family Contributions'!$G$4:$G$1003))</f>
        <v/>
      </c>
      <c r="N654" s="12">
        <f>IF($A654="",0,IF($I654="Yes",IF(ISNUMBER($G654),$G654,0)-$M654,0))</f>
        <v/>
      </c>
      <c r="O654" s="9" t="n"/>
      <c r="P654" s="9" t="n"/>
    </row>
    <row r="655">
      <c r="A655" s="9" t="n"/>
      <c r="B655" s="19" t="n"/>
      <c r="C655" s="9" t="n"/>
      <c r="D655" s="9" t="n"/>
      <c r="E655" s="9" t="n"/>
      <c r="F655" s="9" t="n"/>
      <c r="G655" s="10" t="n"/>
      <c r="H655" s="9" t="n"/>
      <c r="I655" s="9" t="n"/>
      <c r="J655" s="9" t="n"/>
      <c r="K655" s="9" t="n"/>
      <c r="L655">
        <f>IF($A655="","",IF($P655="Yes","Disputed / Review",IF($I655&lt;&gt;"Yes","Not Reimbursable",IF($M655&lt;=0.004,"Pending",IF($N655&lt;=0.004,"Reimbursed","Partially Reimbursed")))))</f>
        <v/>
      </c>
      <c r="M655" s="12">
        <f>IF($A655="",0,SUMIF('Family Contributions'!$I$4:$I$1003,$A655,'Family Contributions'!$G$4:$G$1003))</f>
        <v/>
      </c>
      <c r="N655" s="12">
        <f>IF($A655="",0,IF($I655="Yes",IF(ISNUMBER($G655),$G655,0)-$M655,0))</f>
        <v/>
      </c>
      <c r="O655" s="9" t="n"/>
      <c r="P655" s="9" t="n"/>
    </row>
    <row r="656">
      <c r="A656" s="9" t="n"/>
      <c r="B656" s="19" t="n"/>
      <c r="C656" s="9" t="n"/>
      <c r="D656" s="9" t="n"/>
      <c r="E656" s="9" t="n"/>
      <c r="F656" s="9" t="n"/>
      <c r="G656" s="10" t="n"/>
      <c r="H656" s="9" t="n"/>
      <c r="I656" s="9" t="n"/>
      <c r="J656" s="9" t="n"/>
      <c r="K656" s="9" t="n"/>
      <c r="L656">
        <f>IF($A656="","",IF($P656="Yes","Disputed / Review",IF($I656&lt;&gt;"Yes","Not Reimbursable",IF($M656&lt;=0.004,"Pending",IF($N656&lt;=0.004,"Reimbursed","Partially Reimbursed")))))</f>
        <v/>
      </c>
      <c r="M656" s="12">
        <f>IF($A656="",0,SUMIF('Family Contributions'!$I$4:$I$1003,$A656,'Family Contributions'!$G$4:$G$1003))</f>
        <v/>
      </c>
      <c r="N656" s="12">
        <f>IF($A656="",0,IF($I656="Yes",IF(ISNUMBER($G656),$G656,0)-$M656,0))</f>
        <v/>
      </c>
      <c r="O656" s="9" t="n"/>
      <c r="P656" s="9" t="n"/>
    </row>
    <row r="657">
      <c r="A657" s="9" t="n"/>
      <c r="B657" s="19" t="n"/>
      <c r="C657" s="9" t="n"/>
      <c r="D657" s="9" t="n"/>
      <c r="E657" s="9" t="n"/>
      <c r="F657" s="9" t="n"/>
      <c r="G657" s="10" t="n"/>
      <c r="H657" s="9" t="n"/>
      <c r="I657" s="9" t="n"/>
      <c r="J657" s="9" t="n"/>
      <c r="K657" s="9" t="n"/>
      <c r="L657">
        <f>IF($A657="","",IF($P657="Yes","Disputed / Review",IF($I657&lt;&gt;"Yes","Not Reimbursable",IF($M657&lt;=0.004,"Pending",IF($N657&lt;=0.004,"Reimbursed","Partially Reimbursed")))))</f>
        <v/>
      </c>
      <c r="M657" s="12">
        <f>IF($A657="",0,SUMIF('Family Contributions'!$I$4:$I$1003,$A657,'Family Contributions'!$G$4:$G$1003))</f>
        <v/>
      </c>
      <c r="N657" s="12">
        <f>IF($A657="",0,IF($I657="Yes",IF(ISNUMBER($G657),$G657,0)-$M657,0))</f>
        <v/>
      </c>
      <c r="O657" s="9" t="n"/>
      <c r="P657" s="9" t="n"/>
    </row>
    <row r="658">
      <c r="A658" s="9" t="n"/>
      <c r="B658" s="19" t="n"/>
      <c r="C658" s="9" t="n"/>
      <c r="D658" s="9" t="n"/>
      <c r="E658" s="9" t="n"/>
      <c r="F658" s="9" t="n"/>
      <c r="G658" s="10" t="n"/>
      <c r="H658" s="9" t="n"/>
      <c r="I658" s="9" t="n"/>
      <c r="J658" s="9" t="n"/>
      <c r="K658" s="9" t="n"/>
      <c r="L658">
        <f>IF($A658="","",IF($P658="Yes","Disputed / Review",IF($I658&lt;&gt;"Yes","Not Reimbursable",IF($M658&lt;=0.004,"Pending",IF($N658&lt;=0.004,"Reimbursed","Partially Reimbursed")))))</f>
        <v/>
      </c>
      <c r="M658" s="12">
        <f>IF($A658="",0,SUMIF('Family Contributions'!$I$4:$I$1003,$A658,'Family Contributions'!$G$4:$G$1003))</f>
        <v/>
      </c>
      <c r="N658" s="12">
        <f>IF($A658="",0,IF($I658="Yes",IF(ISNUMBER($G658),$G658,0)-$M658,0))</f>
        <v/>
      </c>
      <c r="O658" s="9" t="n"/>
      <c r="P658" s="9" t="n"/>
    </row>
    <row r="659">
      <c r="A659" s="9" t="n"/>
      <c r="B659" s="19" t="n"/>
      <c r="C659" s="9" t="n"/>
      <c r="D659" s="9" t="n"/>
      <c r="E659" s="9" t="n"/>
      <c r="F659" s="9" t="n"/>
      <c r="G659" s="10" t="n"/>
      <c r="H659" s="9" t="n"/>
      <c r="I659" s="9" t="n"/>
      <c r="J659" s="9" t="n"/>
      <c r="K659" s="9" t="n"/>
      <c r="L659">
        <f>IF($A659="","",IF($P659="Yes","Disputed / Review",IF($I659&lt;&gt;"Yes","Not Reimbursable",IF($M659&lt;=0.004,"Pending",IF($N659&lt;=0.004,"Reimbursed","Partially Reimbursed")))))</f>
        <v/>
      </c>
      <c r="M659" s="12">
        <f>IF($A659="",0,SUMIF('Family Contributions'!$I$4:$I$1003,$A659,'Family Contributions'!$G$4:$G$1003))</f>
        <v/>
      </c>
      <c r="N659" s="12">
        <f>IF($A659="",0,IF($I659="Yes",IF(ISNUMBER($G659),$G659,0)-$M659,0))</f>
        <v/>
      </c>
      <c r="O659" s="9" t="n"/>
      <c r="P659" s="9" t="n"/>
    </row>
    <row r="660">
      <c r="A660" s="9" t="n"/>
      <c r="B660" s="19" t="n"/>
      <c r="C660" s="9" t="n"/>
      <c r="D660" s="9" t="n"/>
      <c r="E660" s="9" t="n"/>
      <c r="F660" s="9" t="n"/>
      <c r="G660" s="10" t="n"/>
      <c r="H660" s="9" t="n"/>
      <c r="I660" s="9" t="n"/>
      <c r="J660" s="9" t="n"/>
      <c r="K660" s="9" t="n"/>
      <c r="L660">
        <f>IF($A660="","",IF($P660="Yes","Disputed / Review",IF($I660&lt;&gt;"Yes","Not Reimbursable",IF($M660&lt;=0.004,"Pending",IF($N660&lt;=0.004,"Reimbursed","Partially Reimbursed")))))</f>
        <v/>
      </c>
      <c r="M660" s="12">
        <f>IF($A660="",0,SUMIF('Family Contributions'!$I$4:$I$1003,$A660,'Family Contributions'!$G$4:$G$1003))</f>
        <v/>
      </c>
      <c r="N660" s="12">
        <f>IF($A660="",0,IF($I660="Yes",IF(ISNUMBER($G660),$G660,0)-$M660,0))</f>
        <v/>
      </c>
      <c r="O660" s="9" t="n"/>
      <c r="P660" s="9" t="n"/>
    </row>
    <row r="661">
      <c r="A661" s="9" t="n"/>
      <c r="B661" s="19" t="n"/>
      <c r="C661" s="9" t="n"/>
      <c r="D661" s="9" t="n"/>
      <c r="E661" s="9" t="n"/>
      <c r="F661" s="9" t="n"/>
      <c r="G661" s="10" t="n"/>
      <c r="H661" s="9" t="n"/>
      <c r="I661" s="9" t="n"/>
      <c r="J661" s="9" t="n"/>
      <c r="K661" s="9" t="n"/>
      <c r="L661">
        <f>IF($A661="","",IF($P661="Yes","Disputed / Review",IF($I661&lt;&gt;"Yes","Not Reimbursable",IF($M661&lt;=0.004,"Pending",IF($N661&lt;=0.004,"Reimbursed","Partially Reimbursed")))))</f>
        <v/>
      </c>
      <c r="M661" s="12">
        <f>IF($A661="",0,SUMIF('Family Contributions'!$I$4:$I$1003,$A661,'Family Contributions'!$G$4:$G$1003))</f>
        <v/>
      </c>
      <c r="N661" s="12">
        <f>IF($A661="",0,IF($I661="Yes",IF(ISNUMBER($G661),$G661,0)-$M661,0))</f>
        <v/>
      </c>
      <c r="O661" s="9" t="n"/>
      <c r="P661" s="9" t="n"/>
    </row>
    <row r="662">
      <c r="A662" s="9" t="n"/>
      <c r="B662" s="19" t="n"/>
      <c r="C662" s="9" t="n"/>
      <c r="D662" s="9" t="n"/>
      <c r="E662" s="9" t="n"/>
      <c r="F662" s="9" t="n"/>
      <c r="G662" s="10" t="n"/>
      <c r="H662" s="9" t="n"/>
      <c r="I662" s="9" t="n"/>
      <c r="J662" s="9" t="n"/>
      <c r="K662" s="9" t="n"/>
      <c r="L662">
        <f>IF($A662="","",IF($P662="Yes","Disputed / Review",IF($I662&lt;&gt;"Yes","Not Reimbursable",IF($M662&lt;=0.004,"Pending",IF($N662&lt;=0.004,"Reimbursed","Partially Reimbursed")))))</f>
        <v/>
      </c>
      <c r="M662" s="12">
        <f>IF($A662="",0,SUMIF('Family Contributions'!$I$4:$I$1003,$A662,'Family Contributions'!$G$4:$G$1003))</f>
        <v/>
      </c>
      <c r="N662" s="12">
        <f>IF($A662="",0,IF($I662="Yes",IF(ISNUMBER($G662),$G662,0)-$M662,0))</f>
        <v/>
      </c>
      <c r="O662" s="9" t="n"/>
      <c r="P662" s="9" t="n"/>
    </row>
    <row r="663">
      <c r="A663" s="9" t="n"/>
      <c r="B663" s="19" t="n"/>
      <c r="C663" s="9" t="n"/>
      <c r="D663" s="9" t="n"/>
      <c r="E663" s="9" t="n"/>
      <c r="F663" s="9" t="n"/>
      <c r="G663" s="10" t="n"/>
      <c r="H663" s="9" t="n"/>
      <c r="I663" s="9" t="n"/>
      <c r="J663" s="9" t="n"/>
      <c r="K663" s="9" t="n"/>
      <c r="L663">
        <f>IF($A663="","",IF($P663="Yes","Disputed / Review",IF($I663&lt;&gt;"Yes","Not Reimbursable",IF($M663&lt;=0.004,"Pending",IF($N663&lt;=0.004,"Reimbursed","Partially Reimbursed")))))</f>
        <v/>
      </c>
      <c r="M663" s="12">
        <f>IF($A663="",0,SUMIF('Family Contributions'!$I$4:$I$1003,$A663,'Family Contributions'!$G$4:$G$1003))</f>
        <v/>
      </c>
      <c r="N663" s="12">
        <f>IF($A663="",0,IF($I663="Yes",IF(ISNUMBER($G663),$G663,0)-$M663,0))</f>
        <v/>
      </c>
      <c r="O663" s="9" t="n"/>
      <c r="P663" s="9" t="n"/>
    </row>
    <row r="664">
      <c r="A664" s="9" t="n"/>
      <c r="B664" s="19" t="n"/>
      <c r="C664" s="9" t="n"/>
      <c r="D664" s="9" t="n"/>
      <c r="E664" s="9" t="n"/>
      <c r="F664" s="9" t="n"/>
      <c r="G664" s="10" t="n"/>
      <c r="H664" s="9" t="n"/>
      <c r="I664" s="9" t="n"/>
      <c r="J664" s="9" t="n"/>
      <c r="K664" s="9" t="n"/>
      <c r="L664">
        <f>IF($A664="","",IF($P664="Yes","Disputed / Review",IF($I664&lt;&gt;"Yes","Not Reimbursable",IF($M664&lt;=0.004,"Pending",IF($N664&lt;=0.004,"Reimbursed","Partially Reimbursed")))))</f>
        <v/>
      </c>
      <c r="M664" s="12">
        <f>IF($A664="",0,SUMIF('Family Contributions'!$I$4:$I$1003,$A664,'Family Contributions'!$G$4:$G$1003))</f>
        <v/>
      </c>
      <c r="N664" s="12">
        <f>IF($A664="",0,IF($I664="Yes",IF(ISNUMBER($G664),$G664,0)-$M664,0))</f>
        <v/>
      </c>
      <c r="O664" s="9" t="n"/>
      <c r="P664" s="9" t="n"/>
    </row>
    <row r="665">
      <c r="A665" s="9" t="n"/>
      <c r="B665" s="19" t="n"/>
      <c r="C665" s="9" t="n"/>
      <c r="D665" s="9" t="n"/>
      <c r="E665" s="9" t="n"/>
      <c r="F665" s="9" t="n"/>
      <c r="G665" s="10" t="n"/>
      <c r="H665" s="9" t="n"/>
      <c r="I665" s="9" t="n"/>
      <c r="J665" s="9" t="n"/>
      <c r="K665" s="9" t="n"/>
      <c r="L665">
        <f>IF($A665="","",IF($P665="Yes","Disputed / Review",IF($I665&lt;&gt;"Yes","Not Reimbursable",IF($M665&lt;=0.004,"Pending",IF($N665&lt;=0.004,"Reimbursed","Partially Reimbursed")))))</f>
        <v/>
      </c>
      <c r="M665" s="12">
        <f>IF($A665="",0,SUMIF('Family Contributions'!$I$4:$I$1003,$A665,'Family Contributions'!$G$4:$G$1003))</f>
        <v/>
      </c>
      <c r="N665" s="12">
        <f>IF($A665="",0,IF($I665="Yes",IF(ISNUMBER($G665),$G665,0)-$M665,0))</f>
        <v/>
      </c>
      <c r="O665" s="9" t="n"/>
      <c r="P665" s="9" t="n"/>
    </row>
    <row r="666">
      <c r="A666" s="9" t="n"/>
      <c r="B666" s="19" t="n"/>
      <c r="C666" s="9" t="n"/>
      <c r="D666" s="9" t="n"/>
      <c r="E666" s="9" t="n"/>
      <c r="F666" s="9" t="n"/>
      <c r="G666" s="10" t="n"/>
      <c r="H666" s="9" t="n"/>
      <c r="I666" s="9" t="n"/>
      <c r="J666" s="9" t="n"/>
      <c r="K666" s="9" t="n"/>
      <c r="L666">
        <f>IF($A666="","",IF($P666="Yes","Disputed / Review",IF($I666&lt;&gt;"Yes","Not Reimbursable",IF($M666&lt;=0.004,"Pending",IF($N666&lt;=0.004,"Reimbursed","Partially Reimbursed")))))</f>
        <v/>
      </c>
      <c r="M666" s="12">
        <f>IF($A666="",0,SUMIF('Family Contributions'!$I$4:$I$1003,$A666,'Family Contributions'!$G$4:$G$1003))</f>
        <v/>
      </c>
      <c r="N666" s="12">
        <f>IF($A666="",0,IF($I666="Yes",IF(ISNUMBER($G666),$G666,0)-$M666,0))</f>
        <v/>
      </c>
      <c r="O666" s="9" t="n"/>
      <c r="P666" s="9" t="n"/>
    </row>
    <row r="667">
      <c r="A667" s="9" t="n"/>
      <c r="B667" s="19" t="n"/>
      <c r="C667" s="9" t="n"/>
      <c r="D667" s="9" t="n"/>
      <c r="E667" s="9" t="n"/>
      <c r="F667" s="9" t="n"/>
      <c r="G667" s="10" t="n"/>
      <c r="H667" s="9" t="n"/>
      <c r="I667" s="9" t="n"/>
      <c r="J667" s="9" t="n"/>
      <c r="K667" s="9" t="n"/>
      <c r="L667">
        <f>IF($A667="","",IF($P667="Yes","Disputed / Review",IF($I667&lt;&gt;"Yes","Not Reimbursable",IF($M667&lt;=0.004,"Pending",IF($N667&lt;=0.004,"Reimbursed","Partially Reimbursed")))))</f>
        <v/>
      </c>
      <c r="M667" s="12">
        <f>IF($A667="",0,SUMIF('Family Contributions'!$I$4:$I$1003,$A667,'Family Contributions'!$G$4:$G$1003))</f>
        <v/>
      </c>
      <c r="N667" s="12">
        <f>IF($A667="",0,IF($I667="Yes",IF(ISNUMBER($G667),$G667,0)-$M667,0))</f>
        <v/>
      </c>
      <c r="O667" s="9" t="n"/>
      <c r="P667" s="9" t="n"/>
    </row>
    <row r="668">
      <c r="A668" s="9" t="n"/>
      <c r="B668" s="19" t="n"/>
      <c r="C668" s="9" t="n"/>
      <c r="D668" s="9" t="n"/>
      <c r="E668" s="9" t="n"/>
      <c r="F668" s="9" t="n"/>
      <c r="G668" s="10" t="n"/>
      <c r="H668" s="9" t="n"/>
      <c r="I668" s="9" t="n"/>
      <c r="J668" s="9" t="n"/>
      <c r="K668" s="9" t="n"/>
      <c r="L668">
        <f>IF($A668="","",IF($P668="Yes","Disputed / Review",IF($I668&lt;&gt;"Yes","Not Reimbursable",IF($M668&lt;=0.004,"Pending",IF($N668&lt;=0.004,"Reimbursed","Partially Reimbursed")))))</f>
        <v/>
      </c>
      <c r="M668" s="12">
        <f>IF($A668="",0,SUMIF('Family Contributions'!$I$4:$I$1003,$A668,'Family Contributions'!$G$4:$G$1003))</f>
        <v/>
      </c>
      <c r="N668" s="12">
        <f>IF($A668="",0,IF($I668="Yes",IF(ISNUMBER($G668),$G668,0)-$M668,0))</f>
        <v/>
      </c>
      <c r="O668" s="9" t="n"/>
      <c r="P668" s="9" t="n"/>
    </row>
    <row r="669">
      <c r="A669" s="9" t="n"/>
      <c r="B669" s="19" t="n"/>
      <c r="C669" s="9" t="n"/>
      <c r="D669" s="9" t="n"/>
      <c r="E669" s="9" t="n"/>
      <c r="F669" s="9" t="n"/>
      <c r="G669" s="10" t="n"/>
      <c r="H669" s="9" t="n"/>
      <c r="I669" s="9" t="n"/>
      <c r="J669" s="9" t="n"/>
      <c r="K669" s="9" t="n"/>
      <c r="L669">
        <f>IF($A669="","",IF($P669="Yes","Disputed / Review",IF($I669&lt;&gt;"Yes","Not Reimbursable",IF($M669&lt;=0.004,"Pending",IF($N669&lt;=0.004,"Reimbursed","Partially Reimbursed")))))</f>
        <v/>
      </c>
      <c r="M669" s="12">
        <f>IF($A669="",0,SUMIF('Family Contributions'!$I$4:$I$1003,$A669,'Family Contributions'!$G$4:$G$1003))</f>
        <v/>
      </c>
      <c r="N669" s="12">
        <f>IF($A669="",0,IF($I669="Yes",IF(ISNUMBER($G669),$G669,0)-$M669,0))</f>
        <v/>
      </c>
      <c r="O669" s="9" t="n"/>
      <c r="P669" s="9" t="n"/>
    </row>
    <row r="670">
      <c r="A670" s="9" t="n"/>
      <c r="B670" s="19" t="n"/>
      <c r="C670" s="9" t="n"/>
      <c r="D670" s="9" t="n"/>
      <c r="E670" s="9" t="n"/>
      <c r="F670" s="9" t="n"/>
      <c r="G670" s="10" t="n"/>
      <c r="H670" s="9" t="n"/>
      <c r="I670" s="9" t="n"/>
      <c r="J670" s="9" t="n"/>
      <c r="K670" s="9" t="n"/>
      <c r="L670">
        <f>IF($A670="","",IF($P670="Yes","Disputed / Review",IF($I670&lt;&gt;"Yes","Not Reimbursable",IF($M670&lt;=0.004,"Pending",IF($N670&lt;=0.004,"Reimbursed","Partially Reimbursed")))))</f>
        <v/>
      </c>
      <c r="M670" s="12">
        <f>IF($A670="",0,SUMIF('Family Contributions'!$I$4:$I$1003,$A670,'Family Contributions'!$G$4:$G$1003))</f>
        <v/>
      </c>
      <c r="N670" s="12">
        <f>IF($A670="",0,IF($I670="Yes",IF(ISNUMBER($G670),$G670,0)-$M670,0))</f>
        <v/>
      </c>
      <c r="O670" s="9" t="n"/>
      <c r="P670" s="9" t="n"/>
    </row>
    <row r="671">
      <c r="A671" s="9" t="n"/>
      <c r="B671" s="19" t="n"/>
      <c r="C671" s="9" t="n"/>
      <c r="D671" s="9" t="n"/>
      <c r="E671" s="9" t="n"/>
      <c r="F671" s="9" t="n"/>
      <c r="G671" s="10" t="n"/>
      <c r="H671" s="9" t="n"/>
      <c r="I671" s="9" t="n"/>
      <c r="J671" s="9" t="n"/>
      <c r="K671" s="9" t="n"/>
      <c r="L671">
        <f>IF($A671="","",IF($P671="Yes","Disputed / Review",IF($I671&lt;&gt;"Yes","Not Reimbursable",IF($M671&lt;=0.004,"Pending",IF($N671&lt;=0.004,"Reimbursed","Partially Reimbursed")))))</f>
        <v/>
      </c>
      <c r="M671" s="12">
        <f>IF($A671="",0,SUMIF('Family Contributions'!$I$4:$I$1003,$A671,'Family Contributions'!$G$4:$G$1003))</f>
        <v/>
      </c>
      <c r="N671" s="12">
        <f>IF($A671="",0,IF($I671="Yes",IF(ISNUMBER($G671),$G671,0)-$M671,0))</f>
        <v/>
      </c>
      <c r="O671" s="9" t="n"/>
      <c r="P671" s="9" t="n"/>
    </row>
    <row r="672">
      <c r="A672" s="9" t="n"/>
      <c r="B672" s="19" t="n"/>
      <c r="C672" s="9" t="n"/>
      <c r="D672" s="9" t="n"/>
      <c r="E672" s="9" t="n"/>
      <c r="F672" s="9" t="n"/>
      <c r="G672" s="10" t="n"/>
      <c r="H672" s="9" t="n"/>
      <c r="I672" s="9" t="n"/>
      <c r="J672" s="9" t="n"/>
      <c r="K672" s="9" t="n"/>
      <c r="L672">
        <f>IF($A672="","",IF($P672="Yes","Disputed / Review",IF($I672&lt;&gt;"Yes","Not Reimbursable",IF($M672&lt;=0.004,"Pending",IF($N672&lt;=0.004,"Reimbursed","Partially Reimbursed")))))</f>
        <v/>
      </c>
      <c r="M672" s="12">
        <f>IF($A672="",0,SUMIF('Family Contributions'!$I$4:$I$1003,$A672,'Family Contributions'!$G$4:$G$1003))</f>
        <v/>
      </c>
      <c r="N672" s="12">
        <f>IF($A672="",0,IF($I672="Yes",IF(ISNUMBER($G672),$G672,0)-$M672,0))</f>
        <v/>
      </c>
      <c r="O672" s="9" t="n"/>
      <c r="P672" s="9" t="n"/>
    </row>
    <row r="673">
      <c r="A673" s="9" t="n"/>
      <c r="B673" s="19" t="n"/>
      <c r="C673" s="9" t="n"/>
      <c r="D673" s="9" t="n"/>
      <c r="E673" s="9" t="n"/>
      <c r="F673" s="9" t="n"/>
      <c r="G673" s="10" t="n"/>
      <c r="H673" s="9" t="n"/>
      <c r="I673" s="9" t="n"/>
      <c r="J673" s="9" t="n"/>
      <c r="K673" s="9" t="n"/>
      <c r="L673">
        <f>IF($A673="","",IF($P673="Yes","Disputed / Review",IF($I673&lt;&gt;"Yes","Not Reimbursable",IF($M673&lt;=0.004,"Pending",IF($N673&lt;=0.004,"Reimbursed","Partially Reimbursed")))))</f>
        <v/>
      </c>
      <c r="M673" s="12">
        <f>IF($A673="",0,SUMIF('Family Contributions'!$I$4:$I$1003,$A673,'Family Contributions'!$G$4:$G$1003))</f>
        <v/>
      </c>
      <c r="N673" s="12">
        <f>IF($A673="",0,IF($I673="Yes",IF(ISNUMBER($G673),$G673,0)-$M673,0))</f>
        <v/>
      </c>
      <c r="O673" s="9" t="n"/>
      <c r="P673" s="9" t="n"/>
    </row>
    <row r="674">
      <c r="A674" s="9" t="n"/>
      <c r="B674" s="19" t="n"/>
      <c r="C674" s="9" t="n"/>
      <c r="D674" s="9" t="n"/>
      <c r="E674" s="9" t="n"/>
      <c r="F674" s="9" t="n"/>
      <c r="G674" s="10" t="n"/>
      <c r="H674" s="9" t="n"/>
      <c r="I674" s="9" t="n"/>
      <c r="J674" s="9" t="n"/>
      <c r="K674" s="9" t="n"/>
      <c r="L674">
        <f>IF($A674="","",IF($P674="Yes","Disputed / Review",IF($I674&lt;&gt;"Yes","Not Reimbursable",IF($M674&lt;=0.004,"Pending",IF($N674&lt;=0.004,"Reimbursed","Partially Reimbursed")))))</f>
        <v/>
      </c>
      <c r="M674" s="12">
        <f>IF($A674="",0,SUMIF('Family Contributions'!$I$4:$I$1003,$A674,'Family Contributions'!$G$4:$G$1003))</f>
        <v/>
      </c>
      <c r="N674" s="12">
        <f>IF($A674="",0,IF($I674="Yes",IF(ISNUMBER($G674),$G674,0)-$M674,0))</f>
        <v/>
      </c>
      <c r="O674" s="9" t="n"/>
      <c r="P674" s="9" t="n"/>
    </row>
    <row r="675">
      <c r="A675" s="9" t="n"/>
      <c r="B675" s="19" t="n"/>
      <c r="C675" s="9" t="n"/>
      <c r="D675" s="9" t="n"/>
      <c r="E675" s="9" t="n"/>
      <c r="F675" s="9" t="n"/>
      <c r="G675" s="10" t="n"/>
      <c r="H675" s="9" t="n"/>
      <c r="I675" s="9" t="n"/>
      <c r="J675" s="9" t="n"/>
      <c r="K675" s="9" t="n"/>
      <c r="L675">
        <f>IF($A675="","",IF($P675="Yes","Disputed / Review",IF($I675&lt;&gt;"Yes","Not Reimbursable",IF($M675&lt;=0.004,"Pending",IF($N675&lt;=0.004,"Reimbursed","Partially Reimbursed")))))</f>
        <v/>
      </c>
      <c r="M675" s="12">
        <f>IF($A675="",0,SUMIF('Family Contributions'!$I$4:$I$1003,$A675,'Family Contributions'!$G$4:$G$1003))</f>
        <v/>
      </c>
      <c r="N675" s="12">
        <f>IF($A675="",0,IF($I675="Yes",IF(ISNUMBER($G675),$G675,0)-$M675,0))</f>
        <v/>
      </c>
      <c r="O675" s="9" t="n"/>
      <c r="P675" s="9" t="n"/>
    </row>
    <row r="676">
      <c r="A676" s="9" t="n"/>
      <c r="B676" s="19" t="n"/>
      <c r="C676" s="9" t="n"/>
      <c r="D676" s="9" t="n"/>
      <c r="E676" s="9" t="n"/>
      <c r="F676" s="9" t="n"/>
      <c r="G676" s="10" t="n"/>
      <c r="H676" s="9" t="n"/>
      <c r="I676" s="9" t="n"/>
      <c r="J676" s="9" t="n"/>
      <c r="K676" s="9" t="n"/>
      <c r="L676">
        <f>IF($A676="","",IF($P676="Yes","Disputed / Review",IF($I676&lt;&gt;"Yes","Not Reimbursable",IF($M676&lt;=0.004,"Pending",IF($N676&lt;=0.004,"Reimbursed","Partially Reimbursed")))))</f>
        <v/>
      </c>
      <c r="M676" s="12">
        <f>IF($A676="",0,SUMIF('Family Contributions'!$I$4:$I$1003,$A676,'Family Contributions'!$G$4:$G$1003))</f>
        <v/>
      </c>
      <c r="N676" s="12">
        <f>IF($A676="",0,IF($I676="Yes",IF(ISNUMBER($G676),$G676,0)-$M676,0))</f>
        <v/>
      </c>
      <c r="O676" s="9" t="n"/>
      <c r="P676" s="9" t="n"/>
    </row>
    <row r="677">
      <c r="A677" s="9" t="n"/>
      <c r="B677" s="19" t="n"/>
      <c r="C677" s="9" t="n"/>
      <c r="D677" s="9" t="n"/>
      <c r="E677" s="9" t="n"/>
      <c r="F677" s="9" t="n"/>
      <c r="G677" s="10" t="n"/>
      <c r="H677" s="9" t="n"/>
      <c r="I677" s="9" t="n"/>
      <c r="J677" s="9" t="n"/>
      <c r="K677" s="9" t="n"/>
      <c r="L677">
        <f>IF($A677="","",IF($P677="Yes","Disputed / Review",IF($I677&lt;&gt;"Yes","Not Reimbursable",IF($M677&lt;=0.004,"Pending",IF($N677&lt;=0.004,"Reimbursed","Partially Reimbursed")))))</f>
        <v/>
      </c>
      <c r="M677" s="12">
        <f>IF($A677="",0,SUMIF('Family Contributions'!$I$4:$I$1003,$A677,'Family Contributions'!$G$4:$G$1003))</f>
        <v/>
      </c>
      <c r="N677" s="12">
        <f>IF($A677="",0,IF($I677="Yes",IF(ISNUMBER($G677),$G677,0)-$M677,0))</f>
        <v/>
      </c>
      <c r="O677" s="9" t="n"/>
      <c r="P677" s="9" t="n"/>
    </row>
    <row r="678">
      <c r="A678" s="9" t="n"/>
      <c r="B678" s="19" t="n"/>
      <c r="C678" s="9" t="n"/>
      <c r="D678" s="9" t="n"/>
      <c r="E678" s="9" t="n"/>
      <c r="F678" s="9" t="n"/>
      <c r="G678" s="10" t="n"/>
      <c r="H678" s="9" t="n"/>
      <c r="I678" s="9" t="n"/>
      <c r="J678" s="9" t="n"/>
      <c r="K678" s="9" t="n"/>
      <c r="L678">
        <f>IF($A678="","",IF($P678="Yes","Disputed / Review",IF($I678&lt;&gt;"Yes","Not Reimbursable",IF($M678&lt;=0.004,"Pending",IF($N678&lt;=0.004,"Reimbursed","Partially Reimbursed")))))</f>
        <v/>
      </c>
      <c r="M678" s="12">
        <f>IF($A678="",0,SUMIF('Family Contributions'!$I$4:$I$1003,$A678,'Family Contributions'!$G$4:$G$1003))</f>
        <v/>
      </c>
      <c r="N678" s="12">
        <f>IF($A678="",0,IF($I678="Yes",IF(ISNUMBER($G678),$G678,0)-$M678,0))</f>
        <v/>
      </c>
      <c r="O678" s="9" t="n"/>
      <c r="P678" s="9" t="n"/>
    </row>
    <row r="679">
      <c r="A679" s="9" t="n"/>
      <c r="B679" s="19" t="n"/>
      <c r="C679" s="9" t="n"/>
      <c r="D679" s="9" t="n"/>
      <c r="E679" s="9" t="n"/>
      <c r="F679" s="9" t="n"/>
      <c r="G679" s="10" t="n"/>
      <c r="H679" s="9" t="n"/>
      <c r="I679" s="9" t="n"/>
      <c r="J679" s="9" t="n"/>
      <c r="K679" s="9" t="n"/>
      <c r="L679">
        <f>IF($A679="","",IF($P679="Yes","Disputed / Review",IF($I679&lt;&gt;"Yes","Not Reimbursable",IF($M679&lt;=0.004,"Pending",IF($N679&lt;=0.004,"Reimbursed","Partially Reimbursed")))))</f>
        <v/>
      </c>
      <c r="M679" s="12">
        <f>IF($A679="",0,SUMIF('Family Contributions'!$I$4:$I$1003,$A679,'Family Contributions'!$G$4:$G$1003))</f>
        <v/>
      </c>
      <c r="N679" s="12">
        <f>IF($A679="",0,IF($I679="Yes",IF(ISNUMBER($G679),$G679,0)-$M679,0))</f>
        <v/>
      </c>
      <c r="O679" s="9" t="n"/>
      <c r="P679" s="9" t="n"/>
    </row>
    <row r="680">
      <c r="A680" s="9" t="n"/>
      <c r="B680" s="19" t="n"/>
      <c r="C680" s="9" t="n"/>
      <c r="D680" s="9" t="n"/>
      <c r="E680" s="9" t="n"/>
      <c r="F680" s="9" t="n"/>
      <c r="G680" s="10" t="n"/>
      <c r="H680" s="9" t="n"/>
      <c r="I680" s="9" t="n"/>
      <c r="J680" s="9" t="n"/>
      <c r="K680" s="9" t="n"/>
      <c r="L680">
        <f>IF($A680="","",IF($P680="Yes","Disputed / Review",IF($I680&lt;&gt;"Yes","Not Reimbursable",IF($M680&lt;=0.004,"Pending",IF($N680&lt;=0.004,"Reimbursed","Partially Reimbursed")))))</f>
        <v/>
      </c>
      <c r="M680" s="12">
        <f>IF($A680="",0,SUMIF('Family Contributions'!$I$4:$I$1003,$A680,'Family Contributions'!$G$4:$G$1003))</f>
        <v/>
      </c>
      <c r="N680" s="12">
        <f>IF($A680="",0,IF($I680="Yes",IF(ISNUMBER($G680),$G680,0)-$M680,0))</f>
        <v/>
      </c>
      <c r="O680" s="9" t="n"/>
      <c r="P680" s="9" t="n"/>
    </row>
    <row r="681">
      <c r="A681" s="9" t="n"/>
      <c r="B681" s="19" t="n"/>
      <c r="C681" s="9" t="n"/>
      <c r="D681" s="9" t="n"/>
      <c r="E681" s="9" t="n"/>
      <c r="F681" s="9" t="n"/>
      <c r="G681" s="10" t="n"/>
      <c r="H681" s="9" t="n"/>
      <c r="I681" s="9" t="n"/>
      <c r="J681" s="9" t="n"/>
      <c r="K681" s="9" t="n"/>
      <c r="L681">
        <f>IF($A681="","",IF($P681="Yes","Disputed / Review",IF($I681&lt;&gt;"Yes","Not Reimbursable",IF($M681&lt;=0.004,"Pending",IF($N681&lt;=0.004,"Reimbursed","Partially Reimbursed")))))</f>
        <v/>
      </c>
      <c r="M681" s="12">
        <f>IF($A681="",0,SUMIF('Family Contributions'!$I$4:$I$1003,$A681,'Family Contributions'!$G$4:$G$1003))</f>
        <v/>
      </c>
      <c r="N681" s="12">
        <f>IF($A681="",0,IF($I681="Yes",IF(ISNUMBER($G681),$G681,0)-$M681,0))</f>
        <v/>
      </c>
      <c r="O681" s="9" t="n"/>
      <c r="P681" s="9" t="n"/>
    </row>
    <row r="682">
      <c r="A682" s="9" t="n"/>
      <c r="B682" s="19" t="n"/>
      <c r="C682" s="9" t="n"/>
      <c r="D682" s="9" t="n"/>
      <c r="E682" s="9" t="n"/>
      <c r="F682" s="9" t="n"/>
      <c r="G682" s="10" t="n"/>
      <c r="H682" s="9" t="n"/>
      <c r="I682" s="9" t="n"/>
      <c r="J682" s="9" t="n"/>
      <c r="K682" s="9" t="n"/>
      <c r="L682">
        <f>IF($A682="","",IF($P682="Yes","Disputed / Review",IF($I682&lt;&gt;"Yes","Not Reimbursable",IF($M682&lt;=0.004,"Pending",IF($N682&lt;=0.004,"Reimbursed","Partially Reimbursed")))))</f>
        <v/>
      </c>
      <c r="M682" s="12">
        <f>IF($A682="",0,SUMIF('Family Contributions'!$I$4:$I$1003,$A682,'Family Contributions'!$G$4:$G$1003))</f>
        <v/>
      </c>
      <c r="N682" s="12">
        <f>IF($A682="",0,IF($I682="Yes",IF(ISNUMBER($G682),$G682,0)-$M682,0))</f>
        <v/>
      </c>
      <c r="O682" s="9" t="n"/>
      <c r="P682" s="9" t="n"/>
    </row>
    <row r="683">
      <c r="A683" s="9" t="n"/>
      <c r="B683" s="19" t="n"/>
      <c r="C683" s="9" t="n"/>
      <c r="D683" s="9" t="n"/>
      <c r="E683" s="9" t="n"/>
      <c r="F683" s="9" t="n"/>
      <c r="G683" s="10" t="n"/>
      <c r="H683" s="9" t="n"/>
      <c r="I683" s="9" t="n"/>
      <c r="J683" s="9" t="n"/>
      <c r="K683" s="9" t="n"/>
      <c r="L683">
        <f>IF($A683="","",IF($P683="Yes","Disputed / Review",IF($I683&lt;&gt;"Yes","Not Reimbursable",IF($M683&lt;=0.004,"Pending",IF($N683&lt;=0.004,"Reimbursed","Partially Reimbursed")))))</f>
        <v/>
      </c>
      <c r="M683" s="12">
        <f>IF($A683="",0,SUMIF('Family Contributions'!$I$4:$I$1003,$A683,'Family Contributions'!$G$4:$G$1003))</f>
        <v/>
      </c>
      <c r="N683" s="12">
        <f>IF($A683="",0,IF($I683="Yes",IF(ISNUMBER($G683),$G683,0)-$M683,0))</f>
        <v/>
      </c>
      <c r="O683" s="9" t="n"/>
      <c r="P683" s="9" t="n"/>
    </row>
    <row r="684">
      <c r="A684" s="9" t="n"/>
      <c r="B684" s="19" t="n"/>
      <c r="C684" s="9" t="n"/>
      <c r="D684" s="9" t="n"/>
      <c r="E684" s="9" t="n"/>
      <c r="F684" s="9" t="n"/>
      <c r="G684" s="10" t="n"/>
      <c r="H684" s="9" t="n"/>
      <c r="I684" s="9" t="n"/>
      <c r="J684" s="9" t="n"/>
      <c r="K684" s="9" t="n"/>
      <c r="L684">
        <f>IF($A684="","",IF($P684="Yes","Disputed / Review",IF($I684&lt;&gt;"Yes","Not Reimbursable",IF($M684&lt;=0.004,"Pending",IF($N684&lt;=0.004,"Reimbursed","Partially Reimbursed")))))</f>
        <v/>
      </c>
      <c r="M684" s="12">
        <f>IF($A684="",0,SUMIF('Family Contributions'!$I$4:$I$1003,$A684,'Family Contributions'!$G$4:$G$1003))</f>
        <v/>
      </c>
      <c r="N684" s="12">
        <f>IF($A684="",0,IF($I684="Yes",IF(ISNUMBER($G684),$G684,0)-$M684,0))</f>
        <v/>
      </c>
      <c r="O684" s="9" t="n"/>
      <c r="P684" s="9" t="n"/>
    </row>
    <row r="685">
      <c r="A685" s="9" t="n"/>
      <c r="B685" s="19" t="n"/>
      <c r="C685" s="9" t="n"/>
      <c r="D685" s="9" t="n"/>
      <c r="E685" s="9" t="n"/>
      <c r="F685" s="9" t="n"/>
      <c r="G685" s="10" t="n"/>
      <c r="H685" s="9" t="n"/>
      <c r="I685" s="9" t="n"/>
      <c r="J685" s="9" t="n"/>
      <c r="K685" s="9" t="n"/>
      <c r="L685">
        <f>IF($A685="","",IF($P685="Yes","Disputed / Review",IF($I685&lt;&gt;"Yes","Not Reimbursable",IF($M685&lt;=0.004,"Pending",IF($N685&lt;=0.004,"Reimbursed","Partially Reimbursed")))))</f>
        <v/>
      </c>
      <c r="M685" s="12">
        <f>IF($A685="",0,SUMIF('Family Contributions'!$I$4:$I$1003,$A685,'Family Contributions'!$G$4:$G$1003))</f>
        <v/>
      </c>
      <c r="N685" s="12">
        <f>IF($A685="",0,IF($I685="Yes",IF(ISNUMBER($G685),$G685,0)-$M685,0))</f>
        <v/>
      </c>
      <c r="O685" s="9" t="n"/>
      <c r="P685" s="9" t="n"/>
    </row>
    <row r="686">
      <c r="A686" s="9" t="n"/>
      <c r="B686" s="19" t="n"/>
      <c r="C686" s="9" t="n"/>
      <c r="D686" s="9" t="n"/>
      <c r="E686" s="9" t="n"/>
      <c r="F686" s="9" t="n"/>
      <c r="G686" s="10" t="n"/>
      <c r="H686" s="9" t="n"/>
      <c r="I686" s="9" t="n"/>
      <c r="J686" s="9" t="n"/>
      <c r="K686" s="9" t="n"/>
      <c r="L686">
        <f>IF($A686="","",IF($P686="Yes","Disputed / Review",IF($I686&lt;&gt;"Yes","Not Reimbursable",IF($M686&lt;=0.004,"Pending",IF($N686&lt;=0.004,"Reimbursed","Partially Reimbursed")))))</f>
        <v/>
      </c>
      <c r="M686" s="12">
        <f>IF($A686="",0,SUMIF('Family Contributions'!$I$4:$I$1003,$A686,'Family Contributions'!$G$4:$G$1003))</f>
        <v/>
      </c>
      <c r="N686" s="12">
        <f>IF($A686="",0,IF($I686="Yes",IF(ISNUMBER($G686),$G686,0)-$M686,0))</f>
        <v/>
      </c>
      <c r="O686" s="9" t="n"/>
      <c r="P686" s="9" t="n"/>
    </row>
    <row r="687">
      <c r="A687" s="9" t="n"/>
      <c r="B687" s="19" t="n"/>
      <c r="C687" s="9" t="n"/>
      <c r="D687" s="9" t="n"/>
      <c r="E687" s="9" t="n"/>
      <c r="F687" s="9" t="n"/>
      <c r="G687" s="10" t="n"/>
      <c r="H687" s="9" t="n"/>
      <c r="I687" s="9" t="n"/>
      <c r="J687" s="9" t="n"/>
      <c r="K687" s="9" t="n"/>
      <c r="L687">
        <f>IF($A687="","",IF($P687="Yes","Disputed / Review",IF($I687&lt;&gt;"Yes","Not Reimbursable",IF($M687&lt;=0.004,"Pending",IF($N687&lt;=0.004,"Reimbursed","Partially Reimbursed")))))</f>
        <v/>
      </c>
      <c r="M687" s="12">
        <f>IF($A687="",0,SUMIF('Family Contributions'!$I$4:$I$1003,$A687,'Family Contributions'!$G$4:$G$1003))</f>
        <v/>
      </c>
      <c r="N687" s="12">
        <f>IF($A687="",0,IF($I687="Yes",IF(ISNUMBER($G687),$G687,0)-$M687,0))</f>
        <v/>
      </c>
      <c r="O687" s="9" t="n"/>
      <c r="P687" s="9" t="n"/>
    </row>
    <row r="688">
      <c r="A688" s="9" t="n"/>
      <c r="B688" s="19" t="n"/>
      <c r="C688" s="9" t="n"/>
      <c r="D688" s="9" t="n"/>
      <c r="E688" s="9" t="n"/>
      <c r="F688" s="9" t="n"/>
      <c r="G688" s="10" t="n"/>
      <c r="H688" s="9" t="n"/>
      <c r="I688" s="9" t="n"/>
      <c r="J688" s="9" t="n"/>
      <c r="K688" s="9" t="n"/>
      <c r="L688">
        <f>IF($A688="","",IF($P688="Yes","Disputed / Review",IF($I688&lt;&gt;"Yes","Not Reimbursable",IF($M688&lt;=0.004,"Pending",IF($N688&lt;=0.004,"Reimbursed","Partially Reimbursed")))))</f>
        <v/>
      </c>
      <c r="M688" s="12">
        <f>IF($A688="",0,SUMIF('Family Contributions'!$I$4:$I$1003,$A688,'Family Contributions'!$G$4:$G$1003))</f>
        <v/>
      </c>
      <c r="N688" s="12">
        <f>IF($A688="",0,IF($I688="Yes",IF(ISNUMBER($G688),$G688,0)-$M688,0))</f>
        <v/>
      </c>
      <c r="O688" s="9" t="n"/>
      <c r="P688" s="9" t="n"/>
    </row>
    <row r="689">
      <c r="A689" s="9" t="n"/>
      <c r="B689" s="19" t="n"/>
      <c r="C689" s="9" t="n"/>
      <c r="D689" s="9" t="n"/>
      <c r="E689" s="9" t="n"/>
      <c r="F689" s="9" t="n"/>
      <c r="G689" s="10" t="n"/>
      <c r="H689" s="9" t="n"/>
      <c r="I689" s="9" t="n"/>
      <c r="J689" s="9" t="n"/>
      <c r="K689" s="9" t="n"/>
      <c r="L689">
        <f>IF($A689="","",IF($P689="Yes","Disputed / Review",IF($I689&lt;&gt;"Yes","Not Reimbursable",IF($M689&lt;=0.004,"Pending",IF($N689&lt;=0.004,"Reimbursed","Partially Reimbursed")))))</f>
        <v/>
      </c>
      <c r="M689" s="12">
        <f>IF($A689="",0,SUMIF('Family Contributions'!$I$4:$I$1003,$A689,'Family Contributions'!$G$4:$G$1003))</f>
        <v/>
      </c>
      <c r="N689" s="12">
        <f>IF($A689="",0,IF($I689="Yes",IF(ISNUMBER($G689),$G689,0)-$M689,0))</f>
        <v/>
      </c>
      <c r="O689" s="9" t="n"/>
      <c r="P689" s="9" t="n"/>
    </row>
    <row r="690">
      <c r="A690" s="9" t="n"/>
      <c r="B690" s="19" t="n"/>
      <c r="C690" s="9" t="n"/>
      <c r="D690" s="9" t="n"/>
      <c r="E690" s="9" t="n"/>
      <c r="F690" s="9" t="n"/>
      <c r="G690" s="10" t="n"/>
      <c r="H690" s="9" t="n"/>
      <c r="I690" s="9" t="n"/>
      <c r="J690" s="9" t="n"/>
      <c r="K690" s="9" t="n"/>
      <c r="L690">
        <f>IF($A690="","",IF($P690="Yes","Disputed / Review",IF($I690&lt;&gt;"Yes","Not Reimbursable",IF($M690&lt;=0.004,"Pending",IF($N690&lt;=0.004,"Reimbursed","Partially Reimbursed")))))</f>
        <v/>
      </c>
      <c r="M690" s="12">
        <f>IF($A690="",0,SUMIF('Family Contributions'!$I$4:$I$1003,$A690,'Family Contributions'!$G$4:$G$1003))</f>
        <v/>
      </c>
      <c r="N690" s="12">
        <f>IF($A690="",0,IF($I690="Yes",IF(ISNUMBER($G690),$G690,0)-$M690,0))</f>
        <v/>
      </c>
      <c r="O690" s="9" t="n"/>
      <c r="P690" s="9" t="n"/>
    </row>
    <row r="691">
      <c r="A691" s="9" t="n"/>
      <c r="B691" s="19" t="n"/>
      <c r="C691" s="9" t="n"/>
      <c r="D691" s="9" t="n"/>
      <c r="E691" s="9" t="n"/>
      <c r="F691" s="9" t="n"/>
      <c r="G691" s="10" t="n"/>
      <c r="H691" s="9" t="n"/>
      <c r="I691" s="9" t="n"/>
      <c r="J691" s="9" t="n"/>
      <c r="K691" s="9" t="n"/>
      <c r="L691">
        <f>IF($A691="","",IF($P691="Yes","Disputed / Review",IF($I691&lt;&gt;"Yes","Not Reimbursable",IF($M691&lt;=0.004,"Pending",IF($N691&lt;=0.004,"Reimbursed","Partially Reimbursed")))))</f>
        <v/>
      </c>
      <c r="M691" s="12">
        <f>IF($A691="",0,SUMIF('Family Contributions'!$I$4:$I$1003,$A691,'Family Contributions'!$G$4:$G$1003))</f>
        <v/>
      </c>
      <c r="N691" s="12">
        <f>IF($A691="",0,IF($I691="Yes",IF(ISNUMBER($G691),$G691,0)-$M691,0))</f>
        <v/>
      </c>
      <c r="O691" s="9" t="n"/>
      <c r="P691" s="9" t="n"/>
    </row>
    <row r="692">
      <c r="A692" s="9" t="n"/>
      <c r="B692" s="19" t="n"/>
      <c r="C692" s="9" t="n"/>
      <c r="D692" s="9" t="n"/>
      <c r="E692" s="9" t="n"/>
      <c r="F692" s="9" t="n"/>
      <c r="G692" s="10" t="n"/>
      <c r="H692" s="9" t="n"/>
      <c r="I692" s="9" t="n"/>
      <c r="J692" s="9" t="n"/>
      <c r="K692" s="9" t="n"/>
      <c r="L692">
        <f>IF($A692="","",IF($P692="Yes","Disputed / Review",IF($I692&lt;&gt;"Yes","Not Reimbursable",IF($M692&lt;=0.004,"Pending",IF($N692&lt;=0.004,"Reimbursed","Partially Reimbursed")))))</f>
        <v/>
      </c>
      <c r="M692" s="12">
        <f>IF($A692="",0,SUMIF('Family Contributions'!$I$4:$I$1003,$A692,'Family Contributions'!$G$4:$G$1003))</f>
        <v/>
      </c>
      <c r="N692" s="12">
        <f>IF($A692="",0,IF($I692="Yes",IF(ISNUMBER($G692),$G692,0)-$M692,0))</f>
        <v/>
      </c>
      <c r="O692" s="9" t="n"/>
      <c r="P692" s="9" t="n"/>
    </row>
    <row r="693">
      <c r="A693" s="9" t="n"/>
      <c r="B693" s="19" t="n"/>
      <c r="C693" s="9" t="n"/>
      <c r="D693" s="9" t="n"/>
      <c r="E693" s="9" t="n"/>
      <c r="F693" s="9" t="n"/>
      <c r="G693" s="10" t="n"/>
      <c r="H693" s="9" t="n"/>
      <c r="I693" s="9" t="n"/>
      <c r="J693" s="9" t="n"/>
      <c r="K693" s="9" t="n"/>
      <c r="L693">
        <f>IF($A693="","",IF($P693="Yes","Disputed / Review",IF($I693&lt;&gt;"Yes","Not Reimbursable",IF($M693&lt;=0.004,"Pending",IF($N693&lt;=0.004,"Reimbursed","Partially Reimbursed")))))</f>
        <v/>
      </c>
      <c r="M693" s="12">
        <f>IF($A693="",0,SUMIF('Family Contributions'!$I$4:$I$1003,$A693,'Family Contributions'!$G$4:$G$1003))</f>
        <v/>
      </c>
      <c r="N693" s="12">
        <f>IF($A693="",0,IF($I693="Yes",IF(ISNUMBER($G693),$G693,0)-$M693,0))</f>
        <v/>
      </c>
      <c r="O693" s="9" t="n"/>
      <c r="P693" s="9" t="n"/>
    </row>
    <row r="694">
      <c r="A694" s="9" t="n"/>
      <c r="B694" s="19" t="n"/>
      <c r="C694" s="9" t="n"/>
      <c r="D694" s="9" t="n"/>
      <c r="E694" s="9" t="n"/>
      <c r="F694" s="9" t="n"/>
      <c r="G694" s="10" t="n"/>
      <c r="H694" s="9" t="n"/>
      <c r="I694" s="9" t="n"/>
      <c r="J694" s="9" t="n"/>
      <c r="K694" s="9" t="n"/>
      <c r="L694">
        <f>IF($A694="","",IF($P694="Yes","Disputed / Review",IF($I694&lt;&gt;"Yes","Not Reimbursable",IF($M694&lt;=0.004,"Pending",IF($N694&lt;=0.004,"Reimbursed","Partially Reimbursed")))))</f>
        <v/>
      </c>
      <c r="M694" s="12">
        <f>IF($A694="",0,SUMIF('Family Contributions'!$I$4:$I$1003,$A694,'Family Contributions'!$G$4:$G$1003))</f>
        <v/>
      </c>
      <c r="N694" s="12">
        <f>IF($A694="",0,IF($I694="Yes",IF(ISNUMBER($G694),$G694,0)-$M694,0))</f>
        <v/>
      </c>
      <c r="O694" s="9" t="n"/>
      <c r="P694" s="9" t="n"/>
    </row>
    <row r="695">
      <c r="A695" s="9" t="n"/>
      <c r="B695" s="19" t="n"/>
      <c r="C695" s="9" t="n"/>
      <c r="D695" s="9" t="n"/>
      <c r="E695" s="9" t="n"/>
      <c r="F695" s="9" t="n"/>
      <c r="G695" s="10" t="n"/>
      <c r="H695" s="9" t="n"/>
      <c r="I695" s="9" t="n"/>
      <c r="J695" s="9" t="n"/>
      <c r="K695" s="9" t="n"/>
      <c r="L695">
        <f>IF($A695="","",IF($P695="Yes","Disputed / Review",IF($I695&lt;&gt;"Yes","Not Reimbursable",IF($M695&lt;=0.004,"Pending",IF($N695&lt;=0.004,"Reimbursed","Partially Reimbursed")))))</f>
        <v/>
      </c>
      <c r="M695" s="12">
        <f>IF($A695="",0,SUMIF('Family Contributions'!$I$4:$I$1003,$A695,'Family Contributions'!$G$4:$G$1003))</f>
        <v/>
      </c>
      <c r="N695" s="12">
        <f>IF($A695="",0,IF($I695="Yes",IF(ISNUMBER($G695),$G695,0)-$M695,0))</f>
        <v/>
      </c>
      <c r="O695" s="9" t="n"/>
      <c r="P695" s="9" t="n"/>
    </row>
    <row r="696">
      <c r="A696" s="9" t="n"/>
      <c r="B696" s="19" t="n"/>
      <c r="C696" s="9" t="n"/>
      <c r="D696" s="9" t="n"/>
      <c r="E696" s="9" t="n"/>
      <c r="F696" s="9" t="n"/>
      <c r="G696" s="10" t="n"/>
      <c r="H696" s="9" t="n"/>
      <c r="I696" s="9" t="n"/>
      <c r="J696" s="9" t="n"/>
      <c r="K696" s="9" t="n"/>
      <c r="L696">
        <f>IF($A696="","",IF($P696="Yes","Disputed / Review",IF($I696&lt;&gt;"Yes","Not Reimbursable",IF($M696&lt;=0.004,"Pending",IF($N696&lt;=0.004,"Reimbursed","Partially Reimbursed")))))</f>
        <v/>
      </c>
      <c r="M696" s="12">
        <f>IF($A696="",0,SUMIF('Family Contributions'!$I$4:$I$1003,$A696,'Family Contributions'!$G$4:$G$1003))</f>
        <v/>
      </c>
      <c r="N696" s="12">
        <f>IF($A696="",0,IF($I696="Yes",IF(ISNUMBER($G696),$G696,0)-$M696,0))</f>
        <v/>
      </c>
      <c r="O696" s="9" t="n"/>
      <c r="P696" s="9" t="n"/>
    </row>
    <row r="697">
      <c r="A697" s="9" t="n"/>
      <c r="B697" s="19" t="n"/>
      <c r="C697" s="9" t="n"/>
      <c r="D697" s="9" t="n"/>
      <c r="E697" s="9" t="n"/>
      <c r="F697" s="9" t="n"/>
      <c r="G697" s="10" t="n"/>
      <c r="H697" s="9" t="n"/>
      <c r="I697" s="9" t="n"/>
      <c r="J697" s="9" t="n"/>
      <c r="K697" s="9" t="n"/>
      <c r="L697">
        <f>IF($A697="","",IF($P697="Yes","Disputed / Review",IF($I697&lt;&gt;"Yes","Not Reimbursable",IF($M697&lt;=0.004,"Pending",IF($N697&lt;=0.004,"Reimbursed","Partially Reimbursed")))))</f>
        <v/>
      </c>
      <c r="M697" s="12">
        <f>IF($A697="",0,SUMIF('Family Contributions'!$I$4:$I$1003,$A697,'Family Contributions'!$G$4:$G$1003))</f>
        <v/>
      </c>
      <c r="N697" s="12">
        <f>IF($A697="",0,IF($I697="Yes",IF(ISNUMBER($G697),$G697,0)-$M697,0))</f>
        <v/>
      </c>
      <c r="O697" s="9" t="n"/>
      <c r="P697" s="9" t="n"/>
    </row>
    <row r="698">
      <c r="A698" s="9" t="n"/>
      <c r="B698" s="19" t="n"/>
      <c r="C698" s="9" t="n"/>
      <c r="D698" s="9" t="n"/>
      <c r="E698" s="9" t="n"/>
      <c r="F698" s="9" t="n"/>
      <c r="G698" s="10" t="n"/>
      <c r="H698" s="9" t="n"/>
      <c r="I698" s="9" t="n"/>
      <c r="J698" s="9" t="n"/>
      <c r="K698" s="9" t="n"/>
      <c r="L698">
        <f>IF($A698="","",IF($P698="Yes","Disputed / Review",IF($I698&lt;&gt;"Yes","Not Reimbursable",IF($M698&lt;=0.004,"Pending",IF($N698&lt;=0.004,"Reimbursed","Partially Reimbursed")))))</f>
        <v/>
      </c>
      <c r="M698" s="12">
        <f>IF($A698="",0,SUMIF('Family Contributions'!$I$4:$I$1003,$A698,'Family Contributions'!$G$4:$G$1003))</f>
        <v/>
      </c>
      <c r="N698" s="12">
        <f>IF($A698="",0,IF($I698="Yes",IF(ISNUMBER($G698),$G698,0)-$M698,0))</f>
        <v/>
      </c>
      <c r="O698" s="9" t="n"/>
      <c r="P698" s="9" t="n"/>
    </row>
    <row r="699">
      <c r="A699" s="9" t="n"/>
      <c r="B699" s="19" t="n"/>
      <c r="C699" s="9" t="n"/>
      <c r="D699" s="9" t="n"/>
      <c r="E699" s="9" t="n"/>
      <c r="F699" s="9" t="n"/>
      <c r="G699" s="10" t="n"/>
      <c r="H699" s="9" t="n"/>
      <c r="I699" s="9" t="n"/>
      <c r="J699" s="9" t="n"/>
      <c r="K699" s="9" t="n"/>
      <c r="L699">
        <f>IF($A699="","",IF($P699="Yes","Disputed / Review",IF($I699&lt;&gt;"Yes","Not Reimbursable",IF($M699&lt;=0.004,"Pending",IF($N699&lt;=0.004,"Reimbursed","Partially Reimbursed")))))</f>
        <v/>
      </c>
      <c r="M699" s="12">
        <f>IF($A699="",0,SUMIF('Family Contributions'!$I$4:$I$1003,$A699,'Family Contributions'!$G$4:$G$1003))</f>
        <v/>
      </c>
      <c r="N699" s="12">
        <f>IF($A699="",0,IF($I699="Yes",IF(ISNUMBER($G699),$G699,0)-$M699,0))</f>
        <v/>
      </c>
      <c r="O699" s="9" t="n"/>
      <c r="P699" s="9" t="n"/>
    </row>
    <row r="700">
      <c r="A700" s="9" t="n"/>
      <c r="B700" s="19" t="n"/>
      <c r="C700" s="9" t="n"/>
      <c r="D700" s="9" t="n"/>
      <c r="E700" s="9" t="n"/>
      <c r="F700" s="9" t="n"/>
      <c r="G700" s="10" t="n"/>
      <c r="H700" s="9" t="n"/>
      <c r="I700" s="9" t="n"/>
      <c r="J700" s="9" t="n"/>
      <c r="K700" s="9" t="n"/>
      <c r="L700">
        <f>IF($A700="","",IF($P700="Yes","Disputed / Review",IF($I700&lt;&gt;"Yes","Not Reimbursable",IF($M700&lt;=0.004,"Pending",IF($N700&lt;=0.004,"Reimbursed","Partially Reimbursed")))))</f>
        <v/>
      </c>
      <c r="M700" s="12">
        <f>IF($A700="",0,SUMIF('Family Contributions'!$I$4:$I$1003,$A700,'Family Contributions'!$G$4:$G$1003))</f>
        <v/>
      </c>
      <c r="N700" s="12">
        <f>IF($A700="",0,IF($I700="Yes",IF(ISNUMBER($G700),$G700,0)-$M700,0))</f>
        <v/>
      </c>
      <c r="O700" s="9" t="n"/>
      <c r="P700" s="9" t="n"/>
    </row>
    <row r="701">
      <c r="A701" s="9" t="n"/>
      <c r="B701" s="19" t="n"/>
      <c r="C701" s="9" t="n"/>
      <c r="D701" s="9" t="n"/>
      <c r="E701" s="9" t="n"/>
      <c r="F701" s="9" t="n"/>
      <c r="G701" s="10" t="n"/>
      <c r="H701" s="9" t="n"/>
      <c r="I701" s="9" t="n"/>
      <c r="J701" s="9" t="n"/>
      <c r="K701" s="9" t="n"/>
      <c r="L701">
        <f>IF($A701="","",IF($P701="Yes","Disputed / Review",IF($I701&lt;&gt;"Yes","Not Reimbursable",IF($M701&lt;=0.004,"Pending",IF($N701&lt;=0.004,"Reimbursed","Partially Reimbursed")))))</f>
        <v/>
      </c>
      <c r="M701" s="12">
        <f>IF($A701="",0,SUMIF('Family Contributions'!$I$4:$I$1003,$A701,'Family Contributions'!$G$4:$G$1003))</f>
        <v/>
      </c>
      <c r="N701" s="12">
        <f>IF($A701="",0,IF($I701="Yes",IF(ISNUMBER($G701),$G701,0)-$M701,0))</f>
        <v/>
      </c>
      <c r="O701" s="9" t="n"/>
      <c r="P701" s="9" t="n"/>
    </row>
    <row r="702">
      <c r="A702" s="9" t="n"/>
      <c r="B702" s="19" t="n"/>
      <c r="C702" s="9" t="n"/>
      <c r="D702" s="9" t="n"/>
      <c r="E702" s="9" t="n"/>
      <c r="F702" s="9" t="n"/>
      <c r="G702" s="10" t="n"/>
      <c r="H702" s="9" t="n"/>
      <c r="I702" s="9" t="n"/>
      <c r="J702" s="9" t="n"/>
      <c r="K702" s="9" t="n"/>
      <c r="L702">
        <f>IF($A702="","",IF($P702="Yes","Disputed / Review",IF($I702&lt;&gt;"Yes","Not Reimbursable",IF($M702&lt;=0.004,"Pending",IF($N702&lt;=0.004,"Reimbursed","Partially Reimbursed")))))</f>
        <v/>
      </c>
      <c r="M702" s="12">
        <f>IF($A702="",0,SUMIF('Family Contributions'!$I$4:$I$1003,$A702,'Family Contributions'!$G$4:$G$1003))</f>
        <v/>
      </c>
      <c r="N702" s="12">
        <f>IF($A702="",0,IF($I702="Yes",IF(ISNUMBER($G702),$G702,0)-$M702,0))</f>
        <v/>
      </c>
      <c r="O702" s="9" t="n"/>
      <c r="P702" s="9" t="n"/>
    </row>
    <row r="703">
      <c r="A703" s="9" t="n"/>
      <c r="B703" s="19" t="n"/>
      <c r="C703" s="9" t="n"/>
      <c r="D703" s="9" t="n"/>
      <c r="E703" s="9" t="n"/>
      <c r="F703" s="9" t="n"/>
      <c r="G703" s="10" t="n"/>
      <c r="H703" s="9" t="n"/>
      <c r="I703" s="9" t="n"/>
      <c r="J703" s="9" t="n"/>
      <c r="K703" s="9" t="n"/>
      <c r="L703">
        <f>IF($A703="","",IF($P703="Yes","Disputed / Review",IF($I703&lt;&gt;"Yes","Not Reimbursable",IF($M703&lt;=0.004,"Pending",IF($N703&lt;=0.004,"Reimbursed","Partially Reimbursed")))))</f>
        <v/>
      </c>
      <c r="M703" s="12">
        <f>IF($A703="",0,SUMIF('Family Contributions'!$I$4:$I$1003,$A703,'Family Contributions'!$G$4:$G$1003))</f>
        <v/>
      </c>
      <c r="N703" s="12">
        <f>IF($A703="",0,IF($I703="Yes",IF(ISNUMBER($G703),$G703,0)-$M703,0))</f>
        <v/>
      </c>
      <c r="O703" s="9" t="n"/>
      <c r="P703" s="9" t="n"/>
    </row>
    <row r="704">
      <c r="A704" s="9" t="n"/>
      <c r="B704" s="19" t="n"/>
      <c r="C704" s="9" t="n"/>
      <c r="D704" s="9" t="n"/>
      <c r="E704" s="9" t="n"/>
      <c r="F704" s="9" t="n"/>
      <c r="G704" s="10" t="n"/>
      <c r="H704" s="9" t="n"/>
      <c r="I704" s="9" t="n"/>
      <c r="J704" s="9" t="n"/>
      <c r="K704" s="9" t="n"/>
      <c r="L704">
        <f>IF($A704="","",IF($P704="Yes","Disputed / Review",IF($I704&lt;&gt;"Yes","Not Reimbursable",IF($M704&lt;=0.004,"Pending",IF($N704&lt;=0.004,"Reimbursed","Partially Reimbursed")))))</f>
        <v/>
      </c>
      <c r="M704" s="12">
        <f>IF($A704="",0,SUMIF('Family Contributions'!$I$4:$I$1003,$A704,'Family Contributions'!$G$4:$G$1003))</f>
        <v/>
      </c>
      <c r="N704" s="12">
        <f>IF($A704="",0,IF($I704="Yes",IF(ISNUMBER($G704),$G704,0)-$M704,0))</f>
        <v/>
      </c>
      <c r="O704" s="9" t="n"/>
      <c r="P704" s="9" t="n"/>
    </row>
    <row r="705">
      <c r="A705" s="9" t="n"/>
      <c r="B705" s="19" t="n"/>
      <c r="C705" s="9" t="n"/>
      <c r="D705" s="9" t="n"/>
      <c r="E705" s="9" t="n"/>
      <c r="F705" s="9" t="n"/>
      <c r="G705" s="10" t="n"/>
      <c r="H705" s="9" t="n"/>
      <c r="I705" s="9" t="n"/>
      <c r="J705" s="9" t="n"/>
      <c r="K705" s="9" t="n"/>
      <c r="L705">
        <f>IF($A705="","",IF($P705="Yes","Disputed / Review",IF($I705&lt;&gt;"Yes","Not Reimbursable",IF($M705&lt;=0.004,"Pending",IF($N705&lt;=0.004,"Reimbursed","Partially Reimbursed")))))</f>
        <v/>
      </c>
      <c r="M705" s="12">
        <f>IF($A705="",0,SUMIF('Family Contributions'!$I$4:$I$1003,$A705,'Family Contributions'!$G$4:$G$1003))</f>
        <v/>
      </c>
      <c r="N705" s="12">
        <f>IF($A705="",0,IF($I705="Yes",IF(ISNUMBER($G705),$G705,0)-$M705,0))</f>
        <v/>
      </c>
      <c r="O705" s="9" t="n"/>
      <c r="P705" s="9" t="n"/>
    </row>
    <row r="706">
      <c r="A706" s="9" t="n"/>
      <c r="B706" s="19" t="n"/>
      <c r="C706" s="9" t="n"/>
      <c r="D706" s="9" t="n"/>
      <c r="E706" s="9" t="n"/>
      <c r="F706" s="9" t="n"/>
      <c r="G706" s="10" t="n"/>
      <c r="H706" s="9" t="n"/>
      <c r="I706" s="9" t="n"/>
      <c r="J706" s="9" t="n"/>
      <c r="K706" s="9" t="n"/>
      <c r="L706">
        <f>IF($A706="","",IF($P706="Yes","Disputed / Review",IF($I706&lt;&gt;"Yes","Not Reimbursable",IF($M706&lt;=0.004,"Pending",IF($N706&lt;=0.004,"Reimbursed","Partially Reimbursed")))))</f>
        <v/>
      </c>
      <c r="M706" s="12">
        <f>IF($A706="",0,SUMIF('Family Contributions'!$I$4:$I$1003,$A706,'Family Contributions'!$G$4:$G$1003))</f>
        <v/>
      </c>
      <c r="N706" s="12">
        <f>IF($A706="",0,IF($I706="Yes",IF(ISNUMBER($G706),$G706,0)-$M706,0))</f>
        <v/>
      </c>
      <c r="O706" s="9" t="n"/>
      <c r="P706" s="9" t="n"/>
    </row>
    <row r="707">
      <c r="A707" s="9" t="n"/>
      <c r="B707" s="19" t="n"/>
      <c r="C707" s="9" t="n"/>
      <c r="D707" s="9" t="n"/>
      <c r="E707" s="9" t="n"/>
      <c r="F707" s="9" t="n"/>
      <c r="G707" s="10" t="n"/>
      <c r="H707" s="9" t="n"/>
      <c r="I707" s="9" t="n"/>
      <c r="J707" s="9" t="n"/>
      <c r="K707" s="9" t="n"/>
      <c r="L707">
        <f>IF($A707="","",IF($P707="Yes","Disputed / Review",IF($I707&lt;&gt;"Yes","Not Reimbursable",IF($M707&lt;=0.004,"Pending",IF($N707&lt;=0.004,"Reimbursed","Partially Reimbursed")))))</f>
        <v/>
      </c>
      <c r="M707" s="12">
        <f>IF($A707="",0,SUMIF('Family Contributions'!$I$4:$I$1003,$A707,'Family Contributions'!$G$4:$G$1003))</f>
        <v/>
      </c>
      <c r="N707" s="12">
        <f>IF($A707="",0,IF($I707="Yes",IF(ISNUMBER($G707),$G707,0)-$M707,0))</f>
        <v/>
      </c>
      <c r="O707" s="9" t="n"/>
      <c r="P707" s="9" t="n"/>
    </row>
    <row r="708">
      <c r="A708" s="9" t="n"/>
      <c r="B708" s="19" t="n"/>
      <c r="C708" s="9" t="n"/>
      <c r="D708" s="9" t="n"/>
      <c r="E708" s="9" t="n"/>
      <c r="F708" s="9" t="n"/>
      <c r="G708" s="10" t="n"/>
      <c r="H708" s="9" t="n"/>
      <c r="I708" s="9" t="n"/>
      <c r="J708" s="9" t="n"/>
      <c r="K708" s="9" t="n"/>
      <c r="L708">
        <f>IF($A708="","",IF($P708="Yes","Disputed / Review",IF($I708&lt;&gt;"Yes","Not Reimbursable",IF($M708&lt;=0.004,"Pending",IF($N708&lt;=0.004,"Reimbursed","Partially Reimbursed")))))</f>
        <v/>
      </c>
      <c r="M708" s="12">
        <f>IF($A708="",0,SUMIF('Family Contributions'!$I$4:$I$1003,$A708,'Family Contributions'!$G$4:$G$1003))</f>
        <v/>
      </c>
      <c r="N708" s="12">
        <f>IF($A708="",0,IF($I708="Yes",IF(ISNUMBER($G708),$G708,0)-$M708,0))</f>
        <v/>
      </c>
      <c r="O708" s="9" t="n"/>
      <c r="P708" s="9" t="n"/>
    </row>
    <row r="709">
      <c r="A709" s="9" t="n"/>
      <c r="B709" s="19" t="n"/>
      <c r="C709" s="9" t="n"/>
      <c r="D709" s="9" t="n"/>
      <c r="E709" s="9" t="n"/>
      <c r="F709" s="9" t="n"/>
      <c r="G709" s="10" t="n"/>
      <c r="H709" s="9" t="n"/>
      <c r="I709" s="9" t="n"/>
      <c r="J709" s="9" t="n"/>
      <c r="K709" s="9" t="n"/>
      <c r="L709">
        <f>IF($A709="","",IF($P709="Yes","Disputed / Review",IF($I709&lt;&gt;"Yes","Not Reimbursable",IF($M709&lt;=0.004,"Pending",IF($N709&lt;=0.004,"Reimbursed","Partially Reimbursed")))))</f>
        <v/>
      </c>
      <c r="M709" s="12">
        <f>IF($A709="",0,SUMIF('Family Contributions'!$I$4:$I$1003,$A709,'Family Contributions'!$G$4:$G$1003))</f>
        <v/>
      </c>
      <c r="N709" s="12">
        <f>IF($A709="",0,IF($I709="Yes",IF(ISNUMBER($G709),$G709,0)-$M709,0))</f>
        <v/>
      </c>
      <c r="O709" s="9" t="n"/>
      <c r="P709" s="9" t="n"/>
    </row>
    <row r="710">
      <c r="A710" s="9" t="n"/>
      <c r="B710" s="19" t="n"/>
      <c r="C710" s="9" t="n"/>
      <c r="D710" s="9" t="n"/>
      <c r="E710" s="9" t="n"/>
      <c r="F710" s="9" t="n"/>
      <c r="G710" s="10" t="n"/>
      <c r="H710" s="9" t="n"/>
      <c r="I710" s="9" t="n"/>
      <c r="J710" s="9" t="n"/>
      <c r="K710" s="9" t="n"/>
      <c r="L710">
        <f>IF($A710="","",IF($P710="Yes","Disputed / Review",IF($I710&lt;&gt;"Yes","Not Reimbursable",IF($M710&lt;=0.004,"Pending",IF($N710&lt;=0.004,"Reimbursed","Partially Reimbursed")))))</f>
        <v/>
      </c>
      <c r="M710" s="12">
        <f>IF($A710="",0,SUMIF('Family Contributions'!$I$4:$I$1003,$A710,'Family Contributions'!$G$4:$G$1003))</f>
        <v/>
      </c>
      <c r="N710" s="12">
        <f>IF($A710="",0,IF($I710="Yes",IF(ISNUMBER($G710),$G710,0)-$M710,0))</f>
        <v/>
      </c>
      <c r="O710" s="9" t="n"/>
      <c r="P710" s="9" t="n"/>
    </row>
    <row r="711">
      <c r="A711" s="9" t="n"/>
      <c r="B711" s="19" t="n"/>
      <c r="C711" s="9" t="n"/>
      <c r="D711" s="9" t="n"/>
      <c r="E711" s="9" t="n"/>
      <c r="F711" s="9" t="n"/>
      <c r="G711" s="10" t="n"/>
      <c r="H711" s="9" t="n"/>
      <c r="I711" s="9" t="n"/>
      <c r="J711" s="9" t="n"/>
      <c r="K711" s="9" t="n"/>
      <c r="L711">
        <f>IF($A711="","",IF($P711="Yes","Disputed / Review",IF($I711&lt;&gt;"Yes","Not Reimbursable",IF($M711&lt;=0.004,"Pending",IF($N711&lt;=0.004,"Reimbursed","Partially Reimbursed")))))</f>
        <v/>
      </c>
      <c r="M711" s="12">
        <f>IF($A711="",0,SUMIF('Family Contributions'!$I$4:$I$1003,$A711,'Family Contributions'!$G$4:$G$1003))</f>
        <v/>
      </c>
      <c r="N711" s="12">
        <f>IF($A711="",0,IF($I711="Yes",IF(ISNUMBER($G711),$G711,0)-$M711,0))</f>
        <v/>
      </c>
      <c r="O711" s="9" t="n"/>
      <c r="P711" s="9" t="n"/>
    </row>
    <row r="712">
      <c r="A712" s="9" t="n"/>
      <c r="B712" s="19" t="n"/>
      <c r="C712" s="9" t="n"/>
      <c r="D712" s="9" t="n"/>
      <c r="E712" s="9" t="n"/>
      <c r="F712" s="9" t="n"/>
      <c r="G712" s="10" t="n"/>
      <c r="H712" s="9" t="n"/>
      <c r="I712" s="9" t="n"/>
      <c r="J712" s="9" t="n"/>
      <c r="K712" s="9" t="n"/>
      <c r="L712">
        <f>IF($A712="","",IF($P712="Yes","Disputed / Review",IF($I712&lt;&gt;"Yes","Not Reimbursable",IF($M712&lt;=0.004,"Pending",IF($N712&lt;=0.004,"Reimbursed","Partially Reimbursed")))))</f>
        <v/>
      </c>
      <c r="M712" s="12">
        <f>IF($A712="",0,SUMIF('Family Contributions'!$I$4:$I$1003,$A712,'Family Contributions'!$G$4:$G$1003))</f>
        <v/>
      </c>
      <c r="N712" s="12">
        <f>IF($A712="",0,IF($I712="Yes",IF(ISNUMBER($G712),$G712,0)-$M712,0))</f>
        <v/>
      </c>
      <c r="O712" s="9" t="n"/>
      <c r="P712" s="9" t="n"/>
    </row>
    <row r="713">
      <c r="A713" s="9" t="n"/>
      <c r="B713" s="19" t="n"/>
      <c r="C713" s="9" t="n"/>
      <c r="D713" s="9" t="n"/>
      <c r="E713" s="9" t="n"/>
      <c r="F713" s="9" t="n"/>
      <c r="G713" s="10" t="n"/>
      <c r="H713" s="9" t="n"/>
      <c r="I713" s="9" t="n"/>
      <c r="J713" s="9" t="n"/>
      <c r="K713" s="9" t="n"/>
      <c r="L713">
        <f>IF($A713="","",IF($P713="Yes","Disputed / Review",IF($I713&lt;&gt;"Yes","Not Reimbursable",IF($M713&lt;=0.004,"Pending",IF($N713&lt;=0.004,"Reimbursed","Partially Reimbursed")))))</f>
        <v/>
      </c>
      <c r="M713" s="12">
        <f>IF($A713="",0,SUMIF('Family Contributions'!$I$4:$I$1003,$A713,'Family Contributions'!$G$4:$G$1003))</f>
        <v/>
      </c>
      <c r="N713" s="12">
        <f>IF($A713="",0,IF($I713="Yes",IF(ISNUMBER($G713),$G713,0)-$M713,0))</f>
        <v/>
      </c>
      <c r="O713" s="9" t="n"/>
      <c r="P713" s="9" t="n"/>
    </row>
    <row r="714">
      <c r="A714" s="9" t="n"/>
      <c r="B714" s="19" t="n"/>
      <c r="C714" s="9" t="n"/>
      <c r="D714" s="9" t="n"/>
      <c r="E714" s="9" t="n"/>
      <c r="F714" s="9" t="n"/>
      <c r="G714" s="10" t="n"/>
      <c r="H714" s="9" t="n"/>
      <c r="I714" s="9" t="n"/>
      <c r="J714" s="9" t="n"/>
      <c r="K714" s="9" t="n"/>
      <c r="L714">
        <f>IF($A714="","",IF($P714="Yes","Disputed / Review",IF($I714&lt;&gt;"Yes","Not Reimbursable",IF($M714&lt;=0.004,"Pending",IF($N714&lt;=0.004,"Reimbursed","Partially Reimbursed")))))</f>
        <v/>
      </c>
      <c r="M714" s="12">
        <f>IF($A714="",0,SUMIF('Family Contributions'!$I$4:$I$1003,$A714,'Family Contributions'!$G$4:$G$1003))</f>
        <v/>
      </c>
      <c r="N714" s="12">
        <f>IF($A714="",0,IF($I714="Yes",IF(ISNUMBER($G714),$G714,0)-$M714,0))</f>
        <v/>
      </c>
      <c r="O714" s="9" t="n"/>
      <c r="P714" s="9" t="n"/>
    </row>
    <row r="715">
      <c r="A715" s="9" t="n"/>
      <c r="B715" s="19" t="n"/>
      <c r="C715" s="9" t="n"/>
      <c r="D715" s="9" t="n"/>
      <c r="E715" s="9" t="n"/>
      <c r="F715" s="9" t="n"/>
      <c r="G715" s="10" t="n"/>
      <c r="H715" s="9" t="n"/>
      <c r="I715" s="9" t="n"/>
      <c r="J715" s="9" t="n"/>
      <c r="K715" s="9" t="n"/>
      <c r="L715">
        <f>IF($A715="","",IF($P715="Yes","Disputed / Review",IF($I715&lt;&gt;"Yes","Not Reimbursable",IF($M715&lt;=0.004,"Pending",IF($N715&lt;=0.004,"Reimbursed","Partially Reimbursed")))))</f>
        <v/>
      </c>
      <c r="M715" s="12">
        <f>IF($A715="",0,SUMIF('Family Contributions'!$I$4:$I$1003,$A715,'Family Contributions'!$G$4:$G$1003))</f>
        <v/>
      </c>
      <c r="N715" s="12">
        <f>IF($A715="",0,IF($I715="Yes",IF(ISNUMBER($G715),$G715,0)-$M715,0))</f>
        <v/>
      </c>
      <c r="O715" s="9" t="n"/>
      <c r="P715" s="9" t="n"/>
    </row>
    <row r="716">
      <c r="A716" s="9" t="n"/>
      <c r="B716" s="19" t="n"/>
      <c r="C716" s="9" t="n"/>
      <c r="D716" s="9" t="n"/>
      <c r="E716" s="9" t="n"/>
      <c r="F716" s="9" t="n"/>
      <c r="G716" s="10" t="n"/>
      <c r="H716" s="9" t="n"/>
      <c r="I716" s="9" t="n"/>
      <c r="J716" s="9" t="n"/>
      <c r="K716" s="9" t="n"/>
      <c r="L716">
        <f>IF($A716="","",IF($P716="Yes","Disputed / Review",IF($I716&lt;&gt;"Yes","Not Reimbursable",IF($M716&lt;=0.004,"Pending",IF($N716&lt;=0.004,"Reimbursed","Partially Reimbursed")))))</f>
        <v/>
      </c>
      <c r="M716" s="12">
        <f>IF($A716="",0,SUMIF('Family Contributions'!$I$4:$I$1003,$A716,'Family Contributions'!$G$4:$G$1003))</f>
        <v/>
      </c>
      <c r="N716" s="12">
        <f>IF($A716="",0,IF($I716="Yes",IF(ISNUMBER($G716),$G716,0)-$M716,0))</f>
        <v/>
      </c>
      <c r="O716" s="9" t="n"/>
      <c r="P716" s="9" t="n"/>
    </row>
    <row r="717">
      <c r="A717" s="9" t="n"/>
      <c r="B717" s="19" t="n"/>
      <c r="C717" s="9" t="n"/>
      <c r="D717" s="9" t="n"/>
      <c r="E717" s="9" t="n"/>
      <c r="F717" s="9" t="n"/>
      <c r="G717" s="10" t="n"/>
      <c r="H717" s="9" t="n"/>
      <c r="I717" s="9" t="n"/>
      <c r="J717" s="9" t="n"/>
      <c r="K717" s="9" t="n"/>
      <c r="L717">
        <f>IF($A717="","",IF($P717="Yes","Disputed / Review",IF($I717&lt;&gt;"Yes","Not Reimbursable",IF($M717&lt;=0.004,"Pending",IF($N717&lt;=0.004,"Reimbursed","Partially Reimbursed")))))</f>
        <v/>
      </c>
      <c r="M717" s="12">
        <f>IF($A717="",0,SUMIF('Family Contributions'!$I$4:$I$1003,$A717,'Family Contributions'!$G$4:$G$1003))</f>
        <v/>
      </c>
      <c r="N717" s="12">
        <f>IF($A717="",0,IF($I717="Yes",IF(ISNUMBER($G717),$G717,0)-$M717,0))</f>
        <v/>
      </c>
      <c r="O717" s="9" t="n"/>
      <c r="P717" s="9" t="n"/>
    </row>
    <row r="718">
      <c r="A718" s="9" t="n"/>
      <c r="B718" s="19" t="n"/>
      <c r="C718" s="9" t="n"/>
      <c r="D718" s="9" t="n"/>
      <c r="E718" s="9" t="n"/>
      <c r="F718" s="9" t="n"/>
      <c r="G718" s="10" t="n"/>
      <c r="H718" s="9" t="n"/>
      <c r="I718" s="9" t="n"/>
      <c r="J718" s="9" t="n"/>
      <c r="K718" s="9" t="n"/>
      <c r="L718">
        <f>IF($A718="","",IF($P718="Yes","Disputed / Review",IF($I718&lt;&gt;"Yes","Not Reimbursable",IF($M718&lt;=0.004,"Pending",IF($N718&lt;=0.004,"Reimbursed","Partially Reimbursed")))))</f>
        <v/>
      </c>
      <c r="M718" s="12">
        <f>IF($A718="",0,SUMIF('Family Contributions'!$I$4:$I$1003,$A718,'Family Contributions'!$G$4:$G$1003))</f>
        <v/>
      </c>
      <c r="N718" s="12">
        <f>IF($A718="",0,IF($I718="Yes",IF(ISNUMBER($G718),$G718,0)-$M718,0))</f>
        <v/>
      </c>
      <c r="O718" s="9" t="n"/>
      <c r="P718" s="9" t="n"/>
    </row>
    <row r="719">
      <c r="A719" s="9" t="n"/>
      <c r="B719" s="19" t="n"/>
      <c r="C719" s="9" t="n"/>
      <c r="D719" s="9" t="n"/>
      <c r="E719" s="9" t="n"/>
      <c r="F719" s="9" t="n"/>
      <c r="G719" s="10" t="n"/>
      <c r="H719" s="9" t="n"/>
      <c r="I719" s="9" t="n"/>
      <c r="J719" s="9" t="n"/>
      <c r="K719" s="9" t="n"/>
      <c r="L719">
        <f>IF($A719="","",IF($P719="Yes","Disputed / Review",IF($I719&lt;&gt;"Yes","Not Reimbursable",IF($M719&lt;=0.004,"Pending",IF($N719&lt;=0.004,"Reimbursed","Partially Reimbursed")))))</f>
        <v/>
      </c>
      <c r="M719" s="12">
        <f>IF($A719="",0,SUMIF('Family Contributions'!$I$4:$I$1003,$A719,'Family Contributions'!$G$4:$G$1003))</f>
        <v/>
      </c>
      <c r="N719" s="12">
        <f>IF($A719="",0,IF($I719="Yes",IF(ISNUMBER($G719),$G719,0)-$M719,0))</f>
        <v/>
      </c>
      <c r="O719" s="9" t="n"/>
      <c r="P719" s="9" t="n"/>
    </row>
    <row r="720">
      <c r="A720" s="9" t="n"/>
      <c r="B720" s="19" t="n"/>
      <c r="C720" s="9" t="n"/>
      <c r="D720" s="9" t="n"/>
      <c r="E720" s="9" t="n"/>
      <c r="F720" s="9" t="n"/>
      <c r="G720" s="10" t="n"/>
      <c r="H720" s="9" t="n"/>
      <c r="I720" s="9" t="n"/>
      <c r="J720" s="9" t="n"/>
      <c r="K720" s="9" t="n"/>
      <c r="L720">
        <f>IF($A720="","",IF($P720="Yes","Disputed / Review",IF($I720&lt;&gt;"Yes","Not Reimbursable",IF($M720&lt;=0.004,"Pending",IF($N720&lt;=0.004,"Reimbursed","Partially Reimbursed")))))</f>
        <v/>
      </c>
      <c r="M720" s="12">
        <f>IF($A720="",0,SUMIF('Family Contributions'!$I$4:$I$1003,$A720,'Family Contributions'!$G$4:$G$1003))</f>
        <v/>
      </c>
      <c r="N720" s="12">
        <f>IF($A720="",0,IF($I720="Yes",IF(ISNUMBER($G720),$G720,0)-$M720,0))</f>
        <v/>
      </c>
      <c r="O720" s="9" t="n"/>
      <c r="P720" s="9" t="n"/>
    </row>
    <row r="721">
      <c r="A721" s="9" t="n"/>
      <c r="B721" s="19" t="n"/>
      <c r="C721" s="9" t="n"/>
      <c r="D721" s="9" t="n"/>
      <c r="E721" s="9" t="n"/>
      <c r="F721" s="9" t="n"/>
      <c r="G721" s="10" t="n"/>
      <c r="H721" s="9" t="n"/>
      <c r="I721" s="9" t="n"/>
      <c r="J721" s="9" t="n"/>
      <c r="K721" s="9" t="n"/>
      <c r="L721">
        <f>IF($A721="","",IF($P721="Yes","Disputed / Review",IF($I721&lt;&gt;"Yes","Not Reimbursable",IF($M721&lt;=0.004,"Pending",IF($N721&lt;=0.004,"Reimbursed","Partially Reimbursed")))))</f>
        <v/>
      </c>
      <c r="M721" s="12">
        <f>IF($A721="",0,SUMIF('Family Contributions'!$I$4:$I$1003,$A721,'Family Contributions'!$G$4:$G$1003))</f>
        <v/>
      </c>
      <c r="N721" s="12">
        <f>IF($A721="",0,IF($I721="Yes",IF(ISNUMBER($G721),$G721,0)-$M721,0))</f>
        <v/>
      </c>
      <c r="O721" s="9" t="n"/>
      <c r="P721" s="9" t="n"/>
    </row>
    <row r="722">
      <c r="A722" s="9" t="n"/>
      <c r="B722" s="19" t="n"/>
      <c r="C722" s="9" t="n"/>
      <c r="D722" s="9" t="n"/>
      <c r="E722" s="9" t="n"/>
      <c r="F722" s="9" t="n"/>
      <c r="G722" s="10" t="n"/>
      <c r="H722" s="9" t="n"/>
      <c r="I722" s="9" t="n"/>
      <c r="J722" s="9" t="n"/>
      <c r="K722" s="9" t="n"/>
      <c r="L722">
        <f>IF($A722="","",IF($P722="Yes","Disputed / Review",IF($I722&lt;&gt;"Yes","Not Reimbursable",IF($M722&lt;=0.004,"Pending",IF($N722&lt;=0.004,"Reimbursed","Partially Reimbursed")))))</f>
        <v/>
      </c>
      <c r="M722" s="12">
        <f>IF($A722="",0,SUMIF('Family Contributions'!$I$4:$I$1003,$A722,'Family Contributions'!$G$4:$G$1003))</f>
        <v/>
      </c>
      <c r="N722" s="12">
        <f>IF($A722="",0,IF($I722="Yes",IF(ISNUMBER($G722),$G722,0)-$M722,0))</f>
        <v/>
      </c>
      <c r="O722" s="9" t="n"/>
      <c r="P722" s="9" t="n"/>
    </row>
    <row r="723">
      <c r="A723" s="9" t="n"/>
      <c r="B723" s="19" t="n"/>
      <c r="C723" s="9" t="n"/>
      <c r="D723" s="9" t="n"/>
      <c r="E723" s="9" t="n"/>
      <c r="F723" s="9" t="n"/>
      <c r="G723" s="10" t="n"/>
      <c r="H723" s="9" t="n"/>
      <c r="I723" s="9" t="n"/>
      <c r="J723" s="9" t="n"/>
      <c r="K723" s="9" t="n"/>
      <c r="L723">
        <f>IF($A723="","",IF($P723="Yes","Disputed / Review",IF($I723&lt;&gt;"Yes","Not Reimbursable",IF($M723&lt;=0.004,"Pending",IF($N723&lt;=0.004,"Reimbursed","Partially Reimbursed")))))</f>
        <v/>
      </c>
      <c r="M723" s="12">
        <f>IF($A723="",0,SUMIF('Family Contributions'!$I$4:$I$1003,$A723,'Family Contributions'!$G$4:$G$1003))</f>
        <v/>
      </c>
      <c r="N723" s="12">
        <f>IF($A723="",0,IF($I723="Yes",IF(ISNUMBER($G723),$G723,0)-$M723,0))</f>
        <v/>
      </c>
      <c r="O723" s="9" t="n"/>
      <c r="P723" s="9" t="n"/>
    </row>
    <row r="724">
      <c r="A724" s="9" t="n"/>
      <c r="B724" s="19" t="n"/>
      <c r="C724" s="9" t="n"/>
      <c r="D724" s="9" t="n"/>
      <c r="E724" s="9" t="n"/>
      <c r="F724" s="9" t="n"/>
      <c r="G724" s="10" t="n"/>
      <c r="H724" s="9" t="n"/>
      <c r="I724" s="9" t="n"/>
      <c r="J724" s="9" t="n"/>
      <c r="K724" s="9" t="n"/>
      <c r="L724">
        <f>IF($A724="","",IF($P724="Yes","Disputed / Review",IF($I724&lt;&gt;"Yes","Not Reimbursable",IF($M724&lt;=0.004,"Pending",IF($N724&lt;=0.004,"Reimbursed","Partially Reimbursed")))))</f>
        <v/>
      </c>
      <c r="M724" s="12">
        <f>IF($A724="",0,SUMIF('Family Contributions'!$I$4:$I$1003,$A724,'Family Contributions'!$G$4:$G$1003))</f>
        <v/>
      </c>
      <c r="N724" s="12">
        <f>IF($A724="",0,IF($I724="Yes",IF(ISNUMBER($G724),$G724,0)-$M724,0))</f>
        <v/>
      </c>
      <c r="O724" s="9" t="n"/>
      <c r="P724" s="9" t="n"/>
    </row>
    <row r="725">
      <c r="A725" s="9" t="n"/>
      <c r="B725" s="19" t="n"/>
      <c r="C725" s="9" t="n"/>
      <c r="D725" s="9" t="n"/>
      <c r="E725" s="9" t="n"/>
      <c r="F725" s="9" t="n"/>
      <c r="G725" s="10" t="n"/>
      <c r="H725" s="9" t="n"/>
      <c r="I725" s="9" t="n"/>
      <c r="J725" s="9" t="n"/>
      <c r="K725" s="9" t="n"/>
      <c r="L725">
        <f>IF($A725="","",IF($P725="Yes","Disputed / Review",IF($I725&lt;&gt;"Yes","Not Reimbursable",IF($M725&lt;=0.004,"Pending",IF($N725&lt;=0.004,"Reimbursed","Partially Reimbursed")))))</f>
        <v/>
      </c>
      <c r="M725" s="12">
        <f>IF($A725="",0,SUMIF('Family Contributions'!$I$4:$I$1003,$A725,'Family Contributions'!$G$4:$G$1003))</f>
        <v/>
      </c>
      <c r="N725" s="12">
        <f>IF($A725="",0,IF($I725="Yes",IF(ISNUMBER($G725),$G725,0)-$M725,0))</f>
        <v/>
      </c>
      <c r="O725" s="9" t="n"/>
      <c r="P725" s="9" t="n"/>
    </row>
    <row r="726">
      <c r="A726" s="9" t="n"/>
      <c r="B726" s="19" t="n"/>
      <c r="C726" s="9" t="n"/>
      <c r="D726" s="9" t="n"/>
      <c r="E726" s="9" t="n"/>
      <c r="F726" s="9" t="n"/>
      <c r="G726" s="10" t="n"/>
      <c r="H726" s="9" t="n"/>
      <c r="I726" s="9" t="n"/>
      <c r="J726" s="9" t="n"/>
      <c r="K726" s="9" t="n"/>
      <c r="L726">
        <f>IF($A726="","",IF($P726="Yes","Disputed / Review",IF($I726&lt;&gt;"Yes","Not Reimbursable",IF($M726&lt;=0.004,"Pending",IF($N726&lt;=0.004,"Reimbursed","Partially Reimbursed")))))</f>
        <v/>
      </c>
      <c r="M726" s="12">
        <f>IF($A726="",0,SUMIF('Family Contributions'!$I$4:$I$1003,$A726,'Family Contributions'!$G$4:$G$1003))</f>
        <v/>
      </c>
      <c r="N726" s="12">
        <f>IF($A726="",0,IF($I726="Yes",IF(ISNUMBER($G726),$G726,0)-$M726,0))</f>
        <v/>
      </c>
      <c r="O726" s="9" t="n"/>
      <c r="P726" s="9" t="n"/>
    </row>
    <row r="727">
      <c r="A727" s="9" t="n"/>
      <c r="B727" s="19" t="n"/>
      <c r="C727" s="9" t="n"/>
      <c r="D727" s="9" t="n"/>
      <c r="E727" s="9" t="n"/>
      <c r="F727" s="9" t="n"/>
      <c r="G727" s="10" t="n"/>
      <c r="H727" s="9" t="n"/>
      <c r="I727" s="9" t="n"/>
      <c r="J727" s="9" t="n"/>
      <c r="K727" s="9" t="n"/>
      <c r="L727">
        <f>IF($A727="","",IF($P727="Yes","Disputed / Review",IF($I727&lt;&gt;"Yes","Not Reimbursable",IF($M727&lt;=0.004,"Pending",IF($N727&lt;=0.004,"Reimbursed","Partially Reimbursed")))))</f>
        <v/>
      </c>
      <c r="M727" s="12">
        <f>IF($A727="",0,SUMIF('Family Contributions'!$I$4:$I$1003,$A727,'Family Contributions'!$G$4:$G$1003))</f>
        <v/>
      </c>
      <c r="N727" s="12">
        <f>IF($A727="",0,IF($I727="Yes",IF(ISNUMBER($G727),$G727,0)-$M727,0))</f>
        <v/>
      </c>
      <c r="O727" s="9" t="n"/>
      <c r="P727" s="9" t="n"/>
    </row>
    <row r="728">
      <c r="A728" s="9" t="n"/>
      <c r="B728" s="19" t="n"/>
      <c r="C728" s="9" t="n"/>
      <c r="D728" s="9" t="n"/>
      <c r="E728" s="9" t="n"/>
      <c r="F728" s="9" t="n"/>
      <c r="G728" s="10" t="n"/>
      <c r="H728" s="9" t="n"/>
      <c r="I728" s="9" t="n"/>
      <c r="J728" s="9" t="n"/>
      <c r="K728" s="9" t="n"/>
      <c r="L728">
        <f>IF($A728="","",IF($P728="Yes","Disputed / Review",IF($I728&lt;&gt;"Yes","Not Reimbursable",IF($M728&lt;=0.004,"Pending",IF($N728&lt;=0.004,"Reimbursed","Partially Reimbursed")))))</f>
        <v/>
      </c>
      <c r="M728" s="12">
        <f>IF($A728="",0,SUMIF('Family Contributions'!$I$4:$I$1003,$A728,'Family Contributions'!$G$4:$G$1003))</f>
        <v/>
      </c>
      <c r="N728" s="12">
        <f>IF($A728="",0,IF($I728="Yes",IF(ISNUMBER($G728),$G728,0)-$M728,0))</f>
        <v/>
      </c>
      <c r="O728" s="9" t="n"/>
      <c r="P728" s="9" t="n"/>
    </row>
    <row r="729">
      <c r="A729" s="9" t="n"/>
      <c r="B729" s="19" t="n"/>
      <c r="C729" s="9" t="n"/>
      <c r="D729" s="9" t="n"/>
      <c r="E729" s="9" t="n"/>
      <c r="F729" s="9" t="n"/>
      <c r="G729" s="10" t="n"/>
      <c r="H729" s="9" t="n"/>
      <c r="I729" s="9" t="n"/>
      <c r="J729" s="9" t="n"/>
      <c r="K729" s="9" t="n"/>
      <c r="L729">
        <f>IF($A729="","",IF($P729="Yes","Disputed / Review",IF($I729&lt;&gt;"Yes","Not Reimbursable",IF($M729&lt;=0.004,"Pending",IF($N729&lt;=0.004,"Reimbursed","Partially Reimbursed")))))</f>
        <v/>
      </c>
      <c r="M729" s="12">
        <f>IF($A729="",0,SUMIF('Family Contributions'!$I$4:$I$1003,$A729,'Family Contributions'!$G$4:$G$1003))</f>
        <v/>
      </c>
      <c r="N729" s="12">
        <f>IF($A729="",0,IF($I729="Yes",IF(ISNUMBER($G729),$G729,0)-$M729,0))</f>
        <v/>
      </c>
      <c r="O729" s="9" t="n"/>
      <c r="P729" s="9" t="n"/>
    </row>
    <row r="730">
      <c r="A730" s="9" t="n"/>
      <c r="B730" s="19" t="n"/>
      <c r="C730" s="9" t="n"/>
      <c r="D730" s="9" t="n"/>
      <c r="E730" s="9" t="n"/>
      <c r="F730" s="9" t="n"/>
      <c r="G730" s="10" t="n"/>
      <c r="H730" s="9" t="n"/>
      <c r="I730" s="9" t="n"/>
      <c r="J730" s="9" t="n"/>
      <c r="K730" s="9" t="n"/>
      <c r="L730">
        <f>IF($A730="","",IF($P730="Yes","Disputed / Review",IF($I730&lt;&gt;"Yes","Not Reimbursable",IF($M730&lt;=0.004,"Pending",IF($N730&lt;=0.004,"Reimbursed","Partially Reimbursed")))))</f>
        <v/>
      </c>
      <c r="M730" s="12">
        <f>IF($A730="",0,SUMIF('Family Contributions'!$I$4:$I$1003,$A730,'Family Contributions'!$G$4:$G$1003))</f>
        <v/>
      </c>
      <c r="N730" s="12">
        <f>IF($A730="",0,IF($I730="Yes",IF(ISNUMBER($G730),$G730,0)-$M730,0))</f>
        <v/>
      </c>
      <c r="O730" s="9" t="n"/>
      <c r="P730" s="9" t="n"/>
    </row>
    <row r="731">
      <c r="A731" s="9" t="n"/>
      <c r="B731" s="19" t="n"/>
      <c r="C731" s="9" t="n"/>
      <c r="D731" s="9" t="n"/>
      <c r="E731" s="9" t="n"/>
      <c r="F731" s="9" t="n"/>
      <c r="G731" s="10" t="n"/>
      <c r="H731" s="9" t="n"/>
      <c r="I731" s="9" t="n"/>
      <c r="J731" s="9" t="n"/>
      <c r="K731" s="9" t="n"/>
      <c r="L731">
        <f>IF($A731="","",IF($P731="Yes","Disputed / Review",IF($I731&lt;&gt;"Yes","Not Reimbursable",IF($M731&lt;=0.004,"Pending",IF($N731&lt;=0.004,"Reimbursed","Partially Reimbursed")))))</f>
        <v/>
      </c>
      <c r="M731" s="12">
        <f>IF($A731="",0,SUMIF('Family Contributions'!$I$4:$I$1003,$A731,'Family Contributions'!$G$4:$G$1003))</f>
        <v/>
      </c>
      <c r="N731" s="12">
        <f>IF($A731="",0,IF($I731="Yes",IF(ISNUMBER($G731),$G731,0)-$M731,0))</f>
        <v/>
      </c>
      <c r="O731" s="9" t="n"/>
      <c r="P731" s="9" t="n"/>
    </row>
    <row r="732">
      <c r="A732" s="9" t="n"/>
      <c r="B732" s="19" t="n"/>
      <c r="C732" s="9" t="n"/>
      <c r="D732" s="9" t="n"/>
      <c r="E732" s="9" t="n"/>
      <c r="F732" s="9" t="n"/>
      <c r="G732" s="10" t="n"/>
      <c r="H732" s="9" t="n"/>
      <c r="I732" s="9" t="n"/>
      <c r="J732" s="9" t="n"/>
      <c r="K732" s="9" t="n"/>
      <c r="L732">
        <f>IF($A732="","",IF($P732="Yes","Disputed / Review",IF($I732&lt;&gt;"Yes","Not Reimbursable",IF($M732&lt;=0.004,"Pending",IF($N732&lt;=0.004,"Reimbursed","Partially Reimbursed")))))</f>
        <v/>
      </c>
      <c r="M732" s="12">
        <f>IF($A732="",0,SUMIF('Family Contributions'!$I$4:$I$1003,$A732,'Family Contributions'!$G$4:$G$1003))</f>
        <v/>
      </c>
      <c r="N732" s="12">
        <f>IF($A732="",0,IF($I732="Yes",IF(ISNUMBER($G732),$G732,0)-$M732,0))</f>
        <v/>
      </c>
      <c r="O732" s="9" t="n"/>
      <c r="P732" s="9" t="n"/>
    </row>
    <row r="733">
      <c r="A733" s="9" t="n"/>
      <c r="B733" s="19" t="n"/>
      <c r="C733" s="9" t="n"/>
      <c r="D733" s="9" t="n"/>
      <c r="E733" s="9" t="n"/>
      <c r="F733" s="9" t="n"/>
      <c r="G733" s="10" t="n"/>
      <c r="H733" s="9" t="n"/>
      <c r="I733" s="9" t="n"/>
      <c r="J733" s="9" t="n"/>
      <c r="K733" s="9" t="n"/>
      <c r="L733">
        <f>IF($A733="","",IF($P733="Yes","Disputed / Review",IF($I733&lt;&gt;"Yes","Not Reimbursable",IF($M733&lt;=0.004,"Pending",IF($N733&lt;=0.004,"Reimbursed","Partially Reimbursed")))))</f>
        <v/>
      </c>
      <c r="M733" s="12">
        <f>IF($A733="",0,SUMIF('Family Contributions'!$I$4:$I$1003,$A733,'Family Contributions'!$G$4:$G$1003))</f>
        <v/>
      </c>
      <c r="N733" s="12">
        <f>IF($A733="",0,IF($I733="Yes",IF(ISNUMBER($G733),$G733,0)-$M733,0))</f>
        <v/>
      </c>
      <c r="O733" s="9" t="n"/>
      <c r="P733" s="9" t="n"/>
    </row>
    <row r="734">
      <c r="A734" s="9" t="n"/>
      <c r="B734" s="19" t="n"/>
      <c r="C734" s="9" t="n"/>
      <c r="D734" s="9" t="n"/>
      <c r="E734" s="9" t="n"/>
      <c r="F734" s="9" t="n"/>
      <c r="G734" s="10" t="n"/>
      <c r="H734" s="9" t="n"/>
      <c r="I734" s="9" t="n"/>
      <c r="J734" s="9" t="n"/>
      <c r="K734" s="9" t="n"/>
      <c r="L734">
        <f>IF($A734="","",IF($P734="Yes","Disputed / Review",IF($I734&lt;&gt;"Yes","Not Reimbursable",IF($M734&lt;=0.004,"Pending",IF($N734&lt;=0.004,"Reimbursed","Partially Reimbursed")))))</f>
        <v/>
      </c>
      <c r="M734" s="12">
        <f>IF($A734="",0,SUMIF('Family Contributions'!$I$4:$I$1003,$A734,'Family Contributions'!$G$4:$G$1003))</f>
        <v/>
      </c>
      <c r="N734" s="12">
        <f>IF($A734="",0,IF($I734="Yes",IF(ISNUMBER($G734),$G734,0)-$M734,0))</f>
        <v/>
      </c>
      <c r="O734" s="9" t="n"/>
      <c r="P734" s="9" t="n"/>
    </row>
    <row r="735">
      <c r="A735" s="9" t="n"/>
      <c r="B735" s="19" t="n"/>
      <c r="C735" s="9" t="n"/>
      <c r="D735" s="9" t="n"/>
      <c r="E735" s="9" t="n"/>
      <c r="F735" s="9" t="n"/>
      <c r="G735" s="10" t="n"/>
      <c r="H735" s="9" t="n"/>
      <c r="I735" s="9" t="n"/>
      <c r="J735" s="9" t="n"/>
      <c r="K735" s="9" t="n"/>
      <c r="L735">
        <f>IF($A735="","",IF($P735="Yes","Disputed / Review",IF($I735&lt;&gt;"Yes","Not Reimbursable",IF($M735&lt;=0.004,"Pending",IF($N735&lt;=0.004,"Reimbursed","Partially Reimbursed")))))</f>
        <v/>
      </c>
      <c r="M735" s="12">
        <f>IF($A735="",0,SUMIF('Family Contributions'!$I$4:$I$1003,$A735,'Family Contributions'!$G$4:$G$1003))</f>
        <v/>
      </c>
      <c r="N735" s="12">
        <f>IF($A735="",0,IF($I735="Yes",IF(ISNUMBER($G735),$G735,0)-$M735,0))</f>
        <v/>
      </c>
      <c r="O735" s="9" t="n"/>
      <c r="P735" s="9" t="n"/>
    </row>
    <row r="736">
      <c r="A736" s="9" t="n"/>
      <c r="B736" s="19" t="n"/>
      <c r="C736" s="9" t="n"/>
      <c r="D736" s="9" t="n"/>
      <c r="E736" s="9" t="n"/>
      <c r="F736" s="9" t="n"/>
      <c r="G736" s="10" t="n"/>
      <c r="H736" s="9" t="n"/>
      <c r="I736" s="9" t="n"/>
      <c r="J736" s="9" t="n"/>
      <c r="K736" s="9" t="n"/>
      <c r="L736">
        <f>IF($A736="","",IF($P736="Yes","Disputed / Review",IF($I736&lt;&gt;"Yes","Not Reimbursable",IF($M736&lt;=0.004,"Pending",IF($N736&lt;=0.004,"Reimbursed","Partially Reimbursed")))))</f>
        <v/>
      </c>
      <c r="M736" s="12">
        <f>IF($A736="",0,SUMIF('Family Contributions'!$I$4:$I$1003,$A736,'Family Contributions'!$G$4:$G$1003))</f>
        <v/>
      </c>
      <c r="N736" s="12">
        <f>IF($A736="",0,IF($I736="Yes",IF(ISNUMBER($G736),$G736,0)-$M736,0))</f>
        <v/>
      </c>
      <c r="O736" s="9" t="n"/>
      <c r="P736" s="9" t="n"/>
    </row>
    <row r="737">
      <c r="A737" s="9" t="n"/>
      <c r="B737" s="19" t="n"/>
      <c r="C737" s="9" t="n"/>
      <c r="D737" s="9" t="n"/>
      <c r="E737" s="9" t="n"/>
      <c r="F737" s="9" t="n"/>
      <c r="G737" s="10" t="n"/>
      <c r="H737" s="9" t="n"/>
      <c r="I737" s="9" t="n"/>
      <c r="J737" s="9" t="n"/>
      <c r="K737" s="9" t="n"/>
      <c r="L737">
        <f>IF($A737="","",IF($P737="Yes","Disputed / Review",IF($I737&lt;&gt;"Yes","Not Reimbursable",IF($M737&lt;=0.004,"Pending",IF($N737&lt;=0.004,"Reimbursed","Partially Reimbursed")))))</f>
        <v/>
      </c>
      <c r="M737" s="12">
        <f>IF($A737="",0,SUMIF('Family Contributions'!$I$4:$I$1003,$A737,'Family Contributions'!$G$4:$G$1003))</f>
        <v/>
      </c>
      <c r="N737" s="12">
        <f>IF($A737="",0,IF($I737="Yes",IF(ISNUMBER($G737),$G737,0)-$M737,0))</f>
        <v/>
      </c>
      <c r="O737" s="9" t="n"/>
      <c r="P737" s="9" t="n"/>
    </row>
    <row r="738">
      <c r="A738" s="9" t="n"/>
      <c r="B738" s="19" t="n"/>
      <c r="C738" s="9" t="n"/>
      <c r="D738" s="9" t="n"/>
      <c r="E738" s="9" t="n"/>
      <c r="F738" s="9" t="n"/>
      <c r="G738" s="10" t="n"/>
      <c r="H738" s="9" t="n"/>
      <c r="I738" s="9" t="n"/>
      <c r="J738" s="9" t="n"/>
      <c r="K738" s="9" t="n"/>
      <c r="L738">
        <f>IF($A738="","",IF($P738="Yes","Disputed / Review",IF($I738&lt;&gt;"Yes","Not Reimbursable",IF($M738&lt;=0.004,"Pending",IF($N738&lt;=0.004,"Reimbursed","Partially Reimbursed")))))</f>
        <v/>
      </c>
      <c r="M738" s="12">
        <f>IF($A738="",0,SUMIF('Family Contributions'!$I$4:$I$1003,$A738,'Family Contributions'!$G$4:$G$1003))</f>
        <v/>
      </c>
      <c r="N738" s="12">
        <f>IF($A738="",0,IF($I738="Yes",IF(ISNUMBER($G738),$G738,0)-$M738,0))</f>
        <v/>
      </c>
      <c r="O738" s="9" t="n"/>
      <c r="P738" s="9" t="n"/>
    </row>
    <row r="739">
      <c r="A739" s="9" t="n"/>
      <c r="B739" s="19" t="n"/>
      <c r="C739" s="9" t="n"/>
      <c r="D739" s="9" t="n"/>
      <c r="E739" s="9" t="n"/>
      <c r="F739" s="9" t="n"/>
      <c r="G739" s="10" t="n"/>
      <c r="H739" s="9" t="n"/>
      <c r="I739" s="9" t="n"/>
      <c r="J739" s="9" t="n"/>
      <c r="K739" s="9" t="n"/>
      <c r="L739">
        <f>IF($A739="","",IF($P739="Yes","Disputed / Review",IF($I739&lt;&gt;"Yes","Not Reimbursable",IF($M739&lt;=0.004,"Pending",IF($N739&lt;=0.004,"Reimbursed","Partially Reimbursed")))))</f>
        <v/>
      </c>
      <c r="M739" s="12">
        <f>IF($A739="",0,SUMIF('Family Contributions'!$I$4:$I$1003,$A739,'Family Contributions'!$G$4:$G$1003))</f>
        <v/>
      </c>
      <c r="N739" s="12">
        <f>IF($A739="",0,IF($I739="Yes",IF(ISNUMBER($G739),$G739,0)-$M739,0))</f>
        <v/>
      </c>
      <c r="O739" s="9" t="n"/>
      <c r="P739" s="9" t="n"/>
    </row>
    <row r="740">
      <c r="A740" s="9" t="n"/>
      <c r="B740" s="19" t="n"/>
      <c r="C740" s="9" t="n"/>
      <c r="D740" s="9" t="n"/>
      <c r="E740" s="9" t="n"/>
      <c r="F740" s="9" t="n"/>
      <c r="G740" s="10" t="n"/>
      <c r="H740" s="9" t="n"/>
      <c r="I740" s="9" t="n"/>
      <c r="J740" s="9" t="n"/>
      <c r="K740" s="9" t="n"/>
      <c r="L740">
        <f>IF($A740="","",IF($P740="Yes","Disputed / Review",IF($I740&lt;&gt;"Yes","Not Reimbursable",IF($M740&lt;=0.004,"Pending",IF($N740&lt;=0.004,"Reimbursed","Partially Reimbursed")))))</f>
        <v/>
      </c>
      <c r="M740" s="12">
        <f>IF($A740="",0,SUMIF('Family Contributions'!$I$4:$I$1003,$A740,'Family Contributions'!$G$4:$G$1003))</f>
        <v/>
      </c>
      <c r="N740" s="12">
        <f>IF($A740="",0,IF($I740="Yes",IF(ISNUMBER($G740),$G740,0)-$M740,0))</f>
        <v/>
      </c>
      <c r="O740" s="9" t="n"/>
      <c r="P740" s="9" t="n"/>
    </row>
    <row r="741">
      <c r="A741" s="9" t="n"/>
      <c r="B741" s="19" t="n"/>
      <c r="C741" s="9" t="n"/>
      <c r="D741" s="9" t="n"/>
      <c r="E741" s="9" t="n"/>
      <c r="F741" s="9" t="n"/>
      <c r="G741" s="10" t="n"/>
      <c r="H741" s="9" t="n"/>
      <c r="I741" s="9" t="n"/>
      <c r="J741" s="9" t="n"/>
      <c r="K741" s="9" t="n"/>
      <c r="L741">
        <f>IF($A741="","",IF($P741="Yes","Disputed / Review",IF($I741&lt;&gt;"Yes","Not Reimbursable",IF($M741&lt;=0.004,"Pending",IF($N741&lt;=0.004,"Reimbursed","Partially Reimbursed")))))</f>
        <v/>
      </c>
      <c r="M741" s="12">
        <f>IF($A741="",0,SUMIF('Family Contributions'!$I$4:$I$1003,$A741,'Family Contributions'!$G$4:$G$1003))</f>
        <v/>
      </c>
      <c r="N741" s="12">
        <f>IF($A741="",0,IF($I741="Yes",IF(ISNUMBER($G741),$G741,0)-$M741,0))</f>
        <v/>
      </c>
      <c r="O741" s="9" t="n"/>
      <c r="P741" s="9" t="n"/>
    </row>
    <row r="742">
      <c r="A742" s="9" t="n"/>
      <c r="B742" s="19" t="n"/>
      <c r="C742" s="9" t="n"/>
      <c r="D742" s="9" t="n"/>
      <c r="E742" s="9" t="n"/>
      <c r="F742" s="9" t="n"/>
      <c r="G742" s="10" t="n"/>
      <c r="H742" s="9" t="n"/>
      <c r="I742" s="9" t="n"/>
      <c r="J742" s="9" t="n"/>
      <c r="K742" s="9" t="n"/>
      <c r="L742">
        <f>IF($A742="","",IF($P742="Yes","Disputed / Review",IF($I742&lt;&gt;"Yes","Not Reimbursable",IF($M742&lt;=0.004,"Pending",IF($N742&lt;=0.004,"Reimbursed","Partially Reimbursed")))))</f>
        <v/>
      </c>
      <c r="M742" s="12">
        <f>IF($A742="",0,SUMIF('Family Contributions'!$I$4:$I$1003,$A742,'Family Contributions'!$G$4:$G$1003))</f>
        <v/>
      </c>
      <c r="N742" s="12">
        <f>IF($A742="",0,IF($I742="Yes",IF(ISNUMBER($G742),$G742,0)-$M742,0))</f>
        <v/>
      </c>
      <c r="O742" s="9" t="n"/>
      <c r="P742" s="9" t="n"/>
    </row>
    <row r="743">
      <c r="A743" s="9" t="n"/>
      <c r="B743" s="19" t="n"/>
      <c r="C743" s="9" t="n"/>
      <c r="D743" s="9" t="n"/>
      <c r="E743" s="9" t="n"/>
      <c r="F743" s="9" t="n"/>
      <c r="G743" s="10" t="n"/>
      <c r="H743" s="9" t="n"/>
      <c r="I743" s="9" t="n"/>
      <c r="J743" s="9" t="n"/>
      <c r="K743" s="9" t="n"/>
      <c r="L743">
        <f>IF($A743="","",IF($P743="Yes","Disputed / Review",IF($I743&lt;&gt;"Yes","Not Reimbursable",IF($M743&lt;=0.004,"Pending",IF($N743&lt;=0.004,"Reimbursed","Partially Reimbursed")))))</f>
        <v/>
      </c>
      <c r="M743" s="12">
        <f>IF($A743="",0,SUMIF('Family Contributions'!$I$4:$I$1003,$A743,'Family Contributions'!$G$4:$G$1003))</f>
        <v/>
      </c>
      <c r="N743" s="12">
        <f>IF($A743="",0,IF($I743="Yes",IF(ISNUMBER($G743),$G743,0)-$M743,0))</f>
        <v/>
      </c>
      <c r="O743" s="9" t="n"/>
      <c r="P743" s="9" t="n"/>
    </row>
    <row r="744">
      <c r="A744" s="9" t="n"/>
      <c r="B744" s="19" t="n"/>
      <c r="C744" s="9" t="n"/>
      <c r="D744" s="9" t="n"/>
      <c r="E744" s="9" t="n"/>
      <c r="F744" s="9" t="n"/>
      <c r="G744" s="10" t="n"/>
      <c r="H744" s="9" t="n"/>
      <c r="I744" s="9" t="n"/>
      <c r="J744" s="9" t="n"/>
      <c r="K744" s="9" t="n"/>
      <c r="L744">
        <f>IF($A744="","",IF($P744="Yes","Disputed / Review",IF($I744&lt;&gt;"Yes","Not Reimbursable",IF($M744&lt;=0.004,"Pending",IF($N744&lt;=0.004,"Reimbursed","Partially Reimbursed")))))</f>
        <v/>
      </c>
      <c r="M744" s="12">
        <f>IF($A744="",0,SUMIF('Family Contributions'!$I$4:$I$1003,$A744,'Family Contributions'!$G$4:$G$1003))</f>
        <v/>
      </c>
      <c r="N744" s="12">
        <f>IF($A744="",0,IF($I744="Yes",IF(ISNUMBER($G744),$G744,0)-$M744,0))</f>
        <v/>
      </c>
      <c r="O744" s="9" t="n"/>
      <c r="P744" s="9" t="n"/>
    </row>
    <row r="745">
      <c r="A745" s="9" t="n"/>
      <c r="B745" s="19" t="n"/>
      <c r="C745" s="9" t="n"/>
      <c r="D745" s="9" t="n"/>
      <c r="E745" s="9" t="n"/>
      <c r="F745" s="9" t="n"/>
      <c r="G745" s="10" t="n"/>
      <c r="H745" s="9" t="n"/>
      <c r="I745" s="9" t="n"/>
      <c r="J745" s="9" t="n"/>
      <c r="K745" s="9" t="n"/>
      <c r="L745">
        <f>IF($A745="","",IF($P745="Yes","Disputed / Review",IF($I745&lt;&gt;"Yes","Not Reimbursable",IF($M745&lt;=0.004,"Pending",IF($N745&lt;=0.004,"Reimbursed","Partially Reimbursed")))))</f>
        <v/>
      </c>
      <c r="M745" s="12">
        <f>IF($A745="",0,SUMIF('Family Contributions'!$I$4:$I$1003,$A745,'Family Contributions'!$G$4:$G$1003))</f>
        <v/>
      </c>
      <c r="N745" s="12">
        <f>IF($A745="",0,IF($I745="Yes",IF(ISNUMBER($G745),$G745,0)-$M745,0))</f>
        <v/>
      </c>
      <c r="O745" s="9" t="n"/>
      <c r="P745" s="9" t="n"/>
    </row>
    <row r="746">
      <c r="A746" s="9" t="n"/>
      <c r="B746" s="19" t="n"/>
      <c r="C746" s="9" t="n"/>
      <c r="D746" s="9" t="n"/>
      <c r="E746" s="9" t="n"/>
      <c r="F746" s="9" t="n"/>
      <c r="G746" s="10" t="n"/>
      <c r="H746" s="9" t="n"/>
      <c r="I746" s="9" t="n"/>
      <c r="J746" s="9" t="n"/>
      <c r="K746" s="9" t="n"/>
      <c r="L746">
        <f>IF($A746="","",IF($P746="Yes","Disputed / Review",IF($I746&lt;&gt;"Yes","Not Reimbursable",IF($M746&lt;=0.004,"Pending",IF($N746&lt;=0.004,"Reimbursed","Partially Reimbursed")))))</f>
        <v/>
      </c>
      <c r="M746" s="12">
        <f>IF($A746="",0,SUMIF('Family Contributions'!$I$4:$I$1003,$A746,'Family Contributions'!$G$4:$G$1003))</f>
        <v/>
      </c>
      <c r="N746" s="12">
        <f>IF($A746="",0,IF($I746="Yes",IF(ISNUMBER($G746),$G746,0)-$M746,0))</f>
        <v/>
      </c>
      <c r="O746" s="9" t="n"/>
      <c r="P746" s="9" t="n"/>
    </row>
    <row r="747">
      <c r="A747" s="9" t="n"/>
      <c r="B747" s="19" t="n"/>
      <c r="C747" s="9" t="n"/>
      <c r="D747" s="9" t="n"/>
      <c r="E747" s="9" t="n"/>
      <c r="F747" s="9" t="n"/>
      <c r="G747" s="10" t="n"/>
      <c r="H747" s="9" t="n"/>
      <c r="I747" s="9" t="n"/>
      <c r="J747" s="9" t="n"/>
      <c r="K747" s="9" t="n"/>
      <c r="L747">
        <f>IF($A747="","",IF($P747="Yes","Disputed / Review",IF($I747&lt;&gt;"Yes","Not Reimbursable",IF($M747&lt;=0.004,"Pending",IF($N747&lt;=0.004,"Reimbursed","Partially Reimbursed")))))</f>
        <v/>
      </c>
      <c r="M747" s="12">
        <f>IF($A747="",0,SUMIF('Family Contributions'!$I$4:$I$1003,$A747,'Family Contributions'!$G$4:$G$1003))</f>
        <v/>
      </c>
      <c r="N747" s="12">
        <f>IF($A747="",0,IF($I747="Yes",IF(ISNUMBER($G747),$G747,0)-$M747,0))</f>
        <v/>
      </c>
      <c r="O747" s="9" t="n"/>
      <c r="P747" s="9" t="n"/>
    </row>
    <row r="748">
      <c r="A748" s="9" t="n"/>
      <c r="B748" s="19" t="n"/>
      <c r="C748" s="9" t="n"/>
      <c r="D748" s="9" t="n"/>
      <c r="E748" s="9" t="n"/>
      <c r="F748" s="9" t="n"/>
      <c r="G748" s="10" t="n"/>
      <c r="H748" s="9" t="n"/>
      <c r="I748" s="9" t="n"/>
      <c r="J748" s="9" t="n"/>
      <c r="K748" s="9" t="n"/>
      <c r="L748">
        <f>IF($A748="","",IF($P748="Yes","Disputed / Review",IF($I748&lt;&gt;"Yes","Not Reimbursable",IF($M748&lt;=0.004,"Pending",IF($N748&lt;=0.004,"Reimbursed","Partially Reimbursed")))))</f>
        <v/>
      </c>
      <c r="M748" s="12">
        <f>IF($A748="",0,SUMIF('Family Contributions'!$I$4:$I$1003,$A748,'Family Contributions'!$G$4:$G$1003))</f>
        <v/>
      </c>
      <c r="N748" s="12">
        <f>IF($A748="",0,IF($I748="Yes",IF(ISNUMBER($G748),$G748,0)-$M748,0))</f>
        <v/>
      </c>
      <c r="O748" s="9" t="n"/>
      <c r="P748" s="9" t="n"/>
    </row>
    <row r="749">
      <c r="A749" s="9" t="n"/>
      <c r="B749" s="19" t="n"/>
      <c r="C749" s="9" t="n"/>
      <c r="D749" s="9" t="n"/>
      <c r="E749" s="9" t="n"/>
      <c r="F749" s="9" t="n"/>
      <c r="G749" s="10" t="n"/>
      <c r="H749" s="9" t="n"/>
      <c r="I749" s="9" t="n"/>
      <c r="J749" s="9" t="n"/>
      <c r="K749" s="9" t="n"/>
      <c r="L749">
        <f>IF($A749="","",IF($P749="Yes","Disputed / Review",IF($I749&lt;&gt;"Yes","Not Reimbursable",IF($M749&lt;=0.004,"Pending",IF($N749&lt;=0.004,"Reimbursed","Partially Reimbursed")))))</f>
        <v/>
      </c>
      <c r="M749" s="12">
        <f>IF($A749="",0,SUMIF('Family Contributions'!$I$4:$I$1003,$A749,'Family Contributions'!$G$4:$G$1003))</f>
        <v/>
      </c>
      <c r="N749" s="12">
        <f>IF($A749="",0,IF($I749="Yes",IF(ISNUMBER($G749),$G749,0)-$M749,0))</f>
        <v/>
      </c>
      <c r="O749" s="9" t="n"/>
      <c r="P749" s="9" t="n"/>
    </row>
    <row r="750">
      <c r="A750" s="9" t="n"/>
      <c r="B750" s="19" t="n"/>
      <c r="C750" s="9" t="n"/>
      <c r="D750" s="9" t="n"/>
      <c r="E750" s="9" t="n"/>
      <c r="F750" s="9" t="n"/>
      <c r="G750" s="10" t="n"/>
      <c r="H750" s="9" t="n"/>
      <c r="I750" s="9" t="n"/>
      <c r="J750" s="9" t="n"/>
      <c r="K750" s="9" t="n"/>
      <c r="L750">
        <f>IF($A750="","",IF($P750="Yes","Disputed / Review",IF($I750&lt;&gt;"Yes","Not Reimbursable",IF($M750&lt;=0.004,"Pending",IF($N750&lt;=0.004,"Reimbursed","Partially Reimbursed")))))</f>
        <v/>
      </c>
      <c r="M750" s="12">
        <f>IF($A750="",0,SUMIF('Family Contributions'!$I$4:$I$1003,$A750,'Family Contributions'!$G$4:$G$1003))</f>
        <v/>
      </c>
      <c r="N750" s="12">
        <f>IF($A750="",0,IF($I750="Yes",IF(ISNUMBER($G750),$G750,0)-$M750,0))</f>
        <v/>
      </c>
      <c r="O750" s="9" t="n"/>
      <c r="P750" s="9" t="n"/>
    </row>
    <row r="751">
      <c r="A751" s="9" t="n"/>
      <c r="B751" s="19" t="n"/>
      <c r="C751" s="9" t="n"/>
      <c r="D751" s="9" t="n"/>
      <c r="E751" s="9" t="n"/>
      <c r="F751" s="9" t="n"/>
      <c r="G751" s="10" t="n"/>
      <c r="H751" s="9" t="n"/>
      <c r="I751" s="9" t="n"/>
      <c r="J751" s="9" t="n"/>
      <c r="K751" s="9" t="n"/>
      <c r="L751">
        <f>IF($A751="","",IF($P751="Yes","Disputed / Review",IF($I751&lt;&gt;"Yes","Not Reimbursable",IF($M751&lt;=0.004,"Pending",IF($N751&lt;=0.004,"Reimbursed","Partially Reimbursed")))))</f>
        <v/>
      </c>
      <c r="M751" s="12">
        <f>IF($A751="",0,SUMIF('Family Contributions'!$I$4:$I$1003,$A751,'Family Contributions'!$G$4:$G$1003))</f>
        <v/>
      </c>
      <c r="N751" s="12">
        <f>IF($A751="",0,IF($I751="Yes",IF(ISNUMBER($G751),$G751,0)-$M751,0))</f>
        <v/>
      </c>
      <c r="O751" s="9" t="n"/>
      <c r="P751" s="9" t="n"/>
    </row>
    <row r="752">
      <c r="A752" s="9" t="n"/>
      <c r="B752" s="19" t="n"/>
      <c r="C752" s="9" t="n"/>
      <c r="D752" s="9" t="n"/>
      <c r="E752" s="9" t="n"/>
      <c r="F752" s="9" t="n"/>
      <c r="G752" s="10" t="n"/>
      <c r="H752" s="9" t="n"/>
      <c r="I752" s="9" t="n"/>
      <c r="J752" s="9" t="n"/>
      <c r="K752" s="9" t="n"/>
      <c r="L752">
        <f>IF($A752="","",IF($P752="Yes","Disputed / Review",IF($I752&lt;&gt;"Yes","Not Reimbursable",IF($M752&lt;=0.004,"Pending",IF($N752&lt;=0.004,"Reimbursed","Partially Reimbursed")))))</f>
        <v/>
      </c>
      <c r="M752" s="12">
        <f>IF($A752="",0,SUMIF('Family Contributions'!$I$4:$I$1003,$A752,'Family Contributions'!$G$4:$G$1003))</f>
        <v/>
      </c>
      <c r="N752" s="12">
        <f>IF($A752="",0,IF($I752="Yes",IF(ISNUMBER($G752),$G752,0)-$M752,0))</f>
        <v/>
      </c>
      <c r="O752" s="9" t="n"/>
      <c r="P752" s="9" t="n"/>
    </row>
    <row r="753">
      <c r="A753" s="9" t="n"/>
      <c r="B753" s="19" t="n"/>
      <c r="C753" s="9" t="n"/>
      <c r="D753" s="9" t="n"/>
      <c r="E753" s="9" t="n"/>
      <c r="F753" s="9" t="n"/>
      <c r="G753" s="10" t="n"/>
      <c r="H753" s="9" t="n"/>
      <c r="I753" s="9" t="n"/>
      <c r="J753" s="9" t="n"/>
      <c r="K753" s="9" t="n"/>
      <c r="L753">
        <f>IF($A753="","",IF($P753="Yes","Disputed / Review",IF($I753&lt;&gt;"Yes","Not Reimbursable",IF($M753&lt;=0.004,"Pending",IF($N753&lt;=0.004,"Reimbursed","Partially Reimbursed")))))</f>
        <v/>
      </c>
      <c r="M753" s="12">
        <f>IF($A753="",0,SUMIF('Family Contributions'!$I$4:$I$1003,$A753,'Family Contributions'!$G$4:$G$1003))</f>
        <v/>
      </c>
      <c r="N753" s="12">
        <f>IF($A753="",0,IF($I753="Yes",IF(ISNUMBER($G753),$G753,0)-$M753,0))</f>
        <v/>
      </c>
      <c r="O753" s="9" t="n"/>
      <c r="P753" s="9" t="n"/>
    </row>
    <row r="754">
      <c r="A754" s="9" t="n"/>
      <c r="B754" s="19" t="n"/>
      <c r="C754" s="9" t="n"/>
      <c r="D754" s="9" t="n"/>
      <c r="E754" s="9" t="n"/>
      <c r="F754" s="9" t="n"/>
      <c r="G754" s="10" t="n"/>
      <c r="H754" s="9" t="n"/>
      <c r="I754" s="9" t="n"/>
      <c r="J754" s="9" t="n"/>
      <c r="K754" s="9" t="n"/>
      <c r="L754">
        <f>IF($A754="","",IF($P754="Yes","Disputed / Review",IF($I754&lt;&gt;"Yes","Not Reimbursable",IF($M754&lt;=0.004,"Pending",IF($N754&lt;=0.004,"Reimbursed","Partially Reimbursed")))))</f>
        <v/>
      </c>
      <c r="M754" s="12">
        <f>IF($A754="",0,SUMIF('Family Contributions'!$I$4:$I$1003,$A754,'Family Contributions'!$G$4:$G$1003))</f>
        <v/>
      </c>
      <c r="N754" s="12">
        <f>IF($A754="",0,IF($I754="Yes",IF(ISNUMBER($G754),$G754,0)-$M754,0))</f>
        <v/>
      </c>
      <c r="O754" s="9" t="n"/>
      <c r="P754" s="9" t="n"/>
    </row>
    <row r="755">
      <c r="A755" s="9" t="n"/>
      <c r="B755" s="19" t="n"/>
      <c r="C755" s="9" t="n"/>
      <c r="D755" s="9" t="n"/>
      <c r="E755" s="9" t="n"/>
      <c r="F755" s="9" t="n"/>
      <c r="G755" s="10" t="n"/>
      <c r="H755" s="9" t="n"/>
      <c r="I755" s="9" t="n"/>
      <c r="J755" s="9" t="n"/>
      <c r="K755" s="9" t="n"/>
      <c r="L755">
        <f>IF($A755="","",IF($P755="Yes","Disputed / Review",IF($I755&lt;&gt;"Yes","Not Reimbursable",IF($M755&lt;=0.004,"Pending",IF($N755&lt;=0.004,"Reimbursed","Partially Reimbursed")))))</f>
        <v/>
      </c>
      <c r="M755" s="12">
        <f>IF($A755="",0,SUMIF('Family Contributions'!$I$4:$I$1003,$A755,'Family Contributions'!$G$4:$G$1003))</f>
        <v/>
      </c>
      <c r="N755" s="12">
        <f>IF($A755="",0,IF($I755="Yes",IF(ISNUMBER($G755),$G755,0)-$M755,0))</f>
        <v/>
      </c>
      <c r="O755" s="9" t="n"/>
      <c r="P755" s="9" t="n"/>
    </row>
    <row r="756">
      <c r="A756" s="9" t="n"/>
      <c r="B756" s="19" t="n"/>
      <c r="C756" s="9" t="n"/>
      <c r="D756" s="9" t="n"/>
      <c r="E756" s="9" t="n"/>
      <c r="F756" s="9" t="n"/>
      <c r="G756" s="10" t="n"/>
      <c r="H756" s="9" t="n"/>
      <c r="I756" s="9" t="n"/>
      <c r="J756" s="9" t="n"/>
      <c r="K756" s="9" t="n"/>
      <c r="L756">
        <f>IF($A756="","",IF($P756="Yes","Disputed / Review",IF($I756&lt;&gt;"Yes","Not Reimbursable",IF($M756&lt;=0.004,"Pending",IF($N756&lt;=0.004,"Reimbursed","Partially Reimbursed")))))</f>
        <v/>
      </c>
      <c r="M756" s="12">
        <f>IF($A756="",0,SUMIF('Family Contributions'!$I$4:$I$1003,$A756,'Family Contributions'!$G$4:$G$1003))</f>
        <v/>
      </c>
      <c r="N756" s="12">
        <f>IF($A756="",0,IF($I756="Yes",IF(ISNUMBER($G756),$G756,0)-$M756,0))</f>
        <v/>
      </c>
      <c r="O756" s="9" t="n"/>
      <c r="P756" s="9" t="n"/>
    </row>
    <row r="757">
      <c r="A757" s="9" t="n"/>
      <c r="B757" s="19" t="n"/>
      <c r="C757" s="9" t="n"/>
      <c r="D757" s="9" t="n"/>
      <c r="E757" s="9" t="n"/>
      <c r="F757" s="9" t="n"/>
      <c r="G757" s="10" t="n"/>
      <c r="H757" s="9" t="n"/>
      <c r="I757" s="9" t="n"/>
      <c r="J757" s="9" t="n"/>
      <c r="K757" s="9" t="n"/>
      <c r="L757">
        <f>IF($A757="","",IF($P757="Yes","Disputed / Review",IF($I757&lt;&gt;"Yes","Not Reimbursable",IF($M757&lt;=0.004,"Pending",IF($N757&lt;=0.004,"Reimbursed","Partially Reimbursed")))))</f>
        <v/>
      </c>
      <c r="M757" s="12">
        <f>IF($A757="",0,SUMIF('Family Contributions'!$I$4:$I$1003,$A757,'Family Contributions'!$G$4:$G$1003))</f>
        <v/>
      </c>
      <c r="N757" s="12">
        <f>IF($A757="",0,IF($I757="Yes",IF(ISNUMBER($G757),$G757,0)-$M757,0))</f>
        <v/>
      </c>
      <c r="O757" s="9" t="n"/>
      <c r="P757" s="9" t="n"/>
    </row>
    <row r="758">
      <c r="A758" s="9" t="n"/>
      <c r="B758" s="19" t="n"/>
      <c r="C758" s="9" t="n"/>
      <c r="D758" s="9" t="n"/>
      <c r="E758" s="9" t="n"/>
      <c r="F758" s="9" t="n"/>
      <c r="G758" s="10" t="n"/>
      <c r="H758" s="9" t="n"/>
      <c r="I758" s="9" t="n"/>
      <c r="J758" s="9" t="n"/>
      <c r="K758" s="9" t="n"/>
      <c r="L758">
        <f>IF($A758="","",IF($P758="Yes","Disputed / Review",IF($I758&lt;&gt;"Yes","Not Reimbursable",IF($M758&lt;=0.004,"Pending",IF($N758&lt;=0.004,"Reimbursed","Partially Reimbursed")))))</f>
        <v/>
      </c>
      <c r="M758" s="12">
        <f>IF($A758="",0,SUMIF('Family Contributions'!$I$4:$I$1003,$A758,'Family Contributions'!$G$4:$G$1003))</f>
        <v/>
      </c>
      <c r="N758" s="12">
        <f>IF($A758="",0,IF($I758="Yes",IF(ISNUMBER($G758),$G758,0)-$M758,0))</f>
        <v/>
      </c>
      <c r="O758" s="9" t="n"/>
      <c r="P758" s="9" t="n"/>
    </row>
    <row r="759">
      <c r="A759" s="9" t="n"/>
      <c r="B759" s="19" t="n"/>
      <c r="C759" s="9" t="n"/>
      <c r="D759" s="9" t="n"/>
      <c r="E759" s="9" t="n"/>
      <c r="F759" s="9" t="n"/>
      <c r="G759" s="10" t="n"/>
      <c r="H759" s="9" t="n"/>
      <c r="I759" s="9" t="n"/>
      <c r="J759" s="9" t="n"/>
      <c r="K759" s="9" t="n"/>
      <c r="L759">
        <f>IF($A759="","",IF($P759="Yes","Disputed / Review",IF($I759&lt;&gt;"Yes","Not Reimbursable",IF($M759&lt;=0.004,"Pending",IF($N759&lt;=0.004,"Reimbursed","Partially Reimbursed")))))</f>
        <v/>
      </c>
      <c r="M759" s="12">
        <f>IF($A759="",0,SUMIF('Family Contributions'!$I$4:$I$1003,$A759,'Family Contributions'!$G$4:$G$1003))</f>
        <v/>
      </c>
      <c r="N759" s="12">
        <f>IF($A759="",0,IF($I759="Yes",IF(ISNUMBER($G759),$G759,0)-$M759,0))</f>
        <v/>
      </c>
      <c r="O759" s="9" t="n"/>
      <c r="P759" s="9" t="n"/>
    </row>
    <row r="760">
      <c r="A760" s="9" t="n"/>
      <c r="B760" s="19" t="n"/>
      <c r="C760" s="9" t="n"/>
      <c r="D760" s="9" t="n"/>
      <c r="E760" s="9" t="n"/>
      <c r="F760" s="9" t="n"/>
      <c r="G760" s="10" t="n"/>
      <c r="H760" s="9" t="n"/>
      <c r="I760" s="9" t="n"/>
      <c r="J760" s="9" t="n"/>
      <c r="K760" s="9" t="n"/>
      <c r="L760">
        <f>IF($A760="","",IF($P760="Yes","Disputed / Review",IF($I760&lt;&gt;"Yes","Not Reimbursable",IF($M760&lt;=0.004,"Pending",IF($N760&lt;=0.004,"Reimbursed","Partially Reimbursed")))))</f>
        <v/>
      </c>
      <c r="M760" s="12">
        <f>IF($A760="",0,SUMIF('Family Contributions'!$I$4:$I$1003,$A760,'Family Contributions'!$G$4:$G$1003))</f>
        <v/>
      </c>
      <c r="N760" s="12">
        <f>IF($A760="",0,IF($I760="Yes",IF(ISNUMBER($G760),$G760,0)-$M760,0))</f>
        <v/>
      </c>
      <c r="O760" s="9" t="n"/>
      <c r="P760" s="9" t="n"/>
    </row>
    <row r="761">
      <c r="A761" s="9" t="n"/>
      <c r="B761" s="19" t="n"/>
      <c r="C761" s="9" t="n"/>
      <c r="D761" s="9" t="n"/>
      <c r="E761" s="9" t="n"/>
      <c r="F761" s="9" t="n"/>
      <c r="G761" s="10" t="n"/>
      <c r="H761" s="9" t="n"/>
      <c r="I761" s="9" t="n"/>
      <c r="J761" s="9" t="n"/>
      <c r="K761" s="9" t="n"/>
      <c r="L761">
        <f>IF($A761="","",IF($P761="Yes","Disputed / Review",IF($I761&lt;&gt;"Yes","Not Reimbursable",IF($M761&lt;=0.004,"Pending",IF($N761&lt;=0.004,"Reimbursed","Partially Reimbursed")))))</f>
        <v/>
      </c>
      <c r="M761" s="12">
        <f>IF($A761="",0,SUMIF('Family Contributions'!$I$4:$I$1003,$A761,'Family Contributions'!$G$4:$G$1003))</f>
        <v/>
      </c>
      <c r="N761" s="12">
        <f>IF($A761="",0,IF($I761="Yes",IF(ISNUMBER($G761),$G761,0)-$M761,0))</f>
        <v/>
      </c>
      <c r="O761" s="9" t="n"/>
      <c r="P761" s="9" t="n"/>
    </row>
    <row r="762">
      <c r="A762" s="9" t="n"/>
      <c r="B762" s="19" t="n"/>
      <c r="C762" s="9" t="n"/>
      <c r="D762" s="9" t="n"/>
      <c r="E762" s="9" t="n"/>
      <c r="F762" s="9" t="n"/>
      <c r="G762" s="10" t="n"/>
      <c r="H762" s="9" t="n"/>
      <c r="I762" s="9" t="n"/>
      <c r="J762" s="9" t="n"/>
      <c r="K762" s="9" t="n"/>
      <c r="L762">
        <f>IF($A762="","",IF($P762="Yes","Disputed / Review",IF($I762&lt;&gt;"Yes","Not Reimbursable",IF($M762&lt;=0.004,"Pending",IF($N762&lt;=0.004,"Reimbursed","Partially Reimbursed")))))</f>
        <v/>
      </c>
      <c r="M762" s="12">
        <f>IF($A762="",0,SUMIF('Family Contributions'!$I$4:$I$1003,$A762,'Family Contributions'!$G$4:$G$1003))</f>
        <v/>
      </c>
      <c r="N762" s="12">
        <f>IF($A762="",0,IF($I762="Yes",IF(ISNUMBER($G762),$G762,0)-$M762,0))</f>
        <v/>
      </c>
      <c r="O762" s="9" t="n"/>
      <c r="P762" s="9" t="n"/>
    </row>
    <row r="763">
      <c r="A763" s="9" t="n"/>
      <c r="B763" s="19" t="n"/>
      <c r="C763" s="9" t="n"/>
      <c r="D763" s="9" t="n"/>
      <c r="E763" s="9" t="n"/>
      <c r="F763" s="9" t="n"/>
      <c r="G763" s="10" t="n"/>
      <c r="H763" s="9" t="n"/>
      <c r="I763" s="9" t="n"/>
      <c r="J763" s="9" t="n"/>
      <c r="K763" s="9" t="n"/>
      <c r="L763">
        <f>IF($A763="","",IF($P763="Yes","Disputed / Review",IF($I763&lt;&gt;"Yes","Not Reimbursable",IF($M763&lt;=0.004,"Pending",IF($N763&lt;=0.004,"Reimbursed","Partially Reimbursed")))))</f>
        <v/>
      </c>
      <c r="M763" s="12">
        <f>IF($A763="",0,SUMIF('Family Contributions'!$I$4:$I$1003,$A763,'Family Contributions'!$G$4:$G$1003))</f>
        <v/>
      </c>
      <c r="N763" s="12">
        <f>IF($A763="",0,IF($I763="Yes",IF(ISNUMBER($G763),$G763,0)-$M763,0))</f>
        <v/>
      </c>
      <c r="O763" s="9" t="n"/>
      <c r="P763" s="9" t="n"/>
    </row>
    <row r="764">
      <c r="A764" s="9" t="n"/>
      <c r="B764" s="19" t="n"/>
      <c r="C764" s="9" t="n"/>
      <c r="D764" s="9" t="n"/>
      <c r="E764" s="9" t="n"/>
      <c r="F764" s="9" t="n"/>
      <c r="G764" s="10" t="n"/>
      <c r="H764" s="9" t="n"/>
      <c r="I764" s="9" t="n"/>
      <c r="J764" s="9" t="n"/>
      <c r="K764" s="9" t="n"/>
      <c r="L764">
        <f>IF($A764="","",IF($P764="Yes","Disputed / Review",IF($I764&lt;&gt;"Yes","Not Reimbursable",IF($M764&lt;=0.004,"Pending",IF($N764&lt;=0.004,"Reimbursed","Partially Reimbursed")))))</f>
        <v/>
      </c>
      <c r="M764" s="12">
        <f>IF($A764="",0,SUMIF('Family Contributions'!$I$4:$I$1003,$A764,'Family Contributions'!$G$4:$G$1003))</f>
        <v/>
      </c>
      <c r="N764" s="12">
        <f>IF($A764="",0,IF($I764="Yes",IF(ISNUMBER($G764),$G764,0)-$M764,0))</f>
        <v/>
      </c>
      <c r="O764" s="9" t="n"/>
      <c r="P764" s="9" t="n"/>
    </row>
    <row r="765">
      <c r="A765" s="9" t="n"/>
      <c r="B765" s="19" t="n"/>
      <c r="C765" s="9" t="n"/>
      <c r="D765" s="9" t="n"/>
      <c r="E765" s="9" t="n"/>
      <c r="F765" s="9" t="n"/>
      <c r="G765" s="10" t="n"/>
      <c r="H765" s="9" t="n"/>
      <c r="I765" s="9" t="n"/>
      <c r="J765" s="9" t="n"/>
      <c r="K765" s="9" t="n"/>
      <c r="L765">
        <f>IF($A765="","",IF($P765="Yes","Disputed / Review",IF($I765&lt;&gt;"Yes","Not Reimbursable",IF($M765&lt;=0.004,"Pending",IF($N765&lt;=0.004,"Reimbursed","Partially Reimbursed")))))</f>
        <v/>
      </c>
      <c r="M765" s="12">
        <f>IF($A765="",0,SUMIF('Family Contributions'!$I$4:$I$1003,$A765,'Family Contributions'!$G$4:$G$1003))</f>
        <v/>
      </c>
      <c r="N765" s="12">
        <f>IF($A765="",0,IF($I765="Yes",IF(ISNUMBER($G765),$G765,0)-$M765,0))</f>
        <v/>
      </c>
      <c r="O765" s="9" t="n"/>
      <c r="P765" s="9" t="n"/>
    </row>
    <row r="766">
      <c r="A766" s="9" t="n"/>
      <c r="B766" s="19" t="n"/>
      <c r="C766" s="9" t="n"/>
      <c r="D766" s="9" t="n"/>
      <c r="E766" s="9" t="n"/>
      <c r="F766" s="9" t="n"/>
      <c r="G766" s="10" t="n"/>
      <c r="H766" s="9" t="n"/>
      <c r="I766" s="9" t="n"/>
      <c r="J766" s="9" t="n"/>
      <c r="K766" s="9" t="n"/>
      <c r="L766">
        <f>IF($A766="","",IF($P766="Yes","Disputed / Review",IF($I766&lt;&gt;"Yes","Not Reimbursable",IF($M766&lt;=0.004,"Pending",IF($N766&lt;=0.004,"Reimbursed","Partially Reimbursed")))))</f>
        <v/>
      </c>
      <c r="M766" s="12">
        <f>IF($A766="",0,SUMIF('Family Contributions'!$I$4:$I$1003,$A766,'Family Contributions'!$G$4:$G$1003))</f>
        <v/>
      </c>
      <c r="N766" s="12">
        <f>IF($A766="",0,IF($I766="Yes",IF(ISNUMBER($G766),$G766,0)-$M766,0))</f>
        <v/>
      </c>
      <c r="O766" s="9" t="n"/>
      <c r="P766" s="9" t="n"/>
    </row>
    <row r="767">
      <c r="A767" s="9" t="n"/>
      <c r="B767" s="19" t="n"/>
      <c r="C767" s="9" t="n"/>
      <c r="D767" s="9" t="n"/>
      <c r="E767" s="9" t="n"/>
      <c r="F767" s="9" t="n"/>
      <c r="G767" s="10" t="n"/>
      <c r="H767" s="9" t="n"/>
      <c r="I767" s="9" t="n"/>
      <c r="J767" s="9" t="n"/>
      <c r="K767" s="9" t="n"/>
      <c r="L767">
        <f>IF($A767="","",IF($P767="Yes","Disputed / Review",IF($I767&lt;&gt;"Yes","Not Reimbursable",IF($M767&lt;=0.004,"Pending",IF($N767&lt;=0.004,"Reimbursed","Partially Reimbursed")))))</f>
        <v/>
      </c>
      <c r="M767" s="12">
        <f>IF($A767="",0,SUMIF('Family Contributions'!$I$4:$I$1003,$A767,'Family Contributions'!$G$4:$G$1003))</f>
        <v/>
      </c>
      <c r="N767" s="12">
        <f>IF($A767="",0,IF($I767="Yes",IF(ISNUMBER($G767),$G767,0)-$M767,0))</f>
        <v/>
      </c>
      <c r="O767" s="9" t="n"/>
      <c r="P767" s="9" t="n"/>
    </row>
    <row r="768">
      <c r="A768" s="9" t="n"/>
      <c r="B768" s="19" t="n"/>
      <c r="C768" s="9" t="n"/>
      <c r="D768" s="9" t="n"/>
      <c r="E768" s="9" t="n"/>
      <c r="F768" s="9" t="n"/>
      <c r="G768" s="10" t="n"/>
      <c r="H768" s="9" t="n"/>
      <c r="I768" s="9" t="n"/>
      <c r="J768" s="9" t="n"/>
      <c r="K768" s="9" t="n"/>
      <c r="L768">
        <f>IF($A768="","",IF($P768="Yes","Disputed / Review",IF($I768&lt;&gt;"Yes","Not Reimbursable",IF($M768&lt;=0.004,"Pending",IF($N768&lt;=0.004,"Reimbursed","Partially Reimbursed")))))</f>
        <v/>
      </c>
      <c r="M768" s="12">
        <f>IF($A768="",0,SUMIF('Family Contributions'!$I$4:$I$1003,$A768,'Family Contributions'!$G$4:$G$1003))</f>
        <v/>
      </c>
      <c r="N768" s="12">
        <f>IF($A768="",0,IF($I768="Yes",IF(ISNUMBER($G768),$G768,0)-$M768,0))</f>
        <v/>
      </c>
      <c r="O768" s="9" t="n"/>
      <c r="P768" s="9" t="n"/>
    </row>
    <row r="769">
      <c r="A769" s="9" t="n"/>
      <c r="B769" s="19" t="n"/>
      <c r="C769" s="9" t="n"/>
      <c r="D769" s="9" t="n"/>
      <c r="E769" s="9" t="n"/>
      <c r="F769" s="9" t="n"/>
      <c r="G769" s="10" t="n"/>
      <c r="H769" s="9" t="n"/>
      <c r="I769" s="9" t="n"/>
      <c r="J769" s="9" t="n"/>
      <c r="K769" s="9" t="n"/>
      <c r="L769">
        <f>IF($A769="","",IF($P769="Yes","Disputed / Review",IF($I769&lt;&gt;"Yes","Not Reimbursable",IF($M769&lt;=0.004,"Pending",IF($N769&lt;=0.004,"Reimbursed","Partially Reimbursed")))))</f>
        <v/>
      </c>
      <c r="M769" s="12">
        <f>IF($A769="",0,SUMIF('Family Contributions'!$I$4:$I$1003,$A769,'Family Contributions'!$G$4:$G$1003))</f>
        <v/>
      </c>
      <c r="N769" s="12">
        <f>IF($A769="",0,IF($I769="Yes",IF(ISNUMBER($G769),$G769,0)-$M769,0))</f>
        <v/>
      </c>
      <c r="O769" s="9" t="n"/>
      <c r="P769" s="9" t="n"/>
    </row>
    <row r="770">
      <c r="A770" s="9" t="n"/>
      <c r="B770" s="19" t="n"/>
      <c r="C770" s="9" t="n"/>
      <c r="D770" s="9" t="n"/>
      <c r="E770" s="9" t="n"/>
      <c r="F770" s="9" t="n"/>
      <c r="G770" s="10" t="n"/>
      <c r="H770" s="9" t="n"/>
      <c r="I770" s="9" t="n"/>
      <c r="J770" s="9" t="n"/>
      <c r="K770" s="9" t="n"/>
      <c r="L770">
        <f>IF($A770="","",IF($P770="Yes","Disputed / Review",IF($I770&lt;&gt;"Yes","Not Reimbursable",IF($M770&lt;=0.004,"Pending",IF($N770&lt;=0.004,"Reimbursed","Partially Reimbursed")))))</f>
        <v/>
      </c>
      <c r="M770" s="12">
        <f>IF($A770="",0,SUMIF('Family Contributions'!$I$4:$I$1003,$A770,'Family Contributions'!$G$4:$G$1003))</f>
        <v/>
      </c>
      <c r="N770" s="12">
        <f>IF($A770="",0,IF($I770="Yes",IF(ISNUMBER($G770),$G770,0)-$M770,0))</f>
        <v/>
      </c>
      <c r="O770" s="9" t="n"/>
      <c r="P770" s="9" t="n"/>
    </row>
    <row r="771">
      <c r="A771" s="9" t="n"/>
      <c r="B771" s="19" t="n"/>
      <c r="C771" s="9" t="n"/>
      <c r="D771" s="9" t="n"/>
      <c r="E771" s="9" t="n"/>
      <c r="F771" s="9" t="n"/>
      <c r="G771" s="10" t="n"/>
      <c r="H771" s="9" t="n"/>
      <c r="I771" s="9" t="n"/>
      <c r="J771" s="9" t="n"/>
      <c r="K771" s="9" t="n"/>
      <c r="L771">
        <f>IF($A771="","",IF($P771="Yes","Disputed / Review",IF($I771&lt;&gt;"Yes","Not Reimbursable",IF($M771&lt;=0.004,"Pending",IF($N771&lt;=0.004,"Reimbursed","Partially Reimbursed")))))</f>
        <v/>
      </c>
      <c r="M771" s="12">
        <f>IF($A771="",0,SUMIF('Family Contributions'!$I$4:$I$1003,$A771,'Family Contributions'!$G$4:$G$1003))</f>
        <v/>
      </c>
      <c r="N771" s="12">
        <f>IF($A771="",0,IF($I771="Yes",IF(ISNUMBER($G771),$G771,0)-$M771,0))</f>
        <v/>
      </c>
      <c r="O771" s="9" t="n"/>
      <c r="P771" s="9" t="n"/>
    </row>
    <row r="772">
      <c r="A772" s="9" t="n"/>
      <c r="B772" s="19" t="n"/>
      <c r="C772" s="9" t="n"/>
      <c r="D772" s="9" t="n"/>
      <c r="E772" s="9" t="n"/>
      <c r="F772" s="9" t="n"/>
      <c r="G772" s="10" t="n"/>
      <c r="H772" s="9" t="n"/>
      <c r="I772" s="9" t="n"/>
      <c r="J772" s="9" t="n"/>
      <c r="K772" s="9" t="n"/>
      <c r="L772">
        <f>IF($A772="","",IF($P772="Yes","Disputed / Review",IF($I772&lt;&gt;"Yes","Not Reimbursable",IF($M772&lt;=0.004,"Pending",IF($N772&lt;=0.004,"Reimbursed","Partially Reimbursed")))))</f>
        <v/>
      </c>
      <c r="M772" s="12">
        <f>IF($A772="",0,SUMIF('Family Contributions'!$I$4:$I$1003,$A772,'Family Contributions'!$G$4:$G$1003))</f>
        <v/>
      </c>
      <c r="N772" s="12">
        <f>IF($A772="",0,IF($I772="Yes",IF(ISNUMBER($G772),$G772,0)-$M772,0))</f>
        <v/>
      </c>
      <c r="O772" s="9" t="n"/>
      <c r="P772" s="9" t="n"/>
    </row>
    <row r="773">
      <c r="A773" s="9" t="n"/>
      <c r="B773" s="19" t="n"/>
      <c r="C773" s="9" t="n"/>
      <c r="D773" s="9" t="n"/>
      <c r="E773" s="9" t="n"/>
      <c r="F773" s="9" t="n"/>
      <c r="G773" s="10" t="n"/>
      <c r="H773" s="9" t="n"/>
      <c r="I773" s="9" t="n"/>
      <c r="J773" s="9" t="n"/>
      <c r="K773" s="9" t="n"/>
      <c r="L773">
        <f>IF($A773="","",IF($P773="Yes","Disputed / Review",IF($I773&lt;&gt;"Yes","Not Reimbursable",IF($M773&lt;=0.004,"Pending",IF($N773&lt;=0.004,"Reimbursed","Partially Reimbursed")))))</f>
        <v/>
      </c>
      <c r="M773" s="12">
        <f>IF($A773="",0,SUMIF('Family Contributions'!$I$4:$I$1003,$A773,'Family Contributions'!$G$4:$G$1003))</f>
        <v/>
      </c>
      <c r="N773" s="12">
        <f>IF($A773="",0,IF($I773="Yes",IF(ISNUMBER($G773),$G773,0)-$M773,0))</f>
        <v/>
      </c>
      <c r="O773" s="9" t="n"/>
      <c r="P773" s="9" t="n"/>
    </row>
    <row r="774">
      <c r="A774" s="9" t="n"/>
      <c r="B774" s="19" t="n"/>
      <c r="C774" s="9" t="n"/>
      <c r="D774" s="9" t="n"/>
      <c r="E774" s="9" t="n"/>
      <c r="F774" s="9" t="n"/>
      <c r="G774" s="10" t="n"/>
      <c r="H774" s="9" t="n"/>
      <c r="I774" s="9" t="n"/>
      <c r="J774" s="9" t="n"/>
      <c r="K774" s="9" t="n"/>
      <c r="L774">
        <f>IF($A774="","",IF($P774="Yes","Disputed / Review",IF($I774&lt;&gt;"Yes","Not Reimbursable",IF($M774&lt;=0.004,"Pending",IF($N774&lt;=0.004,"Reimbursed","Partially Reimbursed")))))</f>
        <v/>
      </c>
      <c r="M774" s="12">
        <f>IF($A774="",0,SUMIF('Family Contributions'!$I$4:$I$1003,$A774,'Family Contributions'!$G$4:$G$1003))</f>
        <v/>
      </c>
      <c r="N774" s="12">
        <f>IF($A774="",0,IF($I774="Yes",IF(ISNUMBER($G774),$G774,0)-$M774,0))</f>
        <v/>
      </c>
      <c r="O774" s="9" t="n"/>
      <c r="P774" s="9" t="n"/>
    </row>
    <row r="775">
      <c r="A775" s="9" t="n"/>
      <c r="B775" s="19" t="n"/>
      <c r="C775" s="9" t="n"/>
      <c r="D775" s="9" t="n"/>
      <c r="E775" s="9" t="n"/>
      <c r="F775" s="9" t="n"/>
      <c r="G775" s="10" t="n"/>
      <c r="H775" s="9" t="n"/>
      <c r="I775" s="9" t="n"/>
      <c r="J775" s="9" t="n"/>
      <c r="K775" s="9" t="n"/>
      <c r="L775">
        <f>IF($A775="","",IF($P775="Yes","Disputed / Review",IF($I775&lt;&gt;"Yes","Not Reimbursable",IF($M775&lt;=0.004,"Pending",IF($N775&lt;=0.004,"Reimbursed","Partially Reimbursed")))))</f>
        <v/>
      </c>
      <c r="M775" s="12">
        <f>IF($A775="",0,SUMIF('Family Contributions'!$I$4:$I$1003,$A775,'Family Contributions'!$G$4:$G$1003))</f>
        <v/>
      </c>
      <c r="N775" s="12">
        <f>IF($A775="",0,IF($I775="Yes",IF(ISNUMBER($G775),$G775,0)-$M775,0))</f>
        <v/>
      </c>
      <c r="O775" s="9" t="n"/>
      <c r="P775" s="9" t="n"/>
    </row>
    <row r="776">
      <c r="A776" s="9" t="n"/>
      <c r="B776" s="19" t="n"/>
      <c r="C776" s="9" t="n"/>
      <c r="D776" s="9" t="n"/>
      <c r="E776" s="9" t="n"/>
      <c r="F776" s="9" t="n"/>
      <c r="G776" s="10" t="n"/>
      <c r="H776" s="9" t="n"/>
      <c r="I776" s="9" t="n"/>
      <c r="J776" s="9" t="n"/>
      <c r="K776" s="9" t="n"/>
      <c r="L776">
        <f>IF($A776="","",IF($P776="Yes","Disputed / Review",IF($I776&lt;&gt;"Yes","Not Reimbursable",IF($M776&lt;=0.004,"Pending",IF($N776&lt;=0.004,"Reimbursed","Partially Reimbursed")))))</f>
        <v/>
      </c>
      <c r="M776" s="12">
        <f>IF($A776="",0,SUMIF('Family Contributions'!$I$4:$I$1003,$A776,'Family Contributions'!$G$4:$G$1003))</f>
        <v/>
      </c>
      <c r="N776" s="12">
        <f>IF($A776="",0,IF($I776="Yes",IF(ISNUMBER($G776),$G776,0)-$M776,0))</f>
        <v/>
      </c>
      <c r="O776" s="9" t="n"/>
      <c r="P776" s="9" t="n"/>
    </row>
    <row r="777">
      <c r="A777" s="9" t="n"/>
      <c r="B777" s="19" t="n"/>
      <c r="C777" s="9" t="n"/>
      <c r="D777" s="9" t="n"/>
      <c r="E777" s="9" t="n"/>
      <c r="F777" s="9" t="n"/>
      <c r="G777" s="10" t="n"/>
      <c r="H777" s="9" t="n"/>
      <c r="I777" s="9" t="n"/>
      <c r="J777" s="9" t="n"/>
      <c r="K777" s="9" t="n"/>
      <c r="L777">
        <f>IF($A777="","",IF($P777="Yes","Disputed / Review",IF($I777&lt;&gt;"Yes","Not Reimbursable",IF($M777&lt;=0.004,"Pending",IF($N777&lt;=0.004,"Reimbursed","Partially Reimbursed")))))</f>
        <v/>
      </c>
      <c r="M777" s="12">
        <f>IF($A777="",0,SUMIF('Family Contributions'!$I$4:$I$1003,$A777,'Family Contributions'!$G$4:$G$1003))</f>
        <v/>
      </c>
      <c r="N777" s="12">
        <f>IF($A777="",0,IF($I777="Yes",IF(ISNUMBER($G777),$G777,0)-$M777,0))</f>
        <v/>
      </c>
      <c r="O777" s="9" t="n"/>
      <c r="P777" s="9" t="n"/>
    </row>
    <row r="778">
      <c r="A778" s="9" t="n"/>
      <c r="B778" s="19" t="n"/>
      <c r="C778" s="9" t="n"/>
      <c r="D778" s="9" t="n"/>
      <c r="E778" s="9" t="n"/>
      <c r="F778" s="9" t="n"/>
      <c r="G778" s="10" t="n"/>
      <c r="H778" s="9" t="n"/>
      <c r="I778" s="9" t="n"/>
      <c r="J778" s="9" t="n"/>
      <c r="K778" s="9" t="n"/>
      <c r="L778">
        <f>IF($A778="","",IF($P778="Yes","Disputed / Review",IF($I778&lt;&gt;"Yes","Not Reimbursable",IF($M778&lt;=0.004,"Pending",IF($N778&lt;=0.004,"Reimbursed","Partially Reimbursed")))))</f>
        <v/>
      </c>
      <c r="M778" s="12">
        <f>IF($A778="",0,SUMIF('Family Contributions'!$I$4:$I$1003,$A778,'Family Contributions'!$G$4:$G$1003))</f>
        <v/>
      </c>
      <c r="N778" s="12">
        <f>IF($A778="",0,IF($I778="Yes",IF(ISNUMBER($G778),$G778,0)-$M778,0))</f>
        <v/>
      </c>
      <c r="O778" s="9" t="n"/>
      <c r="P778" s="9" t="n"/>
    </row>
    <row r="779">
      <c r="A779" s="9" t="n"/>
      <c r="B779" s="19" t="n"/>
      <c r="C779" s="9" t="n"/>
      <c r="D779" s="9" t="n"/>
      <c r="E779" s="9" t="n"/>
      <c r="F779" s="9" t="n"/>
      <c r="G779" s="10" t="n"/>
      <c r="H779" s="9" t="n"/>
      <c r="I779" s="9" t="n"/>
      <c r="J779" s="9" t="n"/>
      <c r="K779" s="9" t="n"/>
      <c r="L779">
        <f>IF($A779="","",IF($P779="Yes","Disputed / Review",IF($I779&lt;&gt;"Yes","Not Reimbursable",IF($M779&lt;=0.004,"Pending",IF($N779&lt;=0.004,"Reimbursed","Partially Reimbursed")))))</f>
        <v/>
      </c>
      <c r="M779" s="12">
        <f>IF($A779="",0,SUMIF('Family Contributions'!$I$4:$I$1003,$A779,'Family Contributions'!$G$4:$G$1003))</f>
        <v/>
      </c>
      <c r="N779" s="12">
        <f>IF($A779="",0,IF($I779="Yes",IF(ISNUMBER($G779),$G779,0)-$M779,0))</f>
        <v/>
      </c>
      <c r="O779" s="9" t="n"/>
      <c r="P779" s="9" t="n"/>
    </row>
    <row r="780">
      <c r="A780" s="9" t="n"/>
      <c r="B780" s="19" t="n"/>
      <c r="C780" s="9" t="n"/>
      <c r="D780" s="9" t="n"/>
      <c r="E780" s="9" t="n"/>
      <c r="F780" s="9" t="n"/>
      <c r="G780" s="10" t="n"/>
      <c r="H780" s="9" t="n"/>
      <c r="I780" s="9" t="n"/>
      <c r="J780" s="9" t="n"/>
      <c r="K780" s="9" t="n"/>
      <c r="L780">
        <f>IF($A780="","",IF($P780="Yes","Disputed / Review",IF($I780&lt;&gt;"Yes","Not Reimbursable",IF($M780&lt;=0.004,"Pending",IF($N780&lt;=0.004,"Reimbursed","Partially Reimbursed")))))</f>
        <v/>
      </c>
      <c r="M780" s="12">
        <f>IF($A780="",0,SUMIF('Family Contributions'!$I$4:$I$1003,$A780,'Family Contributions'!$G$4:$G$1003))</f>
        <v/>
      </c>
      <c r="N780" s="12">
        <f>IF($A780="",0,IF($I780="Yes",IF(ISNUMBER($G780),$G780,0)-$M780,0))</f>
        <v/>
      </c>
      <c r="O780" s="9" t="n"/>
      <c r="P780" s="9" t="n"/>
    </row>
    <row r="781">
      <c r="A781" s="9" t="n"/>
      <c r="B781" s="19" t="n"/>
      <c r="C781" s="9" t="n"/>
      <c r="D781" s="9" t="n"/>
      <c r="E781" s="9" t="n"/>
      <c r="F781" s="9" t="n"/>
      <c r="G781" s="10" t="n"/>
      <c r="H781" s="9" t="n"/>
      <c r="I781" s="9" t="n"/>
      <c r="J781" s="9" t="n"/>
      <c r="K781" s="9" t="n"/>
      <c r="L781">
        <f>IF($A781="","",IF($P781="Yes","Disputed / Review",IF($I781&lt;&gt;"Yes","Not Reimbursable",IF($M781&lt;=0.004,"Pending",IF($N781&lt;=0.004,"Reimbursed","Partially Reimbursed")))))</f>
        <v/>
      </c>
      <c r="M781" s="12">
        <f>IF($A781="",0,SUMIF('Family Contributions'!$I$4:$I$1003,$A781,'Family Contributions'!$G$4:$G$1003))</f>
        <v/>
      </c>
      <c r="N781" s="12">
        <f>IF($A781="",0,IF($I781="Yes",IF(ISNUMBER($G781),$G781,0)-$M781,0))</f>
        <v/>
      </c>
      <c r="O781" s="9" t="n"/>
      <c r="P781" s="9" t="n"/>
    </row>
    <row r="782">
      <c r="A782" s="9" t="n"/>
      <c r="B782" s="19" t="n"/>
      <c r="C782" s="9" t="n"/>
      <c r="D782" s="9" t="n"/>
      <c r="E782" s="9" t="n"/>
      <c r="F782" s="9" t="n"/>
      <c r="G782" s="10" t="n"/>
      <c r="H782" s="9" t="n"/>
      <c r="I782" s="9" t="n"/>
      <c r="J782" s="9" t="n"/>
      <c r="K782" s="9" t="n"/>
      <c r="L782">
        <f>IF($A782="","",IF($P782="Yes","Disputed / Review",IF($I782&lt;&gt;"Yes","Not Reimbursable",IF($M782&lt;=0.004,"Pending",IF($N782&lt;=0.004,"Reimbursed","Partially Reimbursed")))))</f>
        <v/>
      </c>
      <c r="M782" s="12">
        <f>IF($A782="",0,SUMIF('Family Contributions'!$I$4:$I$1003,$A782,'Family Contributions'!$G$4:$G$1003))</f>
        <v/>
      </c>
      <c r="N782" s="12">
        <f>IF($A782="",0,IF($I782="Yes",IF(ISNUMBER($G782),$G782,0)-$M782,0))</f>
        <v/>
      </c>
      <c r="O782" s="9" t="n"/>
      <c r="P782" s="9" t="n"/>
    </row>
    <row r="783">
      <c r="A783" s="9" t="n"/>
      <c r="B783" s="19" t="n"/>
      <c r="C783" s="9" t="n"/>
      <c r="D783" s="9" t="n"/>
      <c r="E783" s="9" t="n"/>
      <c r="F783" s="9" t="n"/>
      <c r="G783" s="10" t="n"/>
      <c r="H783" s="9" t="n"/>
      <c r="I783" s="9" t="n"/>
      <c r="J783" s="9" t="n"/>
      <c r="K783" s="9" t="n"/>
      <c r="L783">
        <f>IF($A783="","",IF($P783="Yes","Disputed / Review",IF($I783&lt;&gt;"Yes","Not Reimbursable",IF($M783&lt;=0.004,"Pending",IF($N783&lt;=0.004,"Reimbursed","Partially Reimbursed")))))</f>
        <v/>
      </c>
      <c r="M783" s="12">
        <f>IF($A783="",0,SUMIF('Family Contributions'!$I$4:$I$1003,$A783,'Family Contributions'!$G$4:$G$1003))</f>
        <v/>
      </c>
      <c r="N783" s="12">
        <f>IF($A783="",0,IF($I783="Yes",IF(ISNUMBER($G783),$G783,0)-$M783,0))</f>
        <v/>
      </c>
      <c r="O783" s="9" t="n"/>
      <c r="P783" s="9" t="n"/>
    </row>
    <row r="784">
      <c r="A784" s="9" t="n"/>
      <c r="B784" s="19" t="n"/>
      <c r="C784" s="9" t="n"/>
      <c r="D784" s="9" t="n"/>
      <c r="E784" s="9" t="n"/>
      <c r="F784" s="9" t="n"/>
      <c r="G784" s="10" t="n"/>
      <c r="H784" s="9" t="n"/>
      <c r="I784" s="9" t="n"/>
      <c r="J784" s="9" t="n"/>
      <c r="K784" s="9" t="n"/>
      <c r="L784">
        <f>IF($A784="","",IF($P784="Yes","Disputed / Review",IF($I784&lt;&gt;"Yes","Not Reimbursable",IF($M784&lt;=0.004,"Pending",IF($N784&lt;=0.004,"Reimbursed","Partially Reimbursed")))))</f>
        <v/>
      </c>
      <c r="M784" s="12">
        <f>IF($A784="",0,SUMIF('Family Contributions'!$I$4:$I$1003,$A784,'Family Contributions'!$G$4:$G$1003))</f>
        <v/>
      </c>
      <c r="N784" s="12">
        <f>IF($A784="",0,IF($I784="Yes",IF(ISNUMBER($G784),$G784,0)-$M784,0))</f>
        <v/>
      </c>
      <c r="O784" s="9" t="n"/>
      <c r="P784" s="9" t="n"/>
    </row>
    <row r="785">
      <c r="A785" s="9" t="n"/>
      <c r="B785" s="19" t="n"/>
      <c r="C785" s="9" t="n"/>
      <c r="D785" s="9" t="n"/>
      <c r="E785" s="9" t="n"/>
      <c r="F785" s="9" t="n"/>
      <c r="G785" s="10" t="n"/>
      <c r="H785" s="9" t="n"/>
      <c r="I785" s="9" t="n"/>
      <c r="J785" s="9" t="n"/>
      <c r="K785" s="9" t="n"/>
      <c r="L785">
        <f>IF($A785="","",IF($P785="Yes","Disputed / Review",IF($I785&lt;&gt;"Yes","Not Reimbursable",IF($M785&lt;=0.004,"Pending",IF($N785&lt;=0.004,"Reimbursed","Partially Reimbursed")))))</f>
        <v/>
      </c>
      <c r="M785" s="12">
        <f>IF($A785="",0,SUMIF('Family Contributions'!$I$4:$I$1003,$A785,'Family Contributions'!$G$4:$G$1003))</f>
        <v/>
      </c>
      <c r="N785" s="12">
        <f>IF($A785="",0,IF($I785="Yes",IF(ISNUMBER($G785),$G785,0)-$M785,0))</f>
        <v/>
      </c>
      <c r="O785" s="9" t="n"/>
      <c r="P785" s="9" t="n"/>
    </row>
    <row r="786">
      <c r="A786" s="9" t="n"/>
      <c r="B786" s="19" t="n"/>
      <c r="C786" s="9" t="n"/>
      <c r="D786" s="9" t="n"/>
      <c r="E786" s="9" t="n"/>
      <c r="F786" s="9" t="n"/>
      <c r="G786" s="10" t="n"/>
      <c r="H786" s="9" t="n"/>
      <c r="I786" s="9" t="n"/>
      <c r="J786" s="9" t="n"/>
      <c r="K786" s="9" t="n"/>
      <c r="L786">
        <f>IF($A786="","",IF($P786="Yes","Disputed / Review",IF($I786&lt;&gt;"Yes","Not Reimbursable",IF($M786&lt;=0.004,"Pending",IF($N786&lt;=0.004,"Reimbursed","Partially Reimbursed")))))</f>
        <v/>
      </c>
      <c r="M786" s="12">
        <f>IF($A786="",0,SUMIF('Family Contributions'!$I$4:$I$1003,$A786,'Family Contributions'!$G$4:$G$1003))</f>
        <v/>
      </c>
      <c r="N786" s="12">
        <f>IF($A786="",0,IF($I786="Yes",IF(ISNUMBER($G786),$G786,0)-$M786,0))</f>
        <v/>
      </c>
      <c r="O786" s="9" t="n"/>
      <c r="P786" s="9" t="n"/>
    </row>
    <row r="787">
      <c r="A787" s="9" t="n"/>
      <c r="B787" s="19" t="n"/>
      <c r="C787" s="9" t="n"/>
      <c r="D787" s="9" t="n"/>
      <c r="E787" s="9" t="n"/>
      <c r="F787" s="9" t="n"/>
      <c r="G787" s="10" t="n"/>
      <c r="H787" s="9" t="n"/>
      <c r="I787" s="9" t="n"/>
      <c r="J787" s="9" t="n"/>
      <c r="K787" s="9" t="n"/>
      <c r="L787">
        <f>IF($A787="","",IF($P787="Yes","Disputed / Review",IF($I787&lt;&gt;"Yes","Not Reimbursable",IF($M787&lt;=0.004,"Pending",IF($N787&lt;=0.004,"Reimbursed","Partially Reimbursed")))))</f>
        <v/>
      </c>
      <c r="M787" s="12">
        <f>IF($A787="",0,SUMIF('Family Contributions'!$I$4:$I$1003,$A787,'Family Contributions'!$G$4:$G$1003))</f>
        <v/>
      </c>
      <c r="N787" s="12">
        <f>IF($A787="",0,IF($I787="Yes",IF(ISNUMBER($G787),$G787,0)-$M787,0))</f>
        <v/>
      </c>
      <c r="O787" s="9" t="n"/>
      <c r="P787" s="9" t="n"/>
    </row>
    <row r="788">
      <c r="A788" s="9" t="n"/>
      <c r="B788" s="19" t="n"/>
      <c r="C788" s="9" t="n"/>
      <c r="D788" s="9" t="n"/>
      <c r="E788" s="9" t="n"/>
      <c r="F788" s="9" t="n"/>
      <c r="G788" s="10" t="n"/>
      <c r="H788" s="9" t="n"/>
      <c r="I788" s="9" t="n"/>
      <c r="J788" s="9" t="n"/>
      <c r="K788" s="9" t="n"/>
      <c r="L788">
        <f>IF($A788="","",IF($P788="Yes","Disputed / Review",IF($I788&lt;&gt;"Yes","Not Reimbursable",IF($M788&lt;=0.004,"Pending",IF($N788&lt;=0.004,"Reimbursed","Partially Reimbursed")))))</f>
        <v/>
      </c>
      <c r="M788" s="12">
        <f>IF($A788="",0,SUMIF('Family Contributions'!$I$4:$I$1003,$A788,'Family Contributions'!$G$4:$G$1003))</f>
        <v/>
      </c>
      <c r="N788" s="12">
        <f>IF($A788="",0,IF($I788="Yes",IF(ISNUMBER($G788),$G788,0)-$M788,0))</f>
        <v/>
      </c>
      <c r="O788" s="9" t="n"/>
      <c r="P788" s="9" t="n"/>
    </row>
    <row r="789">
      <c r="A789" s="9" t="n"/>
      <c r="B789" s="19" t="n"/>
      <c r="C789" s="9" t="n"/>
      <c r="D789" s="9" t="n"/>
      <c r="E789" s="9" t="n"/>
      <c r="F789" s="9" t="n"/>
      <c r="G789" s="10" t="n"/>
      <c r="H789" s="9" t="n"/>
      <c r="I789" s="9" t="n"/>
      <c r="J789" s="9" t="n"/>
      <c r="K789" s="9" t="n"/>
      <c r="L789">
        <f>IF($A789="","",IF($P789="Yes","Disputed / Review",IF($I789&lt;&gt;"Yes","Not Reimbursable",IF($M789&lt;=0.004,"Pending",IF($N789&lt;=0.004,"Reimbursed","Partially Reimbursed")))))</f>
        <v/>
      </c>
      <c r="M789" s="12">
        <f>IF($A789="",0,SUMIF('Family Contributions'!$I$4:$I$1003,$A789,'Family Contributions'!$G$4:$G$1003))</f>
        <v/>
      </c>
      <c r="N789" s="12">
        <f>IF($A789="",0,IF($I789="Yes",IF(ISNUMBER($G789),$G789,0)-$M789,0))</f>
        <v/>
      </c>
      <c r="O789" s="9" t="n"/>
      <c r="P789" s="9" t="n"/>
    </row>
    <row r="790">
      <c r="A790" s="9" t="n"/>
      <c r="B790" s="19" t="n"/>
      <c r="C790" s="9" t="n"/>
      <c r="D790" s="9" t="n"/>
      <c r="E790" s="9" t="n"/>
      <c r="F790" s="9" t="n"/>
      <c r="G790" s="10" t="n"/>
      <c r="H790" s="9" t="n"/>
      <c r="I790" s="9" t="n"/>
      <c r="J790" s="9" t="n"/>
      <c r="K790" s="9" t="n"/>
      <c r="L790">
        <f>IF($A790="","",IF($P790="Yes","Disputed / Review",IF($I790&lt;&gt;"Yes","Not Reimbursable",IF($M790&lt;=0.004,"Pending",IF($N790&lt;=0.004,"Reimbursed","Partially Reimbursed")))))</f>
        <v/>
      </c>
      <c r="M790" s="12">
        <f>IF($A790="",0,SUMIF('Family Contributions'!$I$4:$I$1003,$A790,'Family Contributions'!$G$4:$G$1003))</f>
        <v/>
      </c>
      <c r="N790" s="12">
        <f>IF($A790="",0,IF($I790="Yes",IF(ISNUMBER($G790),$G790,0)-$M790,0))</f>
        <v/>
      </c>
      <c r="O790" s="9" t="n"/>
      <c r="P790" s="9" t="n"/>
    </row>
    <row r="791">
      <c r="A791" s="9" t="n"/>
      <c r="B791" s="19" t="n"/>
      <c r="C791" s="9" t="n"/>
      <c r="D791" s="9" t="n"/>
      <c r="E791" s="9" t="n"/>
      <c r="F791" s="9" t="n"/>
      <c r="G791" s="10" t="n"/>
      <c r="H791" s="9" t="n"/>
      <c r="I791" s="9" t="n"/>
      <c r="J791" s="9" t="n"/>
      <c r="K791" s="9" t="n"/>
      <c r="L791">
        <f>IF($A791="","",IF($P791="Yes","Disputed / Review",IF($I791&lt;&gt;"Yes","Not Reimbursable",IF($M791&lt;=0.004,"Pending",IF($N791&lt;=0.004,"Reimbursed","Partially Reimbursed")))))</f>
        <v/>
      </c>
      <c r="M791" s="12">
        <f>IF($A791="",0,SUMIF('Family Contributions'!$I$4:$I$1003,$A791,'Family Contributions'!$G$4:$G$1003))</f>
        <v/>
      </c>
      <c r="N791" s="12">
        <f>IF($A791="",0,IF($I791="Yes",IF(ISNUMBER($G791),$G791,0)-$M791,0))</f>
        <v/>
      </c>
      <c r="O791" s="9" t="n"/>
      <c r="P791" s="9" t="n"/>
    </row>
    <row r="792">
      <c r="A792" s="9" t="n"/>
      <c r="B792" s="19" t="n"/>
      <c r="C792" s="9" t="n"/>
      <c r="D792" s="9" t="n"/>
      <c r="E792" s="9" t="n"/>
      <c r="F792" s="9" t="n"/>
      <c r="G792" s="10" t="n"/>
      <c r="H792" s="9" t="n"/>
      <c r="I792" s="9" t="n"/>
      <c r="J792" s="9" t="n"/>
      <c r="K792" s="9" t="n"/>
      <c r="L792">
        <f>IF($A792="","",IF($P792="Yes","Disputed / Review",IF($I792&lt;&gt;"Yes","Not Reimbursable",IF($M792&lt;=0.004,"Pending",IF($N792&lt;=0.004,"Reimbursed","Partially Reimbursed")))))</f>
        <v/>
      </c>
      <c r="M792" s="12">
        <f>IF($A792="",0,SUMIF('Family Contributions'!$I$4:$I$1003,$A792,'Family Contributions'!$G$4:$G$1003))</f>
        <v/>
      </c>
      <c r="N792" s="12">
        <f>IF($A792="",0,IF($I792="Yes",IF(ISNUMBER($G792),$G792,0)-$M792,0))</f>
        <v/>
      </c>
      <c r="O792" s="9" t="n"/>
      <c r="P792" s="9" t="n"/>
    </row>
    <row r="793">
      <c r="A793" s="9" t="n"/>
      <c r="B793" s="19" t="n"/>
      <c r="C793" s="9" t="n"/>
      <c r="D793" s="9" t="n"/>
      <c r="E793" s="9" t="n"/>
      <c r="F793" s="9" t="n"/>
      <c r="G793" s="10" t="n"/>
      <c r="H793" s="9" t="n"/>
      <c r="I793" s="9" t="n"/>
      <c r="J793" s="9" t="n"/>
      <c r="K793" s="9" t="n"/>
      <c r="L793">
        <f>IF($A793="","",IF($P793="Yes","Disputed / Review",IF($I793&lt;&gt;"Yes","Not Reimbursable",IF($M793&lt;=0.004,"Pending",IF($N793&lt;=0.004,"Reimbursed","Partially Reimbursed")))))</f>
        <v/>
      </c>
      <c r="M793" s="12">
        <f>IF($A793="",0,SUMIF('Family Contributions'!$I$4:$I$1003,$A793,'Family Contributions'!$G$4:$G$1003))</f>
        <v/>
      </c>
      <c r="N793" s="12">
        <f>IF($A793="",0,IF($I793="Yes",IF(ISNUMBER($G793),$G793,0)-$M793,0))</f>
        <v/>
      </c>
      <c r="O793" s="9" t="n"/>
      <c r="P793" s="9" t="n"/>
    </row>
    <row r="794">
      <c r="A794" s="9" t="n"/>
      <c r="B794" s="19" t="n"/>
      <c r="C794" s="9" t="n"/>
      <c r="D794" s="9" t="n"/>
      <c r="E794" s="9" t="n"/>
      <c r="F794" s="9" t="n"/>
      <c r="G794" s="10" t="n"/>
      <c r="H794" s="9" t="n"/>
      <c r="I794" s="9" t="n"/>
      <c r="J794" s="9" t="n"/>
      <c r="K794" s="9" t="n"/>
      <c r="L794">
        <f>IF($A794="","",IF($P794="Yes","Disputed / Review",IF($I794&lt;&gt;"Yes","Not Reimbursable",IF($M794&lt;=0.004,"Pending",IF($N794&lt;=0.004,"Reimbursed","Partially Reimbursed")))))</f>
        <v/>
      </c>
      <c r="M794" s="12">
        <f>IF($A794="",0,SUMIF('Family Contributions'!$I$4:$I$1003,$A794,'Family Contributions'!$G$4:$G$1003))</f>
        <v/>
      </c>
      <c r="N794" s="12">
        <f>IF($A794="",0,IF($I794="Yes",IF(ISNUMBER($G794),$G794,0)-$M794,0))</f>
        <v/>
      </c>
      <c r="O794" s="9" t="n"/>
      <c r="P794" s="9" t="n"/>
    </row>
    <row r="795">
      <c r="A795" s="9" t="n"/>
      <c r="B795" s="19" t="n"/>
      <c r="C795" s="9" t="n"/>
      <c r="D795" s="9" t="n"/>
      <c r="E795" s="9" t="n"/>
      <c r="F795" s="9" t="n"/>
      <c r="G795" s="10" t="n"/>
      <c r="H795" s="9" t="n"/>
      <c r="I795" s="9" t="n"/>
      <c r="J795" s="9" t="n"/>
      <c r="K795" s="9" t="n"/>
      <c r="L795">
        <f>IF($A795="","",IF($P795="Yes","Disputed / Review",IF($I795&lt;&gt;"Yes","Not Reimbursable",IF($M795&lt;=0.004,"Pending",IF($N795&lt;=0.004,"Reimbursed","Partially Reimbursed")))))</f>
        <v/>
      </c>
      <c r="M795" s="12">
        <f>IF($A795="",0,SUMIF('Family Contributions'!$I$4:$I$1003,$A795,'Family Contributions'!$G$4:$G$1003))</f>
        <v/>
      </c>
      <c r="N795" s="12">
        <f>IF($A795="",0,IF($I795="Yes",IF(ISNUMBER($G795),$G795,0)-$M795,0))</f>
        <v/>
      </c>
      <c r="O795" s="9" t="n"/>
      <c r="P795" s="9" t="n"/>
    </row>
    <row r="796">
      <c r="A796" s="9" t="n"/>
      <c r="B796" s="19" t="n"/>
      <c r="C796" s="9" t="n"/>
      <c r="D796" s="9" t="n"/>
      <c r="E796" s="9" t="n"/>
      <c r="F796" s="9" t="n"/>
      <c r="G796" s="10" t="n"/>
      <c r="H796" s="9" t="n"/>
      <c r="I796" s="9" t="n"/>
      <c r="J796" s="9" t="n"/>
      <c r="K796" s="9" t="n"/>
      <c r="L796">
        <f>IF($A796="","",IF($P796="Yes","Disputed / Review",IF($I796&lt;&gt;"Yes","Not Reimbursable",IF($M796&lt;=0.004,"Pending",IF($N796&lt;=0.004,"Reimbursed","Partially Reimbursed")))))</f>
        <v/>
      </c>
      <c r="M796" s="12">
        <f>IF($A796="",0,SUMIF('Family Contributions'!$I$4:$I$1003,$A796,'Family Contributions'!$G$4:$G$1003))</f>
        <v/>
      </c>
      <c r="N796" s="12">
        <f>IF($A796="",0,IF($I796="Yes",IF(ISNUMBER($G796),$G796,0)-$M796,0))</f>
        <v/>
      </c>
      <c r="O796" s="9" t="n"/>
      <c r="P796" s="9" t="n"/>
    </row>
    <row r="797">
      <c r="A797" s="9" t="n"/>
      <c r="B797" s="19" t="n"/>
      <c r="C797" s="9" t="n"/>
      <c r="D797" s="9" t="n"/>
      <c r="E797" s="9" t="n"/>
      <c r="F797" s="9" t="n"/>
      <c r="G797" s="10" t="n"/>
      <c r="H797" s="9" t="n"/>
      <c r="I797" s="9" t="n"/>
      <c r="J797" s="9" t="n"/>
      <c r="K797" s="9" t="n"/>
      <c r="L797">
        <f>IF($A797="","",IF($P797="Yes","Disputed / Review",IF($I797&lt;&gt;"Yes","Not Reimbursable",IF($M797&lt;=0.004,"Pending",IF($N797&lt;=0.004,"Reimbursed","Partially Reimbursed")))))</f>
        <v/>
      </c>
      <c r="M797" s="12">
        <f>IF($A797="",0,SUMIF('Family Contributions'!$I$4:$I$1003,$A797,'Family Contributions'!$G$4:$G$1003))</f>
        <v/>
      </c>
      <c r="N797" s="12">
        <f>IF($A797="",0,IF($I797="Yes",IF(ISNUMBER($G797),$G797,0)-$M797,0))</f>
        <v/>
      </c>
      <c r="O797" s="9" t="n"/>
      <c r="P797" s="9" t="n"/>
    </row>
    <row r="798">
      <c r="A798" s="9" t="n"/>
      <c r="B798" s="19" t="n"/>
      <c r="C798" s="9" t="n"/>
      <c r="D798" s="9" t="n"/>
      <c r="E798" s="9" t="n"/>
      <c r="F798" s="9" t="n"/>
      <c r="G798" s="10" t="n"/>
      <c r="H798" s="9" t="n"/>
      <c r="I798" s="9" t="n"/>
      <c r="J798" s="9" t="n"/>
      <c r="K798" s="9" t="n"/>
      <c r="L798">
        <f>IF($A798="","",IF($P798="Yes","Disputed / Review",IF($I798&lt;&gt;"Yes","Not Reimbursable",IF($M798&lt;=0.004,"Pending",IF($N798&lt;=0.004,"Reimbursed","Partially Reimbursed")))))</f>
        <v/>
      </c>
      <c r="M798" s="12">
        <f>IF($A798="",0,SUMIF('Family Contributions'!$I$4:$I$1003,$A798,'Family Contributions'!$G$4:$G$1003))</f>
        <v/>
      </c>
      <c r="N798" s="12">
        <f>IF($A798="",0,IF($I798="Yes",IF(ISNUMBER($G798),$G798,0)-$M798,0))</f>
        <v/>
      </c>
      <c r="O798" s="9" t="n"/>
      <c r="P798" s="9" t="n"/>
    </row>
    <row r="799">
      <c r="A799" s="9" t="n"/>
      <c r="B799" s="19" t="n"/>
      <c r="C799" s="9" t="n"/>
      <c r="D799" s="9" t="n"/>
      <c r="E799" s="9" t="n"/>
      <c r="F799" s="9" t="n"/>
      <c r="G799" s="10" t="n"/>
      <c r="H799" s="9" t="n"/>
      <c r="I799" s="9" t="n"/>
      <c r="J799" s="9" t="n"/>
      <c r="K799" s="9" t="n"/>
      <c r="L799">
        <f>IF($A799="","",IF($P799="Yes","Disputed / Review",IF($I799&lt;&gt;"Yes","Not Reimbursable",IF($M799&lt;=0.004,"Pending",IF($N799&lt;=0.004,"Reimbursed","Partially Reimbursed")))))</f>
        <v/>
      </c>
      <c r="M799" s="12">
        <f>IF($A799="",0,SUMIF('Family Contributions'!$I$4:$I$1003,$A799,'Family Contributions'!$G$4:$G$1003))</f>
        <v/>
      </c>
      <c r="N799" s="12">
        <f>IF($A799="",0,IF($I799="Yes",IF(ISNUMBER($G799),$G799,0)-$M799,0))</f>
        <v/>
      </c>
      <c r="O799" s="9" t="n"/>
      <c r="P799" s="9" t="n"/>
    </row>
    <row r="800">
      <c r="A800" s="9" t="n"/>
      <c r="B800" s="19" t="n"/>
      <c r="C800" s="9" t="n"/>
      <c r="D800" s="9" t="n"/>
      <c r="E800" s="9" t="n"/>
      <c r="F800" s="9" t="n"/>
      <c r="G800" s="10" t="n"/>
      <c r="H800" s="9" t="n"/>
      <c r="I800" s="9" t="n"/>
      <c r="J800" s="9" t="n"/>
      <c r="K800" s="9" t="n"/>
      <c r="L800">
        <f>IF($A800="","",IF($P800="Yes","Disputed / Review",IF($I800&lt;&gt;"Yes","Not Reimbursable",IF($M800&lt;=0.004,"Pending",IF($N800&lt;=0.004,"Reimbursed","Partially Reimbursed")))))</f>
        <v/>
      </c>
      <c r="M800" s="12">
        <f>IF($A800="",0,SUMIF('Family Contributions'!$I$4:$I$1003,$A800,'Family Contributions'!$G$4:$G$1003))</f>
        <v/>
      </c>
      <c r="N800" s="12">
        <f>IF($A800="",0,IF($I800="Yes",IF(ISNUMBER($G800),$G800,0)-$M800,0))</f>
        <v/>
      </c>
      <c r="O800" s="9" t="n"/>
      <c r="P800" s="9" t="n"/>
    </row>
    <row r="801">
      <c r="A801" s="9" t="n"/>
      <c r="B801" s="19" t="n"/>
      <c r="C801" s="9" t="n"/>
      <c r="D801" s="9" t="n"/>
      <c r="E801" s="9" t="n"/>
      <c r="F801" s="9" t="n"/>
      <c r="G801" s="10" t="n"/>
      <c r="H801" s="9" t="n"/>
      <c r="I801" s="9" t="n"/>
      <c r="J801" s="9" t="n"/>
      <c r="K801" s="9" t="n"/>
      <c r="L801">
        <f>IF($A801="","",IF($P801="Yes","Disputed / Review",IF($I801&lt;&gt;"Yes","Not Reimbursable",IF($M801&lt;=0.004,"Pending",IF($N801&lt;=0.004,"Reimbursed","Partially Reimbursed")))))</f>
        <v/>
      </c>
      <c r="M801" s="12">
        <f>IF($A801="",0,SUMIF('Family Contributions'!$I$4:$I$1003,$A801,'Family Contributions'!$G$4:$G$1003))</f>
        <v/>
      </c>
      <c r="N801" s="12">
        <f>IF($A801="",0,IF($I801="Yes",IF(ISNUMBER($G801),$G801,0)-$M801,0))</f>
        <v/>
      </c>
      <c r="O801" s="9" t="n"/>
      <c r="P801" s="9" t="n"/>
    </row>
    <row r="802">
      <c r="A802" s="9" t="n"/>
      <c r="B802" s="19" t="n"/>
      <c r="C802" s="9" t="n"/>
      <c r="D802" s="9" t="n"/>
      <c r="E802" s="9" t="n"/>
      <c r="F802" s="9" t="n"/>
      <c r="G802" s="10" t="n"/>
      <c r="H802" s="9" t="n"/>
      <c r="I802" s="9" t="n"/>
      <c r="J802" s="9" t="n"/>
      <c r="K802" s="9" t="n"/>
      <c r="L802">
        <f>IF($A802="","",IF($P802="Yes","Disputed / Review",IF($I802&lt;&gt;"Yes","Not Reimbursable",IF($M802&lt;=0.004,"Pending",IF($N802&lt;=0.004,"Reimbursed","Partially Reimbursed")))))</f>
        <v/>
      </c>
      <c r="M802" s="12">
        <f>IF($A802="",0,SUMIF('Family Contributions'!$I$4:$I$1003,$A802,'Family Contributions'!$G$4:$G$1003))</f>
        <v/>
      </c>
      <c r="N802" s="12">
        <f>IF($A802="",0,IF($I802="Yes",IF(ISNUMBER($G802),$G802,0)-$M802,0))</f>
        <v/>
      </c>
      <c r="O802" s="9" t="n"/>
      <c r="P802" s="9" t="n"/>
    </row>
    <row r="803">
      <c r="A803" s="9" t="n"/>
      <c r="B803" s="19" t="n"/>
      <c r="C803" s="9" t="n"/>
      <c r="D803" s="9" t="n"/>
      <c r="E803" s="9" t="n"/>
      <c r="F803" s="9" t="n"/>
      <c r="G803" s="10" t="n"/>
      <c r="H803" s="9" t="n"/>
      <c r="I803" s="9" t="n"/>
      <c r="J803" s="9" t="n"/>
      <c r="K803" s="9" t="n"/>
      <c r="L803">
        <f>IF($A803="","",IF($P803="Yes","Disputed / Review",IF($I803&lt;&gt;"Yes","Not Reimbursable",IF($M803&lt;=0.004,"Pending",IF($N803&lt;=0.004,"Reimbursed","Partially Reimbursed")))))</f>
        <v/>
      </c>
      <c r="M803" s="12">
        <f>IF($A803="",0,SUMIF('Family Contributions'!$I$4:$I$1003,$A803,'Family Contributions'!$G$4:$G$1003))</f>
        <v/>
      </c>
      <c r="N803" s="12">
        <f>IF($A803="",0,IF($I803="Yes",IF(ISNUMBER($G803),$G803,0)-$M803,0))</f>
        <v/>
      </c>
      <c r="O803" s="9" t="n"/>
      <c r="P803" s="9" t="n"/>
    </row>
    <row r="804">
      <c r="A804" s="9" t="n"/>
      <c r="B804" s="19" t="n"/>
      <c r="C804" s="9" t="n"/>
      <c r="D804" s="9" t="n"/>
      <c r="E804" s="9" t="n"/>
      <c r="F804" s="9" t="n"/>
      <c r="G804" s="10" t="n"/>
      <c r="H804" s="9" t="n"/>
      <c r="I804" s="9" t="n"/>
      <c r="J804" s="9" t="n"/>
      <c r="K804" s="9" t="n"/>
      <c r="L804">
        <f>IF($A804="","",IF($P804="Yes","Disputed / Review",IF($I804&lt;&gt;"Yes","Not Reimbursable",IF($M804&lt;=0.004,"Pending",IF($N804&lt;=0.004,"Reimbursed","Partially Reimbursed")))))</f>
        <v/>
      </c>
      <c r="M804" s="12">
        <f>IF($A804="",0,SUMIF('Family Contributions'!$I$4:$I$1003,$A804,'Family Contributions'!$G$4:$G$1003))</f>
        <v/>
      </c>
      <c r="N804" s="12">
        <f>IF($A804="",0,IF($I804="Yes",IF(ISNUMBER($G804),$G804,0)-$M804,0))</f>
        <v/>
      </c>
      <c r="O804" s="9" t="n"/>
      <c r="P804" s="9" t="n"/>
    </row>
    <row r="805">
      <c r="A805" s="9" t="n"/>
      <c r="B805" s="19" t="n"/>
      <c r="C805" s="9" t="n"/>
      <c r="D805" s="9" t="n"/>
      <c r="E805" s="9" t="n"/>
      <c r="F805" s="9" t="n"/>
      <c r="G805" s="10" t="n"/>
      <c r="H805" s="9" t="n"/>
      <c r="I805" s="9" t="n"/>
      <c r="J805" s="9" t="n"/>
      <c r="K805" s="9" t="n"/>
      <c r="L805">
        <f>IF($A805="","",IF($P805="Yes","Disputed / Review",IF($I805&lt;&gt;"Yes","Not Reimbursable",IF($M805&lt;=0.004,"Pending",IF($N805&lt;=0.004,"Reimbursed","Partially Reimbursed")))))</f>
        <v/>
      </c>
      <c r="M805" s="12">
        <f>IF($A805="",0,SUMIF('Family Contributions'!$I$4:$I$1003,$A805,'Family Contributions'!$G$4:$G$1003))</f>
        <v/>
      </c>
      <c r="N805" s="12">
        <f>IF($A805="",0,IF($I805="Yes",IF(ISNUMBER($G805),$G805,0)-$M805,0))</f>
        <v/>
      </c>
      <c r="O805" s="9" t="n"/>
      <c r="P805" s="9" t="n"/>
    </row>
    <row r="806">
      <c r="A806" s="9" t="n"/>
      <c r="B806" s="19" t="n"/>
      <c r="C806" s="9" t="n"/>
      <c r="D806" s="9" t="n"/>
      <c r="E806" s="9" t="n"/>
      <c r="F806" s="9" t="n"/>
      <c r="G806" s="10" t="n"/>
      <c r="H806" s="9" t="n"/>
      <c r="I806" s="9" t="n"/>
      <c r="J806" s="9" t="n"/>
      <c r="K806" s="9" t="n"/>
      <c r="L806">
        <f>IF($A806="","",IF($P806="Yes","Disputed / Review",IF($I806&lt;&gt;"Yes","Not Reimbursable",IF($M806&lt;=0.004,"Pending",IF($N806&lt;=0.004,"Reimbursed","Partially Reimbursed")))))</f>
        <v/>
      </c>
      <c r="M806" s="12">
        <f>IF($A806="",0,SUMIF('Family Contributions'!$I$4:$I$1003,$A806,'Family Contributions'!$G$4:$G$1003))</f>
        <v/>
      </c>
      <c r="N806" s="12">
        <f>IF($A806="",0,IF($I806="Yes",IF(ISNUMBER($G806),$G806,0)-$M806,0))</f>
        <v/>
      </c>
      <c r="O806" s="9" t="n"/>
      <c r="P806" s="9" t="n"/>
    </row>
    <row r="807">
      <c r="A807" s="9" t="n"/>
      <c r="B807" s="19" t="n"/>
      <c r="C807" s="9" t="n"/>
      <c r="D807" s="9" t="n"/>
      <c r="E807" s="9" t="n"/>
      <c r="F807" s="9" t="n"/>
      <c r="G807" s="10" t="n"/>
      <c r="H807" s="9" t="n"/>
      <c r="I807" s="9" t="n"/>
      <c r="J807" s="9" t="n"/>
      <c r="K807" s="9" t="n"/>
      <c r="L807">
        <f>IF($A807="","",IF($P807="Yes","Disputed / Review",IF($I807&lt;&gt;"Yes","Not Reimbursable",IF($M807&lt;=0.004,"Pending",IF($N807&lt;=0.004,"Reimbursed","Partially Reimbursed")))))</f>
        <v/>
      </c>
      <c r="M807" s="12">
        <f>IF($A807="",0,SUMIF('Family Contributions'!$I$4:$I$1003,$A807,'Family Contributions'!$G$4:$G$1003))</f>
        <v/>
      </c>
      <c r="N807" s="12">
        <f>IF($A807="",0,IF($I807="Yes",IF(ISNUMBER($G807),$G807,0)-$M807,0))</f>
        <v/>
      </c>
      <c r="O807" s="9" t="n"/>
      <c r="P807" s="9" t="n"/>
    </row>
    <row r="808">
      <c r="A808" s="9" t="n"/>
      <c r="B808" s="19" t="n"/>
      <c r="C808" s="9" t="n"/>
      <c r="D808" s="9" t="n"/>
      <c r="E808" s="9" t="n"/>
      <c r="F808" s="9" t="n"/>
      <c r="G808" s="10" t="n"/>
      <c r="H808" s="9" t="n"/>
      <c r="I808" s="9" t="n"/>
      <c r="J808" s="9" t="n"/>
      <c r="K808" s="9" t="n"/>
      <c r="L808">
        <f>IF($A808="","",IF($P808="Yes","Disputed / Review",IF($I808&lt;&gt;"Yes","Not Reimbursable",IF($M808&lt;=0.004,"Pending",IF($N808&lt;=0.004,"Reimbursed","Partially Reimbursed")))))</f>
        <v/>
      </c>
      <c r="M808" s="12">
        <f>IF($A808="",0,SUMIF('Family Contributions'!$I$4:$I$1003,$A808,'Family Contributions'!$G$4:$G$1003))</f>
        <v/>
      </c>
      <c r="N808" s="12">
        <f>IF($A808="",0,IF($I808="Yes",IF(ISNUMBER($G808),$G808,0)-$M808,0))</f>
        <v/>
      </c>
      <c r="O808" s="9" t="n"/>
      <c r="P808" s="9" t="n"/>
    </row>
    <row r="809">
      <c r="A809" s="9" t="n"/>
      <c r="B809" s="19" t="n"/>
      <c r="C809" s="9" t="n"/>
      <c r="D809" s="9" t="n"/>
      <c r="E809" s="9" t="n"/>
      <c r="F809" s="9" t="n"/>
      <c r="G809" s="10" t="n"/>
      <c r="H809" s="9" t="n"/>
      <c r="I809" s="9" t="n"/>
      <c r="J809" s="9" t="n"/>
      <c r="K809" s="9" t="n"/>
      <c r="L809">
        <f>IF($A809="","",IF($P809="Yes","Disputed / Review",IF($I809&lt;&gt;"Yes","Not Reimbursable",IF($M809&lt;=0.004,"Pending",IF($N809&lt;=0.004,"Reimbursed","Partially Reimbursed")))))</f>
        <v/>
      </c>
      <c r="M809" s="12">
        <f>IF($A809="",0,SUMIF('Family Contributions'!$I$4:$I$1003,$A809,'Family Contributions'!$G$4:$G$1003))</f>
        <v/>
      </c>
      <c r="N809" s="12">
        <f>IF($A809="",0,IF($I809="Yes",IF(ISNUMBER($G809),$G809,0)-$M809,0))</f>
        <v/>
      </c>
      <c r="O809" s="9" t="n"/>
      <c r="P809" s="9" t="n"/>
    </row>
    <row r="810">
      <c r="A810" s="9" t="n"/>
      <c r="B810" s="19" t="n"/>
      <c r="C810" s="9" t="n"/>
      <c r="D810" s="9" t="n"/>
      <c r="E810" s="9" t="n"/>
      <c r="F810" s="9" t="n"/>
      <c r="G810" s="10" t="n"/>
      <c r="H810" s="9" t="n"/>
      <c r="I810" s="9" t="n"/>
      <c r="J810" s="9" t="n"/>
      <c r="K810" s="9" t="n"/>
      <c r="L810">
        <f>IF($A810="","",IF($P810="Yes","Disputed / Review",IF($I810&lt;&gt;"Yes","Not Reimbursable",IF($M810&lt;=0.004,"Pending",IF($N810&lt;=0.004,"Reimbursed","Partially Reimbursed")))))</f>
        <v/>
      </c>
      <c r="M810" s="12">
        <f>IF($A810="",0,SUMIF('Family Contributions'!$I$4:$I$1003,$A810,'Family Contributions'!$G$4:$G$1003))</f>
        <v/>
      </c>
      <c r="N810" s="12">
        <f>IF($A810="",0,IF($I810="Yes",IF(ISNUMBER($G810),$G810,0)-$M810,0))</f>
        <v/>
      </c>
      <c r="O810" s="9" t="n"/>
      <c r="P810" s="9" t="n"/>
    </row>
    <row r="811">
      <c r="A811" s="9" t="n"/>
      <c r="B811" s="19" t="n"/>
      <c r="C811" s="9" t="n"/>
      <c r="D811" s="9" t="n"/>
      <c r="E811" s="9" t="n"/>
      <c r="F811" s="9" t="n"/>
      <c r="G811" s="10" t="n"/>
      <c r="H811" s="9" t="n"/>
      <c r="I811" s="9" t="n"/>
      <c r="J811" s="9" t="n"/>
      <c r="K811" s="9" t="n"/>
      <c r="L811">
        <f>IF($A811="","",IF($P811="Yes","Disputed / Review",IF($I811&lt;&gt;"Yes","Not Reimbursable",IF($M811&lt;=0.004,"Pending",IF($N811&lt;=0.004,"Reimbursed","Partially Reimbursed")))))</f>
        <v/>
      </c>
      <c r="M811" s="12">
        <f>IF($A811="",0,SUMIF('Family Contributions'!$I$4:$I$1003,$A811,'Family Contributions'!$G$4:$G$1003))</f>
        <v/>
      </c>
      <c r="N811" s="12">
        <f>IF($A811="",0,IF($I811="Yes",IF(ISNUMBER($G811),$G811,0)-$M811,0))</f>
        <v/>
      </c>
      <c r="O811" s="9" t="n"/>
      <c r="P811" s="9" t="n"/>
    </row>
    <row r="812">
      <c r="A812" s="9" t="n"/>
      <c r="B812" s="19" t="n"/>
      <c r="C812" s="9" t="n"/>
      <c r="D812" s="9" t="n"/>
      <c r="E812" s="9" t="n"/>
      <c r="F812" s="9" t="n"/>
      <c r="G812" s="10" t="n"/>
      <c r="H812" s="9" t="n"/>
      <c r="I812" s="9" t="n"/>
      <c r="J812" s="9" t="n"/>
      <c r="K812" s="9" t="n"/>
      <c r="L812">
        <f>IF($A812="","",IF($P812="Yes","Disputed / Review",IF($I812&lt;&gt;"Yes","Not Reimbursable",IF($M812&lt;=0.004,"Pending",IF($N812&lt;=0.004,"Reimbursed","Partially Reimbursed")))))</f>
        <v/>
      </c>
      <c r="M812" s="12">
        <f>IF($A812="",0,SUMIF('Family Contributions'!$I$4:$I$1003,$A812,'Family Contributions'!$G$4:$G$1003))</f>
        <v/>
      </c>
      <c r="N812" s="12">
        <f>IF($A812="",0,IF($I812="Yes",IF(ISNUMBER($G812),$G812,0)-$M812,0))</f>
        <v/>
      </c>
      <c r="O812" s="9" t="n"/>
      <c r="P812" s="9" t="n"/>
    </row>
    <row r="813">
      <c r="A813" s="9" t="n"/>
      <c r="B813" s="19" t="n"/>
      <c r="C813" s="9" t="n"/>
      <c r="D813" s="9" t="n"/>
      <c r="E813" s="9" t="n"/>
      <c r="F813" s="9" t="n"/>
      <c r="G813" s="10" t="n"/>
      <c r="H813" s="9" t="n"/>
      <c r="I813" s="9" t="n"/>
      <c r="J813" s="9" t="n"/>
      <c r="K813" s="9" t="n"/>
      <c r="L813">
        <f>IF($A813="","",IF($P813="Yes","Disputed / Review",IF($I813&lt;&gt;"Yes","Not Reimbursable",IF($M813&lt;=0.004,"Pending",IF($N813&lt;=0.004,"Reimbursed","Partially Reimbursed")))))</f>
        <v/>
      </c>
      <c r="M813" s="12">
        <f>IF($A813="",0,SUMIF('Family Contributions'!$I$4:$I$1003,$A813,'Family Contributions'!$G$4:$G$1003))</f>
        <v/>
      </c>
      <c r="N813" s="12">
        <f>IF($A813="",0,IF($I813="Yes",IF(ISNUMBER($G813),$G813,0)-$M813,0))</f>
        <v/>
      </c>
      <c r="O813" s="9" t="n"/>
      <c r="P813" s="9" t="n"/>
    </row>
    <row r="814">
      <c r="A814" s="9" t="n"/>
      <c r="B814" s="19" t="n"/>
      <c r="C814" s="9" t="n"/>
      <c r="D814" s="9" t="n"/>
      <c r="E814" s="9" t="n"/>
      <c r="F814" s="9" t="n"/>
      <c r="G814" s="10" t="n"/>
      <c r="H814" s="9" t="n"/>
      <c r="I814" s="9" t="n"/>
      <c r="J814" s="9" t="n"/>
      <c r="K814" s="9" t="n"/>
      <c r="L814">
        <f>IF($A814="","",IF($P814="Yes","Disputed / Review",IF($I814&lt;&gt;"Yes","Not Reimbursable",IF($M814&lt;=0.004,"Pending",IF($N814&lt;=0.004,"Reimbursed","Partially Reimbursed")))))</f>
        <v/>
      </c>
      <c r="M814" s="12">
        <f>IF($A814="",0,SUMIF('Family Contributions'!$I$4:$I$1003,$A814,'Family Contributions'!$G$4:$G$1003))</f>
        <v/>
      </c>
      <c r="N814" s="12">
        <f>IF($A814="",0,IF($I814="Yes",IF(ISNUMBER($G814),$G814,0)-$M814,0))</f>
        <v/>
      </c>
      <c r="O814" s="9" t="n"/>
      <c r="P814" s="9" t="n"/>
    </row>
    <row r="815">
      <c r="A815" s="9" t="n"/>
      <c r="B815" s="19" t="n"/>
      <c r="C815" s="9" t="n"/>
      <c r="D815" s="9" t="n"/>
      <c r="E815" s="9" t="n"/>
      <c r="F815" s="9" t="n"/>
      <c r="G815" s="10" t="n"/>
      <c r="H815" s="9" t="n"/>
      <c r="I815" s="9" t="n"/>
      <c r="J815" s="9" t="n"/>
      <c r="K815" s="9" t="n"/>
      <c r="L815">
        <f>IF($A815="","",IF($P815="Yes","Disputed / Review",IF($I815&lt;&gt;"Yes","Not Reimbursable",IF($M815&lt;=0.004,"Pending",IF($N815&lt;=0.004,"Reimbursed","Partially Reimbursed")))))</f>
        <v/>
      </c>
      <c r="M815" s="12">
        <f>IF($A815="",0,SUMIF('Family Contributions'!$I$4:$I$1003,$A815,'Family Contributions'!$G$4:$G$1003))</f>
        <v/>
      </c>
      <c r="N815" s="12">
        <f>IF($A815="",0,IF($I815="Yes",IF(ISNUMBER($G815),$G815,0)-$M815,0))</f>
        <v/>
      </c>
      <c r="O815" s="9" t="n"/>
      <c r="P815" s="9" t="n"/>
    </row>
    <row r="816">
      <c r="A816" s="9" t="n"/>
      <c r="B816" s="19" t="n"/>
      <c r="C816" s="9" t="n"/>
      <c r="D816" s="9" t="n"/>
      <c r="E816" s="9" t="n"/>
      <c r="F816" s="9" t="n"/>
      <c r="G816" s="10" t="n"/>
      <c r="H816" s="9" t="n"/>
      <c r="I816" s="9" t="n"/>
      <c r="J816" s="9" t="n"/>
      <c r="K816" s="9" t="n"/>
      <c r="L816">
        <f>IF($A816="","",IF($P816="Yes","Disputed / Review",IF($I816&lt;&gt;"Yes","Not Reimbursable",IF($M816&lt;=0.004,"Pending",IF($N816&lt;=0.004,"Reimbursed","Partially Reimbursed")))))</f>
        <v/>
      </c>
      <c r="M816" s="12">
        <f>IF($A816="",0,SUMIF('Family Contributions'!$I$4:$I$1003,$A816,'Family Contributions'!$G$4:$G$1003))</f>
        <v/>
      </c>
      <c r="N816" s="12">
        <f>IF($A816="",0,IF($I816="Yes",IF(ISNUMBER($G816),$G816,0)-$M816,0))</f>
        <v/>
      </c>
      <c r="O816" s="9" t="n"/>
      <c r="P816" s="9" t="n"/>
    </row>
    <row r="817">
      <c r="A817" s="9" t="n"/>
      <c r="B817" s="19" t="n"/>
      <c r="C817" s="9" t="n"/>
      <c r="D817" s="9" t="n"/>
      <c r="E817" s="9" t="n"/>
      <c r="F817" s="9" t="n"/>
      <c r="G817" s="10" t="n"/>
      <c r="H817" s="9" t="n"/>
      <c r="I817" s="9" t="n"/>
      <c r="J817" s="9" t="n"/>
      <c r="K817" s="9" t="n"/>
      <c r="L817">
        <f>IF($A817="","",IF($P817="Yes","Disputed / Review",IF($I817&lt;&gt;"Yes","Not Reimbursable",IF($M817&lt;=0.004,"Pending",IF($N817&lt;=0.004,"Reimbursed","Partially Reimbursed")))))</f>
        <v/>
      </c>
      <c r="M817" s="12">
        <f>IF($A817="",0,SUMIF('Family Contributions'!$I$4:$I$1003,$A817,'Family Contributions'!$G$4:$G$1003))</f>
        <v/>
      </c>
      <c r="N817" s="12">
        <f>IF($A817="",0,IF($I817="Yes",IF(ISNUMBER($G817),$G817,0)-$M817,0))</f>
        <v/>
      </c>
      <c r="O817" s="9" t="n"/>
      <c r="P817" s="9" t="n"/>
    </row>
    <row r="818">
      <c r="A818" s="9" t="n"/>
      <c r="B818" s="19" t="n"/>
      <c r="C818" s="9" t="n"/>
      <c r="D818" s="9" t="n"/>
      <c r="E818" s="9" t="n"/>
      <c r="F818" s="9" t="n"/>
      <c r="G818" s="10" t="n"/>
      <c r="H818" s="9" t="n"/>
      <c r="I818" s="9" t="n"/>
      <c r="J818" s="9" t="n"/>
      <c r="K818" s="9" t="n"/>
      <c r="L818">
        <f>IF($A818="","",IF($P818="Yes","Disputed / Review",IF($I818&lt;&gt;"Yes","Not Reimbursable",IF($M818&lt;=0.004,"Pending",IF($N818&lt;=0.004,"Reimbursed","Partially Reimbursed")))))</f>
        <v/>
      </c>
      <c r="M818" s="12">
        <f>IF($A818="",0,SUMIF('Family Contributions'!$I$4:$I$1003,$A818,'Family Contributions'!$G$4:$G$1003))</f>
        <v/>
      </c>
      <c r="N818" s="12">
        <f>IF($A818="",0,IF($I818="Yes",IF(ISNUMBER($G818),$G818,0)-$M818,0))</f>
        <v/>
      </c>
      <c r="O818" s="9" t="n"/>
      <c r="P818" s="9" t="n"/>
    </row>
    <row r="819">
      <c r="A819" s="9" t="n"/>
      <c r="B819" s="19" t="n"/>
      <c r="C819" s="9" t="n"/>
      <c r="D819" s="9" t="n"/>
      <c r="E819" s="9" t="n"/>
      <c r="F819" s="9" t="n"/>
      <c r="G819" s="10" t="n"/>
      <c r="H819" s="9" t="n"/>
      <c r="I819" s="9" t="n"/>
      <c r="J819" s="9" t="n"/>
      <c r="K819" s="9" t="n"/>
      <c r="L819">
        <f>IF($A819="","",IF($P819="Yes","Disputed / Review",IF($I819&lt;&gt;"Yes","Not Reimbursable",IF($M819&lt;=0.004,"Pending",IF($N819&lt;=0.004,"Reimbursed","Partially Reimbursed")))))</f>
        <v/>
      </c>
      <c r="M819" s="12">
        <f>IF($A819="",0,SUMIF('Family Contributions'!$I$4:$I$1003,$A819,'Family Contributions'!$G$4:$G$1003))</f>
        <v/>
      </c>
      <c r="N819" s="12">
        <f>IF($A819="",0,IF($I819="Yes",IF(ISNUMBER($G819),$G819,0)-$M819,0))</f>
        <v/>
      </c>
      <c r="O819" s="9" t="n"/>
      <c r="P819" s="9" t="n"/>
    </row>
    <row r="820">
      <c r="A820" s="9" t="n"/>
      <c r="B820" s="19" t="n"/>
      <c r="C820" s="9" t="n"/>
      <c r="D820" s="9" t="n"/>
      <c r="E820" s="9" t="n"/>
      <c r="F820" s="9" t="n"/>
      <c r="G820" s="10" t="n"/>
      <c r="H820" s="9" t="n"/>
      <c r="I820" s="9" t="n"/>
      <c r="J820" s="9" t="n"/>
      <c r="K820" s="9" t="n"/>
      <c r="L820">
        <f>IF($A820="","",IF($P820="Yes","Disputed / Review",IF($I820&lt;&gt;"Yes","Not Reimbursable",IF($M820&lt;=0.004,"Pending",IF($N820&lt;=0.004,"Reimbursed","Partially Reimbursed")))))</f>
        <v/>
      </c>
      <c r="M820" s="12">
        <f>IF($A820="",0,SUMIF('Family Contributions'!$I$4:$I$1003,$A820,'Family Contributions'!$G$4:$G$1003))</f>
        <v/>
      </c>
      <c r="N820" s="12">
        <f>IF($A820="",0,IF($I820="Yes",IF(ISNUMBER($G820),$G820,0)-$M820,0))</f>
        <v/>
      </c>
      <c r="O820" s="9" t="n"/>
      <c r="P820" s="9" t="n"/>
    </row>
    <row r="821">
      <c r="A821" s="9" t="n"/>
      <c r="B821" s="19" t="n"/>
      <c r="C821" s="9" t="n"/>
      <c r="D821" s="9" t="n"/>
      <c r="E821" s="9" t="n"/>
      <c r="F821" s="9" t="n"/>
      <c r="G821" s="10" t="n"/>
      <c r="H821" s="9" t="n"/>
      <c r="I821" s="9" t="n"/>
      <c r="J821" s="9" t="n"/>
      <c r="K821" s="9" t="n"/>
      <c r="L821">
        <f>IF($A821="","",IF($P821="Yes","Disputed / Review",IF($I821&lt;&gt;"Yes","Not Reimbursable",IF($M821&lt;=0.004,"Pending",IF($N821&lt;=0.004,"Reimbursed","Partially Reimbursed")))))</f>
        <v/>
      </c>
      <c r="M821" s="12">
        <f>IF($A821="",0,SUMIF('Family Contributions'!$I$4:$I$1003,$A821,'Family Contributions'!$G$4:$G$1003))</f>
        <v/>
      </c>
      <c r="N821" s="12">
        <f>IF($A821="",0,IF($I821="Yes",IF(ISNUMBER($G821),$G821,0)-$M821,0))</f>
        <v/>
      </c>
      <c r="O821" s="9" t="n"/>
      <c r="P821" s="9" t="n"/>
    </row>
    <row r="822">
      <c r="A822" s="9" t="n"/>
      <c r="B822" s="19" t="n"/>
      <c r="C822" s="9" t="n"/>
      <c r="D822" s="9" t="n"/>
      <c r="E822" s="9" t="n"/>
      <c r="F822" s="9" t="n"/>
      <c r="G822" s="10" t="n"/>
      <c r="H822" s="9" t="n"/>
      <c r="I822" s="9" t="n"/>
      <c r="J822" s="9" t="n"/>
      <c r="K822" s="9" t="n"/>
      <c r="L822">
        <f>IF($A822="","",IF($P822="Yes","Disputed / Review",IF($I822&lt;&gt;"Yes","Not Reimbursable",IF($M822&lt;=0.004,"Pending",IF($N822&lt;=0.004,"Reimbursed","Partially Reimbursed")))))</f>
        <v/>
      </c>
      <c r="M822" s="12">
        <f>IF($A822="",0,SUMIF('Family Contributions'!$I$4:$I$1003,$A822,'Family Contributions'!$G$4:$G$1003))</f>
        <v/>
      </c>
      <c r="N822" s="12">
        <f>IF($A822="",0,IF($I822="Yes",IF(ISNUMBER($G822),$G822,0)-$M822,0))</f>
        <v/>
      </c>
      <c r="O822" s="9" t="n"/>
      <c r="P822" s="9" t="n"/>
    </row>
    <row r="823">
      <c r="A823" s="9" t="n"/>
      <c r="B823" s="19" t="n"/>
      <c r="C823" s="9" t="n"/>
      <c r="D823" s="9" t="n"/>
      <c r="E823" s="9" t="n"/>
      <c r="F823" s="9" t="n"/>
      <c r="G823" s="10" t="n"/>
      <c r="H823" s="9" t="n"/>
      <c r="I823" s="9" t="n"/>
      <c r="J823" s="9" t="n"/>
      <c r="K823" s="9" t="n"/>
      <c r="L823">
        <f>IF($A823="","",IF($P823="Yes","Disputed / Review",IF($I823&lt;&gt;"Yes","Not Reimbursable",IF($M823&lt;=0.004,"Pending",IF($N823&lt;=0.004,"Reimbursed","Partially Reimbursed")))))</f>
        <v/>
      </c>
      <c r="M823" s="12">
        <f>IF($A823="",0,SUMIF('Family Contributions'!$I$4:$I$1003,$A823,'Family Contributions'!$G$4:$G$1003))</f>
        <v/>
      </c>
      <c r="N823" s="12">
        <f>IF($A823="",0,IF($I823="Yes",IF(ISNUMBER($G823),$G823,0)-$M823,0))</f>
        <v/>
      </c>
      <c r="O823" s="9" t="n"/>
      <c r="P823" s="9" t="n"/>
    </row>
    <row r="824">
      <c r="A824" s="9" t="n"/>
      <c r="B824" s="19" t="n"/>
      <c r="C824" s="9" t="n"/>
      <c r="D824" s="9" t="n"/>
      <c r="E824" s="9" t="n"/>
      <c r="F824" s="9" t="n"/>
      <c r="G824" s="10" t="n"/>
      <c r="H824" s="9" t="n"/>
      <c r="I824" s="9" t="n"/>
      <c r="J824" s="9" t="n"/>
      <c r="K824" s="9" t="n"/>
      <c r="L824">
        <f>IF($A824="","",IF($P824="Yes","Disputed / Review",IF($I824&lt;&gt;"Yes","Not Reimbursable",IF($M824&lt;=0.004,"Pending",IF($N824&lt;=0.004,"Reimbursed","Partially Reimbursed")))))</f>
        <v/>
      </c>
      <c r="M824" s="12">
        <f>IF($A824="",0,SUMIF('Family Contributions'!$I$4:$I$1003,$A824,'Family Contributions'!$G$4:$G$1003))</f>
        <v/>
      </c>
      <c r="N824" s="12">
        <f>IF($A824="",0,IF($I824="Yes",IF(ISNUMBER($G824),$G824,0)-$M824,0))</f>
        <v/>
      </c>
      <c r="O824" s="9" t="n"/>
      <c r="P824" s="9" t="n"/>
    </row>
    <row r="825">
      <c r="A825" s="9" t="n"/>
      <c r="B825" s="19" t="n"/>
      <c r="C825" s="9" t="n"/>
      <c r="D825" s="9" t="n"/>
      <c r="E825" s="9" t="n"/>
      <c r="F825" s="9" t="n"/>
      <c r="G825" s="10" t="n"/>
      <c r="H825" s="9" t="n"/>
      <c r="I825" s="9" t="n"/>
      <c r="J825" s="9" t="n"/>
      <c r="K825" s="9" t="n"/>
      <c r="L825">
        <f>IF($A825="","",IF($P825="Yes","Disputed / Review",IF($I825&lt;&gt;"Yes","Not Reimbursable",IF($M825&lt;=0.004,"Pending",IF($N825&lt;=0.004,"Reimbursed","Partially Reimbursed")))))</f>
        <v/>
      </c>
      <c r="M825" s="12">
        <f>IF($A825="",0,SUMIF('Family Contributions'!$I$4:$I$1003,$A825,'Family Contributions'!$G$4:$G$1003))</f>
        <v/>
      </c>
      <c r="N825" s="12">
        <f>IF($A825="",0,IF($I825="Yes",IF(ISNUMBER($G825),$G825,0)-$M825,0))</f>
        <v/>
      </c>
      <c r="O825" s="9" t="n"/>
      <c r="P825" s="9" t="n"/>
    </row>
    <row r="826">
      <c r="A826" s="9" t="n"/>
      <c r="B826" s="19" t="n"/>
      <c r="C826" s="9" t="n"/>
      <c r="D826" s="9" t="n"/>
      <c r="E826" s="9" t="n"/>
      <c r="F826" s="9" t="n"/>
      <c r="G826" s="10" t="n"/>
      <c r="H826" s="9" t="n"/>
      <c r="I826" s="9" t="n"/>
      <c r="J826" s="9" t="n"/>
      <c r="K826" s="9" t="n"/>
      <c r="L826">
        <f>IF($A826="","",IF($P826="Yes","Disputed / Review",IF($I826&lt;&gt;"Yes","Not Reimbursable",IF($M826&lt;=0.004,"Pending",IF($N826&lt;=0.004,"Reimbursed","Partially Reimbursed")))))</f>
        <v/>
      </c>
      <c r="M826" s="12">
        <f>IF($A826="",0,SUMIF('Family Contributions'!$I$4:$I$1003,$A826,'Family Contributions'!$G$4:$G$1003))</f>
        <v/>
      </c>
      <c r="N826" s="12">
        <f>IF($A826="",0,IF($I826="Yes",IF(ISNUMBER($G826),$G826,0)-$M826,0))</f>
        <v/>
      </c>
      <c r="O826" s="9" t="n"/>
      <c r="P826" s="9" t="n"/>
    </row>
    <row r="827">
      <c r="A827" s="9" t="n"/>
      <c r="B827" s="19" t="n"/>
      <c r="C827" s="9" t="n"/>
      <c r="D827" s="9" t="n"/>
      <c r="E827" s="9" t="n"/>
      <c r="F827" s="9" t="n"/>
      <c r="G827" s="10" t="n"/>
      <c r="H827" s="9" t="n"/>
      <c r="I827" s="9" t="n"/>
      <c r="J827" s="9" t="n"/>
      <c r="K827" s="9" t="n"/>
      <c r="L827">
        <f>IF($A827="","",IF($P827="Yes","Disputed / Review",IF($I827&lt;&gt;"Yes","Not Reimbursable",IF($M827&lt;=0.004,"Pending",IF($N827&lt;=0.004,"Reimbursed","Partially Reimbursed")))))</f>
        <v/>
      </c>
      <c r="M827" s="12">
        <f>IF($A827="",0,SUMIF('Family Contributions'!$I$4:$I$1003,$A827,'Family Contributions'!$G$4:$G$1003))</f>
        <v/>
      </c>
      <c r="N827" s="12">
        <f>IF($A827="",0,IF($I827="Yes",IF(ISNUMBER($G827),$G827,0)-$M827,0))</f>
        <v/>
      </c>
      <c r="O827" s="9" t="n"/>
      <c r="P827" s="9" t="n"/>
    </row>
    <row r="828">
      <c r="A828" s="9" t="n"/>
      <c r="B828" s="19" t="n"/>
      <c r="C828" s="9" t="n"/>
      <c r="D828" s="9" t="n"/>
      <c r="E828" s="9" t="n"/>
      <c r="F828" s="9" t="n"/>
      <c r="G828" s="10" t="n"/>
      <c r="H828" s="9" t="n"/>
      <c r="I828" s="9" t="n"/>
      <c r="J828" s="9" t="n"/>
      <c r="K828" s="9" t="n"/>
      <c r="L828">
        <f>IF($A828="","",IF($P828="Yes","Disputed / Review",IF($I828&lt;&gt;"Yes","Not Reimbursable",IF($M828&lt;=0.004,"Pending",IF($N828&lt;=0.004,"Reimbursed","Partially Reimbursed")))))</f>
        <v/>
      </c>
      <c r="M828" s="12">
        <f>IF($A828="",0,SUMIF('Family Contributions'!$I$4:$I$1003,$A828,'Family Contributions'!$G$4:$G$1003))</f>
        <v/>
      </c>
      <c r="N828" s="12">
        <f>IF($A828="",0,IF($I828="Yes",IF(ISNUMBER($G828),$G828,0)-$M828,0))</f>
        <v/>
      </c>
      <c r="O828" s="9" t="n"/>
      <c r="P828" s="9" t="n"/>
    </row>
    <row r="829">
      <c r="A829" s="9" t="n"/>
      <c r="B829" s="19" t="n"/>
      <c r="C829" s="9" t="n"/>
      <c r="D829" s="9" t="n"/>
      <c r="E829" s="9" t="n"/>
      <c r="F829" s="9" t="n"/>
      <c r="G829" s="10" t="n"/>
      <c r="H829" s="9" t="n"/>
      <c r="I829" s="9" t="n"/>
      <c r="J829" s="9" t="n"/>
      <c r="K829" s="9" t="n"/>
      <c r="L829">
        <f>IF($A829="","",IF($P829="Yes","Disputed / Review",IF($I829&lt;&gt;"Yes","Not Reimbursable",IF($M829&lt;=0.004,"Pending",IF($N829&lt;=0.004,"Reimbursed","Partially Reimbursed")))))</f>
        <v/>
      </c>
      <c r="M829" s="12">
        <f>IF($A829="",0,SUMIF('Family Contributions'!$I$4:$I$1003,$A829,'Family Contributions'!$G$4:$G$1003))</f>
        <v/>
      </c>
      <c r="N829" s="12">
        <f>IF($A829="",0,IF($I829="Yes",IF(ISNUMBER($G829),$G829,0)-$M829,0))</f>
        <v/>
      </c>
      <c r="O829" s="9" t="n"/>
      <c r="P829" s="9" t="n"/>
    </row>
    <row r="830">
      <c r="A830" s="9" t="n"/>
      <c r="B830" s="19" t="n"/>
      <c r="C830" s="9" t="n"/>
      <c r="D830" s="9" t="n"/>
      <c r="E830" s="9" t="n"/>
      <c r="F830" s="9" t="n"/>
      <c r="G830" s="10" t="n"/>
      <c r="H830" s="9" t="n"/>
      <c r="I830" s="9" t="n"/>
      <c r="J830" s="9" t="n"/>
      <c r="K830" s="9" t="n"/>
      <c r="L830">
        <f>IF($A830="","",IF($P830="Yes","Disputed / Review",IF($I830&lt;&gt;"Yes","Not Reimbursable",IF($M830&lt;=0.004,"Pending",IF($N830&lt;=0.004,"Reimbursed","Partially Reimbursed")))))</f>
        <v/>
      </c>
      <c r="M830" s="12">
        <f>IF($A830="",0,SUMIF('Family Contributions'!$I$4:$I$1003,$A830,'Family Contributions'!$G$4:$G$1003))</f>
        <v/>
      </c>
      <c r="N830" s="12">
        <f>IF($A830="",0,IF($I830="Yes",IF(ISNUMBER($G830),$G830,0)-$M830,0))</f>
        <v/>
      </c>
      <c r="O830" s="9" t="n"/>
      <c r="P830" s="9" t="n"/>
    </row>
    <row r="831">
      <c r="A831" s="9" t="n"/>
      <c r="B831" s="19" t="n"/>
      <c r="C831" s="9" t="n"/>
      <c r="D831" s="9" t="n"/>
      <c r="E831" s="9" t="n"/>
      <c r="F831" s="9" t="n"/>
      <c r="G831" s="10" t="n"/>
      <c r="H831" s="9" t="n"/>
      <c r="I831" s="9" t="n"/>
      <c r="J831" s="9" t="n"/>
      <c r="K831" s="9" t="n"/>
      <c r="L831">
        <f>IF($A831="","",IF($P831="Yes","Disputed / Review",IF($I831&lt;&gt;"Yes","Not Reimbursable",IF($M831&lt;=0.004,"Pending",IF($N831&lt;=0.004,"Reimbursed","Partially Reimbursed")))))</f>
        <v/>
      </c>
      <c r="M831" s="12">
        <f>IF($A831="",0,SUMIF('Family Contributions'!$I$4:$I$1003,$A831,'Family Contributions'!$G$4:$G$1003))</f>
        <v/>
      </c>
      <c r="N831" s="12">
        <f>IF($A831="",0,IF($I831="Yes",IF(ISNUMBER($G831),$G831,0)-$M831,0))</f>
        <v/>
      </c>
      <c r="O831" s="9" t="n"/>
      <c r="P831" s="9" t="n"/>
    </row>
    <row r="832">
      <c r="A832" s="9" t="n"/>
      <c r="B832" s="19" t="n"/>
      <c r="C832" s="9" t="n"/>
      <c r="D832" s="9" t="n"/>
      <c r="E832" s="9" t="n"/>
      <c r="F832" s="9" t="n"/>
      <c r="G832" s="10" t="n"/>
      <c r="H832" s="9" t="n"/>
      <c r="I832" s="9" t="n"/>
      <c r="J832" s="9" t="n"/>
      <c r="K832" s="9" t="n"/>
      <c r="L832">
        <f>IF($A832="","",IF($P832="Yes","Disputed / Review",IF($I832&lt;&gt;"Yes","Not Reimbursable",IF($M832&lt;=0.004,"Pending",IF($N832&lt;=0.004,"Reimbursed","Partially Reimbursed")))))</f>
        <v/>
      </c>
      <c r="M832" s="12">
        <f>IF($A832="",0,SUMIF('Family Contributions'!$I$4:$I$1003,$A832,'Family Contributions'!$G$4:$G$1003))</f>
        <v/>
      </c>
      <c r="N832" s="12">
        <f>IF($A832="",0,IF($I832="Yes",IF(ISNUMBER($G832),$G832,0)-$M832,0))</f>
        <v/>
      </c>
      <c r="O832" s="9" t="n"/>
      <c r="P832" s="9" t="n"/>
    </row>
    <row r="833">
      <c r="A833" s="9" t="n"/>
      <c r="B833" s="19" t="n"/>
      <c r="C833" s="9" t="n"/>
      <c r="D833" s="9" t="n"/>
      <c r="E833" s="9" t="n"/>
      <c r="F833" s="9" t="n"/>
      <c r="G833" s="10" t="n"/>
      <c r="H833" s="9" t="n"/>
      <c r="I833" s="9" t="n"/>
      <c r="J833" s="9" t="n"/>
      <c r="K833" s="9" t="n"/>
      <c r="L833">
        <f>IF($A833="","",IF($P833="Yes","Disputed / Review",IF($I833&lt;&gt;"Yes","Not Reimbursable",IF($M833&lt;=0.004,"Pending",IF($N833&lt;=0.004,"Reimbursed","Partially Reimbursed")))))</f>
        <v/>
      </c>
      <c r="M833" s="12">
        <f>IF($A833="",0,SUMIF('Family Contributions'!$I$4:$I$1003,$A833,'Family Contributions'!$G$4:$G$1003))</f>
        <v/>
      </c>
      <c r="N833" s="12">
        <f>IF($A833="",0,IF($I833="Yes",IF(ISNUMBER($G833),$G833,0)-$M833,0))</f>
        <v/>
      </c>
      <c r="O833" s="9" t="n"/>
      <c r="P833" s="9" t="n"/>
    </row>
    <row r="834">
      <c r="A834" s="9" t="n"/>
      <c r="B834" s="19" t="n"/>
      <c r="C834" s="9" t="n"/>
      <c r="D834" s="9" t="n"/>
      <c r="E834" s="9" t="n"/>
      <c r="F834" s="9" t="n"/>
      <c r="G834" s="10" t="n"/>
      <c r="H834" s="9" t="n"/>
      <c r="I834" s="9" t="n"/>
      <c r="J834" s="9" t="n"/>
      <c r="K834" s="9" t="n"/>
      <c r="L834">
        <f>IF($A834="","",IF($P834="Yes","Disputed / Review",IF($I834&lt;&gt;"Yes","Not Reimbursable",IF($M834&lt;=0.004,"Pending",IF($N834&lt;=0.004,"Reimbursed","Partially Reimbursed")))))</f>
        <v/>
      </c>
      <c r="M834" s="12">
        <f>IF($A834="",0,SUMIF('Family Contributions'!$I$4:$I$1003,$A834,'Family Contributions'!$G$4:$G$1003))</f>
        <v/>
      </c>
      <c r="N834" s="12">
        <f>IF($A834="",0,IF($I834="Yes",IF(ISNUMBER($G834),$G834,0)-$M834,0))</f>
        <v/>
      </c>
      <c r="O834" s="9" t="n"/>
      <c r="P834" s="9" t="n"/>
    </row>
    <row r="835">
      <c r="A835" s="9" t="n"/>
      <c r="B835" s="19" t="n"/>
      <c r="C835" s="9" t="n"/>
      <c r="D835" s="9" t="n"/>
      <c r="E835" s="9" t="n"/>
      <c r="F835" s="9" t="n"/>
      <c r="G835" s="10" t="n"/>
      <c r="H835" s="9" t="n"/>
      <c r="I835" s="9" t="n"/>
      <c r="J835" s="9" t="n"/>
      <c r="K835" s="9" t="n"/>
      <c r="L835">
        <f>IF($A835="","",IF($P835="Yes","Disputed / Review",IF($I835&lt;&gt;"Yes","Not Reimbursable",IF($M835&lt;=0.004,"Pending",IF($N835&lt;=0.004,"Reimbursed","Partially Reimbursed")))))</f>
        <v/>
      </c>
      <c r="M835" s="12">
        <f>IF($A835="",0,SUMIF('Family Contributions'!$I$4:$I$1003,$A835,'Family Contributions'!$G$4:$G$1003))</f>
        <v/>
      </c>
      <c r="N835" s="12">
        <f>IF($A835="",0,IF($I835="Yes",IF(ISNUMBER($G835),$G835,0)-$M835,0))</f>
        <v/>
      </c>
      <c r="O835" s="9" t="n"/>
      <c r="P835" s="9" t="n"/>
    </row>
    <row r="836">
      <c r="A836" s="9" t="n"/>
      <c r="B836" s="19" t="n"/>
      <c r="C836" s="9" t="n"/>
      <c r="D836" s="9" t="n"/>
      <c r="E836" s="9" t="n"/>
      <c r="F836" s="9" t="n"/>
      <c r="G836" s="10" t="n"/>
      <c r="H836" s="9" t="n"/>
      <c r="I836" s="9" t="n"/>
      <c r="J836" s="9" t="n"/>
      <c r="K836" s="9" t="n"/>
      <c r="L836">
        <f>IF($A836="","",IF($P836="Yes","Disputed / Review",IF($I836&lt;&gt;"Yes","Not Reimbursable",IF($M836&lt;=0.004,"Pending",IF($N836&lt;=0.004,"Reimbursed","Partially Reimbursed")))))</f>
        <v/>
      </c>
      <c r="M836" s="12">
        <f>IF($A836="",0,SUMIF('Family Contributions'!$I$4:$I$1003,$A836,'Family Contributions'!$G$4:$G$1003))</f>
        <v/>
      </c>
      <c r="N836" s="12">
        <f>IF($A836="",0,IF($I836="Yes",IF(ISNUMBER($G836),$G836,0)-$M836,0))</f>
        <v/>
      </c>
      <c r="O836" s="9" t="n"/>
      <c r="P836" s="9" t="n"/>
    </row>
    <row r="837">
      <c r="A837" s="9" t="n"/>
      <c r="B837" s="19" t="n"/>
      <c r="C837" s="9" t="n"/>
      <c r="D837" s="9" t="n"/>
      <c r="E837" s="9" t="n"/>
      <c r="F837" s="9" t="n"/>
      <c r="G837" s="10" t="n"/>
      <c r="H837" s="9" t="n"/>
      <c r="I837" s="9" t="n"/>
      <c r="J837" s="9" t="n"/>
      <c r="K837" s="9" t="n"/>
      <c r="L837">
        <f>IF($A837="","",IF($P837="Yes","Disputed / Review",IF($I837&lt;&gt;"Yes","Not Reimbursable",IF($M837&lt;=0.004,"Pending",IF($N837&lt;=0.004,"Reimbursed","Partially Reimbursed")))))</f>
        <v/>
      </c>
      <c r="M837" s="12">
        <f>IF($A837="",0,SUMIF('Family Contributions'!$I$4:$I$1003,$A837,'Family Contributions'!$G$4:$G$1003))</f>
        <v/>
      </c>
      <c r="N837" s="12">
        <f>IF($A837="",0,IF($I837="Yes",IF(ISNUMBER($G837),$G837,0)-$M837,0))</f>
        <v/>
      </c>
      <c r="O837" s="9" t="n"/>
      <c r="P837" s="9" t="n"/>
    </row>
    <row r="838">
      <c r="A838" s="9" t="n"/>
      <c r="B838" s="19" t="n"/>
      <c r="C838" s="9" t="n"/>
      <c r="D838" s="9" t="n"/>
      <c r="E838" s="9" t="n"/>
      <c r="F838" s="9" t="n"/>
      <c r="G838" s="10" t="n"/>
      <c r="H838" s="9" t="n"/>
      <c r="I838" s="9" t="n"/>
      <c r="J838" s="9" t="n"/>
      <c r="K838" s="9" t="n"/>
      <c r="L838">
        <f>IF($A838="","",IF($P838="Yes","Disputed / Review",IF($I838&lt;&gt;"Yes","Not Reimbursable",IF($M838&lt;=0.004,"Pending",IF($N838&lt;=0.004,"Reimbursed","Partially Reimbursed")))))</f>
        <v/>
      </c>
      <c r="M838" s="12">
        <f>IF($A838="",0,SUMIF('Family Contributions'!$I$4:$I$1003,$A838,'Family Contributions'!$G$4:$G$1003))</f>
        <v/>
      </c>
      <c r="N838" s="12">
        <f>IF($A838="",0,IF($I838="Yes",IF(ISNUMBER($G838),$G838,0)-$M838,0))</f>
        <v/>
      </c>
      <c r="O838" s="9" t="n"/>
      <c r="P838" s="9" t="n"/>
    </row>
    <row r="839">
      <c r="A839" s="9" t="n"/>
      <c r="B839" s="19" t="n"/>
      <c r="C839" s="9" t="n"/>
      <c r="D839" s="9" t="n"/>
      <c r="E839" s="9" t="n"/>
      <c r="F839" s="9" t="n"/>
      <c r="G839" s="10" t="n"/>
      <c r="H839" s="9" t="n"/>
      <c r="I839" s="9" t="n"/>
      <c r="J839" s="9" t="n"/>
      <c r="K839" s="9" t="n"/>
      <c r="L839">
        <f>IF($A839="","",IF($P839="Yes","Disputed / Review",IF($I839&lt;&gt;"Yes","Not Reimbursable",IF($M839&lt;=0.004,"Pending",IF($N839&lt;=0.004,"Reimbursed","Partially Reimbursed")))))</f>
        <v/>
      </c>
      <c r="M839" s="12">
        <f>IF($A839="",0,SUMIF('Family Contributions'!$I$4:$I$1003,$A839,'Family Contributions'!$G$4:$G$1003))</f>
        <v/>
      </c>
      <c r="N839" s="12">
        <f>IF($A839="",0,IF($I839="Yes",IF(ISNUMBER($G839),$G839,0)-$M839,0))</f>
        <v/>
      </c>
      <c r="O839" s="9" t="n"/>
      <c r="P839" s="9" t="n"/>
    </row>
    <row r="840">
      <c r="A840" s="9" t="n"/>
      <c r="B840" s="19" t="n"/>
      <c r="C840" s="9" t="n"/>
      <c r="D840" s="9" t="n"/>
      <c r="E840" s="9" t="n"/>
      <c r="F840" s="9" t="n"/>
      <c r="G840" s="10" t="n"/>
      <c r="H840" s="9" t="n"/>
      <c r="I840" s="9" t="n"/>
      <c r="J840" s="9" t="n"/>
      <c r="K840" s="9" t="n"/>
      <c r="L840">
        <f>IF($A840="","",IF($P840="Yes","Disputed / Review",IF($I840&lt;&gt;"Yes","Not Reimbursable",IF($M840&lt;=0.004,"Pending",IF($N840&lt;=0.004,"Reimbursed","Partially Reimbursed")))))</f>
        <v/>
      </c>
      <c r="M840" s="12">
        <f>IF($A840="",0,SUMIF('Family Contributions'!$I$4:$I$1003,$A840,'Family Contributions'!$G$4:$G$1003))</f>
        <v/>
      </c>
      <c r="N840" s="12">
        <f>IF($A840="",0,IF($I840="Yes",IF(ISNUMBER($G840),$G840,0)-$M840,0))</f>
        <v/>
      </c>
      <c r="O840" s="9" t="n"/>
      <c r="P840" s="9" t="n"/>
    </row>
    <row r="841">
      <c r="A841" s="9" t="n"/>
      <c r="B841" s="19" t="n"/>
      <c r="C841" s="9" t="n"/>
      <c r="D841" s="9" t="n"/>
      <c r="E841" s="9" t="n"/>
      <c r="F841" s="9" t="n"/>
      <c r="G841" s="10" t="n"/>
      <c r="H841" s="9" t="n"/>
      <c r="I841" s="9" t="n"/>
      <c r="J841" s="9" t="n"/>
      <c r="K841" s="9" t="n"/>
      <c r="L841">
        <f>IF($A841="","",IF($P841="Yes","Disputed / Review",IF($I841&lt;&gt;"Yes","Not Reimbursable",IF($M841&lt;=0.004,"Pending",IF($N841&lt;=0.004,"Reimbursed","Partially Reimbursed")))))</f>
        <v/>
      </c>
      <c r="M841" s="12">
        <f>IF($A841="",0,SUMIF('Family Contributions'!$I$4:$I$1003,$A841,'Family Contributions'!$G$4:$G$1003))</f>
        <v/>
      </c>
      <c r="N841" s="12">
        <f>IF($A841="",0,IF($I841="Yes",IF(ISNUMBER($G841),$G841,0)-$M841,0))</f>
        <v/>
      </c>
      <c r="O841" s="9" t="n"/>
      <c r="P841" s="9" t="n"/>
    </row>
    <row r="842">
      <c r="A842" s="9" t="n"/>
      <c r="B842" s="19" t="n"/>
      <c r="C842" s="9" t="n"/>
      <c r="D842" s="9" t="n"/>
      <c r="E842" s="9" t="n"/>
      <c r="F842" s="9" t="n"/>
      <c r="G842" s="10" t="n"/>
      <c r="H842" s="9" t="n"/>
      <c r="I842" s="9" t="n"/>
      <c r="J842" s="9" t="n"/>
      <c r="K842" s="9" t="n"/>
      <c r="L842">
        <f>IF($A842="","",IF($P842="Yes","Disputed / Review",IF($I842&lt;&gt;"Yes","Not Reimbursable",IF($M842&lt;=0.004,"Pending",IF($N842&lt;=0.004,"Reimbursed","Partially Reimbursed")))))</f>
        <v/>
      </c>
      <c r="M842" s="12">
        <f>IF($A842="",0,SUMIF('Family Contributions'!$I$4:$I$1003,$A842,'Family Contributions'!$G$4:$G$1003))</f>
        <v/>
      </c>
      <c r="N842" s="12">
        <f>IF($A842="",0,IF($I842="Yes",IF(ISNUMBER($G842),$G842,0)-$M842,0))</f>
        <v/>
      </c>
      <c r="O842" s="9" t="n"/>
      <c r="P842" s="9" t="n"/>
    </row>
    <row r="843">
      <c r="A843" s="9" t="n"/>
      <c r="B843" s="19" t="n"/>
      <c r="C843" s="9" t="n"/>
      <c r="D843" s="9" t="n"/>
      <c r="E843" s="9" t="n"/>
      <c r="F843" s="9" t="n"/>
      <c r="G843" s="10" t="n"/>
      <c r="H843" s="9" t="n"/>
      <c r="I843" s="9" t="n"/>
      <c r="J843" s="9" t="n"/>
      <c r="K843" s="9" t="n"/>
      <c r="L843">
        <f>IF($A843="","",IF($P843="Yes","Disputed / Review",IF($I843&lt;&gt;"Yes","Not Reimbursable",IF($M843&lt;=0.004,"Pending",IF($N843&lt;=0.004,"Reimbursed","Partially Reimbursed")))))</f>
        <v/>
      </c>
      <c r="M843" s="12">
        <f>IF($A843="",0,SUMIF('Family Contributions'!$I$4:$I$1003,$A843,'Family Contributions'!$G$4:$G$1003))</f>
        <v/>
      </c>
      <c r="N843" s="12">
        <f>IF($A843="",0,IF($I843="Yes",IF(ISNUMBER($G843),$G843,0)-$M843,0))</f>
        <v/>
      </c>
      <c r="O843" s="9" t="n"/>
      <c r="P843" s="9" t="n"/>
    </row>
    <row r="844">
      <c r="A844" s="9" t="n"/>
      <c r="B844" s="19" t="n"/>
      <c r="C844" s="9" t="n"/>
      <c r="D844" s="9" t="n"/>
      <c r="E844" s="9" t="n"/>
      <c r="F844" s="9" t="n"/>
      <c r="G844" s="10" t="n"/>
      <c r="H844" s="9" t="n"/>
      <c r="I844" s="9" t="n"/>
      <c r="J844" s="9" t="n"/>
      <c r="K844" s="9" t="n"/>
      <c r="L844">
        <f>IF($A844="","",IF($P844="Yes","Disputed / Review",IF($I844&lt;&gt;"Yes","Not Reimbursable",IF($M844&lt;=0.004,"Pending",IF($N844&lt;=0.004,"Reimbursed","Partially Reimbursed")))))</f>
        <v/>
      </c>
      <c r="M844" s="12">
        <f>IF($A844="",0,SUMIF('Family Contributions'!$I$4:$I$1003,$A844,'Family Contributions'!$G$4:$G$1003))</f>
        <v/>
      </c>
      <c r="N844" s="12">
        <f>IF($A844="",0,IF($I844="Yes",IF(ISNUMBER($G844),$G844,0)-$M844,0))</f>
        <v/>
      </c>
      <c r="O844" s="9" t="n"/>
      <c r="P844" s="9" t="n"/>
    </row>
    <row r="845">
      <c r="A845" s="9" t="n"/>
      <c r="B845" s="19" t="n"/>
      <c r="C845" s="9" t="n"/>
      <c r="D845" s="9" t="n"/>
      <c r="E845" s="9" t="n"/>
      <c r="F845" s="9" t="n"/>
      <c r="G845" s="10" t="n"/>
      <c r="H845" s="9" t="n"/>
      <c r="I845" s="9" t="n"/>
      <c r="J845" s="9" t="n"/>
      <c r="K845" s="9" t="n"/>
      <c r="L845">
        <f>IF($A845="","",IF($P845="Yes","Disputed / Review",IF($I845&lt;&gt;"Yes","Not Reimbursable",IF($M845&lt;=0.004,"Pending",IF($N845&lt;=0.004,"Reimbursed","Partially Reimbursed")))))</f>
        <v/>
      </c>
      <c r="M845" s="12">
        <f>IF($A845="",0,SUMIF('Family Contributions'!$I$4:$I$1003,$A845,'Family Contributions'!$G$4:$G$1003))</f>
        <v/>
      </c>
      <c r="N845" s="12">
        <f>IF($A845="",0,IF($I845="Yes",IF(ISNUMBER($G845),$G845,0)-$M845,0))</f>
        <v/>
      </c>
      <c r="O845" s="9" t="n"/>
      <c r="P845" s="9" t="n"/>
    </row>
    <row r="846">
      <c r="A846" s="9" t="n"/>
      <c r="B846" s="19" t="n"/>
      <c r="C846" s="9" t="n"/>
      <c r="D846" s="9" t="n"/>
      <c r="E846" s="9" t="n"/>
      <c r="F846" s="9" t="n"/>
      <c r="G846" s="10" t="n"/>
      <c r="H846" s="9" t="n"/>
      <c r="I846" s="9" t="n"/>
      <c r="J846" s="9" t="n"/>
      <c r="K846" s="9" t="n"/>
      <c r="L846">
        <f>IF($A846="","",IF($P846="Yes","Disputed / Review",IF($I846&lt;&gt;"Yes","Not Reimbursable",IF($M846&lt;=0.004,"Pending",IF($N846&lt;=0.004,"Reimbursed","Partially Reimbursed")))))</f>
        <v/>
      </c>
      <c r="M846" s="12">
        <f>IF($A846="",0,SUMIF('Family Contributions'!$I$4:$I$1003,$A846,'Family Contributions'!$G$4:$G$1003))</f>
        <v/>
      </c>
      <c r="N846" s="12">
        <f>IF($A846="",0,IF($I846="Yes",IF(ISNUMBER($G846),$G846,0)-$M846,0))</f>
        <v/>
      </c>
      <c r="O846" s="9" t="n"/>
      <c r="P846" s="9" t="n"/>
    </row>
    <row r="847">
      <c r="A847" s="9" t="n"/>
      <c r="B847" s="19" t="n"/>
      <c r="C847" s="9" t="n"/>
      <c r="D847" s="9" t="n"/>
      <c r="E847" s="9" t="n"/>
      <c r="F847" s="9" t="n"/>
      <c r="G847" s="10" t="n"/>
      <c r="H847" s="9" t="n"/>
      <c r="I847" s="9" t="n"/>
      <c r="J847" s="9" t="n"/>
      <c r="K847" s="9" t="n"/>
      <c r="L847">
        <f>IF($A847="","",IF($P847="Yes","Disputed / Review",IF($I847&lt;&gt;"Yes","Not Reimbursable",IF($M847&lt;=0.004,"Pending",IF($N847&lt;=0.004,"Reimbursed","Partially Reimbursed")))))</f>
        <v/>
      </c>
      <c r="M847" s="12">
        <f>IF($A847="",0,SUMIF('Family Contributions'!$I$4:$I$1003,$A847,'Family Contributions'!$G$4:$G$1003))</f>
        <v/>
      </c>
      <c r="N847" s="12">
        <f>IF($A847="",0,IF($I847="Yes",IF(ISNUMBER($G847),$G847,0)-$M847,0))</f>
        <v/>
      </c>
      <c r="O847" s="9" t="n"/>
      <c r="P847" s="9" t="n"/>
    </row>
    <row r="848">
      <c r="A848" s="9" t="n"/>
      <c r="B848" s="19" t="n"/>
      <c r="C848" s="9" t="n"/>
      <c r="D848" s="9" t="n"/>
      <c r="E848" s="9" t="n"/>
      <c r="F848" s="9" t="n"/>
      <c r="G848" s="10" t="n"/>
      <c r="H848" s="9" t="n"/>
      <c r="I848" s="9" t="n"/>
      <c r="J848" s="9" t="n"/>
      <c r="K848" s="9" t="n"/>
      <c r="L848">
        <f>IF($A848="","",IF($P848="Yes","Disputed / Review",IF($I848&lt;&gt;"Yes","Not Reimbursable",IF($M848&lt;=0.004,"Pending",IF($N848&lt;=0.004,"Reimbursed","Partially Reimbursed")))))</f>
        <v/>
      </c>
      <c r="M848" s="12">
        <f>IF($A848="",0,SUMIF('Family Contributions'!$I$4:$I$1003,$A848,'Family Contributions'!$G$4:$G$1003))</f>
        <v/>
      </c>
      <c r="N848" s="12">
        <f>IF($A848="",0,IF($I848="Yes",IF(ISNUMBER($G848),$G848,0)-$M848,0))</f>
        <v/>
      </c>
      <c r="O848" s="9" t="n"/>
      <c r="P848" s="9" t="n"/>
    </row>
    <row r="849">
      <c r="A849" s="9" t="n"/>
      <c r="B849" s="19" t="n"/>
      <c r="C849" s="9" t="n"/>
      <c r="D849" s="9" t="n"/>
      <c r="E849" s="9" t="n"/>
      <c r="F849" s="9" t="n"/>
      <c r="G849" s="10" t="n"/>
      <c r="H849" s="9" t="n"/>
      <c r="I849" s="9" t="n"/>
      <c r="J849" s="9" t="n"/>
      <c r="K849" s="9" t="n"/>
      <c r="L849">
        <f>IF($A849="","",IF($P849="Yes","Disputed / Review",IF($I849&lt;&gt;"Yes","Not Reimbursable",IF($M849&lt;=0.004,"Pending",IF($N849&lt;=0.004,"Reimbursed","Partially Reimbursed")))))</f>
        <v/>
      </c>
      <c r="M849" s="12">
        <f>IF($A849="",0,SUMIF('Family Contributions'!$I$4:$I$1003,$A849,'Family Contributions'!$G$4:$G$1003))</f>
        <v/>
      </c>
      <c r="N849" s="12">
        <f>IF($A849="",0,IF($I849="Yes",IF(ISNUMBER($G849),$G849,0)-$M849,0))</f>
        <v/>
      </c>
      <c r="O849" s="9" t="n"/>
      <c r="P849" s="9" t="n"/>
    </row>
    <row r="850">
      <c r="A850" s="9" t="n"/>
      <c r="B850" s="19" t="n"/>
      <c r="C850" s="9" t="n"/>
      <c r="D850" s="9" t="n"/>
      <c r="E850" s="9" t="n"/>
      <c r="F850" s="9" t="n"/>
      <c r="G850" s="10" t="n"/>
      <c r="H850" s="9" t="n"/>
      <c r="I850" s="9" t="n"/>
      <c r="J850" s="9" t="n"/>
      <c r="K850" s="9" t="n"/>
      <c r="L850">
        <f>IF($A850="","",IF($P850="Yes","Disputed / Review",IF($I850&lt;&gt;"Yes","Not Reimbursable",IF($M850&lt;=0.004,"Pending",IF($N850&lt;=0.004,"Reimbursed","Partially Reimbursed")))))</f>
        <v/>
      </c>
      <c r="M850" s="12">
        <f>IF($A850="",0,SUMIF('Family Contributions'!$I$4:$I$1003,$A850,'Family Contributions'!$G$4:$G$1003))</f>
        <v/>
      </c>
      <c r="N850" s="12">
        <f>IF($A850="",0,IF($I850="Yes",IF(ISNUMBER($G850),$G850,0)-$M850,0))</f>
        <v/>
      </c>
      <c r="O850" s="9" t="n"/>
      <c r="P850" s="9" t="n"/>
    </row>
    <row r="851">
      <c r="A851" s="9" t="n"/>
      <c r="B851" s="19" t="n"/>
      <c r="C851" s="9" t="n"/>
      <c r="D851" s="9" t="n"/>
      <c r="E851" s="9" t="n"/>
      <c r="F851" s="9" t="n"/>
      <c r="G851" s="10" t="n"/>
      <c r="H851" s="9" t="n"/>
      <c r="I851" s="9" t="n"/>
      <c r="J851" s="9" t="n"/>
      <c r="K851" s="9" t="n"/>
      <c r="L851">
        <f>IF($A851="","",IF($P851="Yes","Disputed / Review",IF($I851&lt;&gt;"Yes","Not Reimbursable",IF($M851&lt;=0.004,"Pending",IF($N851&lt;=0.004,"Reimbursed","Partially Reimbursed")))))</f>
        <v/>
      </c>
      <c r="M851" s="12">
        <f>IF($A851="",0,SUMIF('Family Contributions'!$I$4:$I$1003,$A851,'Family Contributions'!$G$4:$G$1003))</f>
        <v/>
      </c>
      <c r="N851" s="12">
        <f>IF($A851="",0,IF($I851="Yes",IF(ISNUMBER($G851),$G851,0)-$M851,0))</f>
        <v/>
      </c>
      <c r="O851" s="9" t="n"/>
      <c r="P851" s="9" t="n"/>
    </row>
    <row r="852">
      <c r="A852" s="9" t="n"/>
      <c r="B852" s="19" t="n"/>
      <c r="C852" s="9" t="n"/>
      <c r="D852" s="9" t="n"/>
      <c r="E852" s="9" t="n"/>
      <c r="F852" s="9" t="n"/>
      <c r="G852" s="10" t="n"/>
      <c r="H852" s="9" t="n"/>
      <c r="I852" s="9" t="n"/>
      <c r="J852" s="9" t="n"/>
      <c r="K852" s="9" t="n"/>
      <c r="L852">
        <f>IF($A852="","",IF($P852="Yes","Disputed / Review",IF($I852&lt;&gt;"Yes","Not Reimbursable",IF($M852&lt;=0.004,"Pending",IF($N852&lt;=0.004,"Reimbursed","Partially Reimbursed")))))</f>
        <v/>
      </c>
      <c r="M852" s="12">
        <f>IF($A852="",0,SUMIF('Family Contributions'!$I$4:$I$1003,$A852,'Family Contributions'!$G$4:$G$1003))</f>
        <v/>
      </c>
      <c r="N852" s="12">
        <f>IF($A852="",0,IF($I852="Yes",IF(ISNUMBER($G852),$G852,0)-$M852,0))</f>
        <v/>
      </c>
      <c r="O852" s="9" t="n"/>
      <c r="P852" s="9" t="n"/>
    </row>
    <row r="853">
      <c r="A853" s="9" t="n"/>
      <c r="B853" s="19" t="n"/>
      <c r="C853" s="9" t="n"/>
      <c r="D853" s="9" t="n"/>
      <c r="E853" s="9" t="n"/>
      <c r="F853" s="9" t="n"/>
      <c r="G853" s="10" t="n"/>
      <c r="H853" s="9" t="n"/>
      <c r="I853" s="9" t="n"/>
      <c r="J853" s="9" t="n"/>
      <c r="K853" s="9" t="n"/>
      <c r="L853">
        <f>IF($A853="","",IF($P853="Yes","Disputed / Review",IF($I853&lt;&gt;"Yes","Not Reimbursable",IF($M853&lt;=0.004,"Pending",IF($N853&lt;=0.004,"Reimbursed","Partially Reimbursed")))))</f>
        <v/>
      </c>
      <c r="M853" s="12">
        <f>IF($A853="",0,SUMIF('Family Contributions'!$I$4:$I$1003,$A853,'Family Contributions'!$G$4:$G$1003))</f>
        <v/>
      </c>
      <c r="N853" s="12">
        <f>IF($A853="",0,IF($I853="Yes",IF(ISNUMBER($G853),$G853,0)-$M853,0))</f>
        <v/>
      </c>
      <c r="O853" s="9" t="n"/>
      <c r="P853" s="9" t="n"/>
    </row>
    <row r="854">
      <c r="A854" s="9" t="n"/>
      <c r="B854" s="19" t="n"/>
      <c r="C854" s="9" t="n"/>
      <c r="D854" s="9" t="n"/>
      <c r="E854" s="9" t="n"/>
      <c r="F854" s="9" t="n"/>
      <c r="G854" s="10" t="n"/>
      <c r="H854" s="9" t="n"/>
      <c r="I854" s="9" t="n"/>
      <c r="J854" s="9" t="n"/>
      <c r="K854" s="9" t="n"/>
      <c r="L854">
        <f>IF($A854="","",IF($P854="Yes","Disputed / Review",IF($I854&lt;&gt;"Yes","Not Reimbursable",IF($M854&lt;=0.004,"Pending",IF($N854&lt;=0.004,"Reimbursed","Partially Reimbursed")))))</f>
        <v/>
      </c>
      <c r="M854" s="12">
        <f>IF($A854="",0,SUMIF('Family Contributions'!$I$4:$I$1003,$A854,'Family Contributions'!$G$4:$G$1003))</f>
        <v/>
      </c>
      <c r="N854" s="12">
        <f>IF($A854="",0,IF($I854="Yes",IF(ISNUMBER($G854),$G854,0)-$M854,0))</f>
        <v/>
      </c>
      <c r="O854" s="9" t="n"/>
      <c r="P854" s="9" t="n"/>
    </row>
    <row r="855">
      <c r="A855" s="9" t="n"/>
      <c r="B855" s="19" t="n"/>
      <c r="C855" s="9" t="n"/>
      <c r="D855" s="9" t="n"/>
      <c r="E855" s="9" t="n"/>
      <c r="F855" s="9" t="n"/>
      <c r="G855" s="10" t="n"/>
      <c r="H855" s="9" t="n"/>
      <c r="I855" s="9" t="n"/>
      <c r="J855" s="9" t="n"/>
      <c r="K855" s="9" t="n"/>
      <c r="L855">
        <f>IF($A855="","",IF($P855="Yes","Disputed / Review",IF($I855&lt;&gt;"Yes","Not Reimbursable",IF($M855&lt;=0.004,"Pending",IF($N855&lt;=0.004,"Reimbursed","Partially Reimbursed")))))</f>
        <v/>
      </c>
      <c r="M855" s="12">
        <f>IF($A855="",0,SUMIF('Family Contributions'!$I$4:$I$1003,$A855,'Family Contributions'!$G$4:$G$1003))</f>
        <v/>
      </c>
      <c r="N855" s="12">
        <f>IF($A855="",0,IF($I855="Yes",IF(ISNUMBER($G855),$G855,0)-$M855,0))</f>
        <v/>
      </c>
      <c r="O855" s="9" t="n"/>
      <c r="P855" s="9" t="n"/>
    </row>
    <row r="856">
      <c r="A856" s="9" t="n"/>
      <c r="B856" s="19" t="n"/>
      <c r="C856" s="9" t="n"/>
      <c r="D856" s="9" t="n"/>
      <c r="E856" s="9" t="n"/>
      <c r="F856" s="9" t="n"/>
      <c r="G856" s="10" t="n"/>
      <c r="H856" s="9" t="n"/>
      <c r="I856" s="9" t="n"/>
      <c r="J856" s="9" t="n"/>
      <c r="K856" s="9" t="n"/>
      <c r="L856">
        <f>IF($A856="","",IF($P856="Yes","Disputed / Review",IF($I856&lt;&gt;"Yes","Not Reimbursable",IF($M856&lt;=0.004,"Pending",IF($N856&lt;=0.004,"Reimbursed","Partially Reimbursed")))))</f>
        <v/>
      </c>
      <c r="M856" s="12">
        <f>IF($A856="",0,SUMIF('Family Contributions'!$I$4:$I$1003,$A856,'Family Contributions'!$G$4:$G$1003))</f>
        <v/>
      </c>
      <c r="N856" s="12">
        <f>IF($A856="",0,IF($I856="Yes",IF(ISNUMBER($G856),$G856,0)-$M856,0))</f>
        <v/>
      </c>
      <c r="O856" s="9" t="n"/>
      <c r="P856" s="9" t="n"/>
    </row>
    <row r="857">
      <c r="A857" s="9" t="n"/>
      <c r="B857" s="19" t="n"/>
      <c r="C857" s="9" t="n"/>
      <c r="D857" s="9" t="n"/>
      <c r="E857" s="9" t="n"/>
      <c r="F857" s="9" t="n"/>
      <c r="G857" s="10" t="n"/>
      <c r="H857" s="9" t="n"/>
      <c r="I857" s="9" t="n"/>
      <c r="J857" s="9" t="n"/>
      <c r="K857" s="9" t="n"/>
      <c r="L857">
        <f>IF($A857="","",IF($P857="Yes","Disputed / Review",IF($I857&lt;&gt;"Yes","Not Reimbursable",IF($M857&lt;=0.004,"Pending",IF($N857&lt;=0.004,"Reimbursed","Partially Reimbursed")))))</f>
        <v/>
      </c>
      <c r="M857" s="12">
        <f>IF($A857="",0,SUMIF('Family Contributions'!$I$4:$I$1003,$A857,'Family Contributions'!$G$4:$G$1003))</f>
        <v/>
      </c>
      <c r="N857" s="12">
        <f>IF($A857="",0,IF($I857="Yes",IF(ISNUMBER($G857),$G857,0)-$M857,0))</f>
        <v/>
      </c>
      <c r="O857" s="9" t="n"/>
      <c r="P857" s="9" t="n"/>
    </row>
    <row r="858">
      <c r="A858" s="9" t="n"/>
      <c r="B858" s="19" t="n"/>
      <c r="C858" s="9" t="n"/>
      <c r="D858" s="9" t="n"/>
      <c r="E858" s="9" t="n"/>
      <c r="F858" s="9" t="n"/>
      <c r="G858" s="10" t="n"/>
      <c r="H858" s="9" t="n"/>
      <c r="I858" s="9" t="n"/>
      <c r="J858" s="9" t="n"/>
      <c r="K858" s="9" t="n"/>
      <c r="L858">
        <f>IF($A858="","",IF($P858="Yes","Disputed / Review",IF($I858&lt;&gt;"Yes","Not Reimbursable",IF($M858&lt;=0.004,"Pending",IF($N858&lt;=0.004,"Reimbursed","Partially Reimbursed")))))</f>
        <v/>
      </c>
      <c r="M858" s="12">
        <f>IF($A858="",0,SUMIF('Family Contributions'!$I$4:$I$1003,$A858,'Family Contributions'!$G$4:$G$1003))</f>
        <v/>
      </c>
      <c r="N858" s="12">
        <f>IF($A858="",0,IF($I858="Yes",IF(ISNUMBER($G858),$G858,0)-$M858,0))</f>
        <v/>
      </c>
      <c r="O858" s="9" t="n"/>
      <c r="P858" s="9" t="n"/>
    </row>
    <row r="859">
      <c r="A859" s="9" t="n"/>
      <c r="B859" s="19" t="n"/>
      <c r="C859" s="9" t="n"/>
      <c r="D859" s="9" t="n"/>
      <c r="E859" s="9" t="n"/>
      <c r="F859" s="9" t="n"/>
      <c r="G859" s="10" t="n"/>
      <c r="H859" s="9" t="n"/>
      <c r="I859" s="9" t="n"/>
      <c r="J859" s="9" t="n"/>
      <c r="K859" s="9" t="n"/>
      <c r="L859">
        <f>IF($A859="","",IF($P859="Yes","Disputed / Review",IF($I859&lt;&gt;"Yes","Not Reimbursable",IF($M859&lt;=0.004,"Pending",IF($N859&lt;=0.004,"Reimbursed","Partially Reimbursed")))))</f>
        <v/>
      </c>
      <c r="M859" s="12">
        <f>IF($A859="",0,SUMIF('Family Contributions'!$I$4:$I$1003,$A859,'Family Contributions'!$G$4:$G$1003))</f>
        <v/>
      </c>
      <c r="N859" s="12">
        <f>IF($A859="",0,IF($I859="Yes",IF(ISNUMBER($G859),$G859,0)-$M859,0))</f>
        <v/>
      </c>
      <c r="O859" s="9" t="n"/>
      <c r="P859" s="9" t="n"/>
    </row>
    <row r="860">
      <c r="A860" s="9" t="n"/>
      <c r="B860" s="19" t="n"/>
      <c r="C860" s="9" t="n"/>
      <c r="D860" s="9" t="n"/>
      <c r="E860" s="9" t="n"/>
      <c r="F860" s="9" t="n"/>
      <c r="G860" s="10" t="n"/>
      <c r="H860" s="9" t="n"/>
      <c r="I860" s="9" t="n"/>
      <c r="J860" s="9" t="n"/>
      <c r="K860" s="9" t="n"/>
      <c r="L860">
        <f>IF($A860="","",IF($P860="Yes","Disputed / Review",IF($I860&lt;&gt;"Yes","Not Reimbursable",IF($M860&lt;=0.004,"Pending",IF($N860&lt;=0.004,"Reimbursed","Partially Reimbursed")))))</f>
        <v/>
      </c>
      <c r="M860" s="12">
        <f>IF($A860="",0,SUMIF('Family Contributions'!$I$4:$I$1003,$A860,'Family Contributions'!$G$4:$G$1003))</f>
        <v/>
      </c>
      <c r="N860" s="12">
        <f>IF($A860="",0,IF($I860="Yes",IF(ISNUMBER($G860),$G860,0)-$M860,0))</f>
        <v/>
      </c>
      <c r="O860" s="9" t="n"/>
      <c r="P860" s="9" t="n"/>
    </row>
    <row r="861">
      <c r="A861" s="9" t="n"/>
      <c r="B861" s="19" t="n"/>
      <c r="C861" s="9" t="n"/>
      <c r="D861" s="9" t="n"/>
      <c r="E861" s="9" t="n"/>
      <c r="F861" s="9" t="n"/>
      <c r="G861" s="10" t="n"/>
      <c r="H861" s="9" t="n"/>
      <c r="I861" s="9" t="n"/>
      <c r="J861" s="9" t="n"/>
      <c r="K861" s="9" t="n"/>
      <c r="L861">
        <f>IF($A861="","",IF($P861="Yes","Disputed / Review",IF($I861&lt;&gt;"Yes","Not Reimbursable",IF($M861&lt;=0.004,"Pending",IF($N861&lt;=0.004,"Reimbursed","Partially Reimbursed")))))</f>
        <v/>
      </c>
      <c r="M861" s="12">
        <f>IF($A861="",0,SUMIF('Family Contributions'!$I$4:$I$1003,$A861,'Family Contributions'!$G$4:$G$1003))</f>
        <v/>
      </c>
      <c r="N861" s="12">
        <f>IF($A861="",0,IF($I861="Yes",IF(ISNUMBER($G861),$G861,0)-$M861,0))</f>
        <v/>
      </c>
      <c r="O861" s="9" t="n"/>
      <c r="P861" s="9" t="n"/>
    </row>
    <row r="862">
      <c r="A862" s="9" t="n"/>
      <c r="B862" s="19" t="n"/>
      <c r="C862" s="9" t="n"/>
      <c r="D862" s="9" t="n"/>
      <c r="E862" s="9" t="n"/>
      <c r="F862" s="9" t="n"/>
      <c r="G862" s="10" t="n"/>
      <c r="H862" s="9" t="n"/>
      <c r="I862" s="9" t="n"/>
      <c r="J862" s="9" t="n"/>
      <c r="K862" s="9" t="n"/>
      <c r="L862">
        <f>IF($A862="","",IF($P862="Yes","Disputed / Review",IF($I862&lt;&gt;"Yes","Not Reimbursable",IF($M862&lt;=0.004,"Pending",IF($N862&lt;=0.004,"Reimbursed","Partially Reimbursed")))))</f>
        <v/>
      </c>
      <c r="M862" s="12">
        <f>IF($A862="",0,SUMIF('Family Contributions'!$I$4:$I$1003,$A862,'Family Contributions'!$G$4:$G$1003))</f>
        <v/>
      </c>
      <c r="N862" s="12">
        <f>IF($A862="",0,IF($I862="Yes",IF(ISNUMBER($G862),$G862,0)-$M862,0))</f>
        <v/>
      </c>
      <c r="O862" s="9" t="n"/>
      <c r="P862" s="9" t="n"/>
    </row>
    <row r="863">
      <c r="A863" s="9" t="n"/>
      <c r="B863" s="19" t="n"/>
      <c r="C863" s="9" t="n"/>
      <c r="D863" s="9" t="n"/>
      <c r="E863" s="9" t="n"/>
      <c r="F863" s="9" t="n"/>
      <c r="G863" s="10" t="n"/>
      <c r="H863" s="9" t="n"/>
      <c r="I863" s="9" t="n"/>
      <c r="J863" s="9" t="n"/>
      <c r="K863" s="9" t="n"/>
      <c r="L863">
        <f>IF($A863="","",IF($P863="Yes","Disputed / Review",IF($I863&lt;&gt;"Yes","Not Reimbursable",IF($M863&lt;=0.004,"Pending",IF($N863&lt;=0.004,"Reimbursed","Partially Reimbursed")))))</f>
        <v/>
      </c>
      <c r="M863" s="12">
        <f>IF($A863="",0,SUMIF('Family Contributions'!$I$4:$I$1003,$A863,'Family Contributions'!$G$4:$G$1003))</f>
        <v/>
      </c>
      <c r="N863" s="12">
        <f>IF($A863="",0,IF($I863="Yes",IF(ISNUMBER($G863),$G863,0)-$M863,0))</f>
        <v/>
      </c>
      <c r="O863" s="9" t="n"/>
      <c r="P863" s="9" t="n"/>
    </row>
    <row r="864">
      <c r="A864" s="9" t="n"/>
      <c r="B864" s="19" t="n"/>
      <c r="C864" s="9" t="n"/>
      <c r="D864" s="9" t="n"/>
      <c r="E864" s="9" t="n"/>
      <c r="F864" s="9" t="n"/>
      <c r="G864" s="10" t="n"/>
      <c r="H864" s="9" t="n"/>
      <c r="I864" s="9" t="n"/>
      <c r="J864" s="9" t="n"/>
      <c r="K864" s="9" t="n"/>
      <c r="L864">
        <f>IF($A864="","",IF($P864="Yes","Disputed / Review",IF($I864&lt;&gt;"Yes","Not Reimbursable",IF($M864&lt;=0.004,"Pending",IF($N864&lt;=0.004,"Reimbursed","Partially Reimbursed")))))</f>
        <v/>
      </c>
      <c r="M864" s="12">
        <f>IF($A864="",0,SUMIF('Family Contributions'!$I$4:$I$1003,$A864,'Family Contributions'!$G$4:$G$1003))</f>
        <v/>
      </c>
      <c r="N864" s="12">
        <f>IF($A864="",0,IF($I864="Yes",IF(ISNUMBER($G864),$G864,0)-$M864,0))</f>
        <v/>
      </c>
      <c r="O864" s="9" t="n"/>
      <c r="P864" s="9" t="n"/>
    </row>
    <row r="865">
      <c r="A865" s="9" t="n"/>
      <c r="B865" s="19" t="n"/>
      <c r="C865" s="9" t="n"/>
      <c r="D865" s="9" t="n"/>
      <c r="E865" s="9" t="n"/>
      <c r="F865" s="9" t="n"/>
      <c r="G865" s="10" t="n"/>
      <c r="H865" s="9" t="n"/>
      <c r="I865" s="9" t="n"/>
      <c r="J865" s="9" t="n"/>
      <c r="K865" s="9" t="n"/>
      <c r="L865">
        <f>IF($A865="","",IF($P865="Yes","Disputed / Review",IF($I865&lt;&gt;"Yes","Not Reimbursable",IF($M865&lt;=0.004,"Pending",IF($N865&lt;=0.004,"Reimbursed","Partially Reimbursed")))))</f>
        <v/>
      </c>
      <c r="M865" s="12">
        <f>IF($A865="",0,SUMIF('Family Contributions'!$I$4:$I$1003,$A865,'Family Contributions'!$G$4:$G$1003))</f>
        <v/>
      </c>
      <c r="N865" s="12">
        <f>IF($A865="",0,IF($I865="Yes",IF(ISNUMBER($G865),$G865,0)-$M865,0))</f>
        <v/>
      </c>
      <c r="O865" s="9" t="n"/>
      <c r="P865" s="9" t="n"/>
    </row>
    <row r="866">
      <c r="A866" s="9" t="n"/>
      <c r="B866" s="19" t="n"/>
      <c r="C866" s="9" t="n"/>
      <c r="D866" s="9" t="n"/>
      <c r="E866" s="9" t="n"/>
      <c r="F866" s="9" t="n"/>
      <c r="G866" s="10" t="n"/>
      <c r="H866" s="9" t="n"/>
      <c r="I866" s="9" t="n"/>
      <c r="J866" s="9" t="n"/>
      <c r="K866" s="9" t="n"/>
      <c r="L866">
        <f>IF($A866="","",IF($P866="Yes","Disputed / Review",IF($I866&lt;&gt;"Yes","Not Reimbursable",IF($M866&lt;=0.004,"Pending",IF($N866&lt;=0.004,"Reimbursed","Partially Reimbursed")))))</f>
        <v/>
      </c>
      <c r="M866" s="12">
        <f>IF($A866="",0,SUMIF('Family Contributions'!$I$4:$I$1003,$A866,'Family Contributions'!$G$4:$G$1003))</f>
        <v/>
      </c>
      <c r="N866" s="12">
        <f>IF($A866="",0,IF($I866="Yes",IF(ISNUMBER($G866),$G866,0)-$M866,0))</f>
        <v/>
      </c>
      <c r="O866" s="9" t="n"/>
      <c r="P866" s="9" t="n"/>
    </row>
    <row r="867">
      <c r="A867" s="9" t="n"/>
      <c r="B867" s="19" t="n"/>
      <c r="C867" s="9" t="n"/>
      <c r="D867" s="9" t="n"/>
      <c r="E867" s="9" t="n"/>
      <c r="F867" s="9" t="n"/>
      <c r="G867" s="10" t="n"/>
      <c r="H867" s="9" t="n"/>
      <c r="I867" s="9" t="n"/>
      <c r="J867" s="9" t="n"/>
      <c r="K867" s="9" t="n"/>
      <c r="L867">
        <f>IF($A867="","",IF($P867="Yes","Disputed / Review",IF($I867&lt;&gt;"Yes","Not Reimbursable",IF($M867&lt;=0.004,"Pending",IF($N867&lt;=0.004,"Reimbursed","Partially Reimbursed")))))</f>
        <v/>
      </c>
      <c r="M867" s="12">
        <f>IF($A867="",0,SUMIF('Family Contributions'!$I$4:$I$1003,$A867,'Family Contributions'!$G$4:$G$1003))</f>
        <v/>
      </c>
      <c r="N867" s="12">
        <f>IF($A867="",0,IF($I867="Yes",IF(ISNUMBER($G867),$G867,0)-$M867,0))</f>
        <v/>
      </c>
      <c r="O867" s="9" t="n"/>
      <c r="P867" s="9" t="n"/>
    </row>
    <row r="868">
      <c r="A868" s="9" t="n"/>
      <c r="B868" s="19" t="n"/>
      <c r="C868" s="9" t="n"/>
      <c r="D868" s="9" t="n"/>
      <c r="E868" s="9" t="n"/>
      <c r="F868" s="9" t="n"/>
      <c r="G868" s="10" t="n"/>
      <c r="H868" s="9" t="n"/>
      <c r="I868" s="9" t="n"/>
      <c r="J868" s="9" t="n"/>
      <c r="K868" s="9" t="n"/>
      <c r="L868">
        <f>IF($A868="","",IF($P868="Yes","Disputed / Review",IF($I868&lt;&gt;"Yes","Not Reimbursable",IF($M868&lt;=0.004,"Pending",IF($N868&lt;=0.004,"Reimbursed","Partially Reimbursed")))))</f>
        <v/>
      </c>
      <c r="M868" s="12">
        <f>IF($A868="",0,SUMIF('Family Contributions'!$I$4:$I$1003,$A868,'Family Contributions'!$G$4:$G$1003))</f>
        <v/>
      </c>
      <c r="N868" s="12">
        <f>IF($A868="",0,IF($I868="Yes",IF(ISNUMBER($G868),$G868,0)-$M868,0))</f>
        <v/>
      </c>
      <c r="O868" s="9" t="n"/>
      <c r="P868" s="9" t="n"/>
    </row>
    <row r="869">
      <c r="A869" s="9" t="n"/>
      <c r="B869" s="19" t="n"/>
      <c r="C869" s="9" t="n"/>
      <c r="D869" s="9" t="n"/>
      <c r="E869" s="9" t="n"/>
      <c r="F869" s="9" t="n"/>
      <c r="G869" s="10" t="n"/>
      <c r="H869" s="9" t="n"/>
      <c r="I869" s="9" t="n"/>
      <c r="J869" s="9" t="n"/>
      <c r="K869" s="9" t="n"/>
      <c r="L869">
        <f>IF($A869="","",IF($P869="Yes","Disputed / Review",IF($I869&lt;&gt;"Yes","Not Reimbursable",IF($M869&lt;=0.004,"Pending",IF($N869&lt;=0.004,"Reimbursed","Partially Reimbursed")))))</f>
        <v/>
      </c>
      <c r="M869" s="12">
        <f>IF($A869="",0,SUMIF('Family Contributions'!$I$4:$I$1003,$A869,'Family Contributions'!$G$4:$G$1003))</f>
        <v/>
      </c>
      <c r="N869" s="12">
        <f>IF($A869="",0,IF($I869="Yes",IF(ISNUMBER($G869),$G869,0)-$M869,0))</f>
        <v/>
      </c>
      <c r="O869" s="9" t="n"/>
      <c r="P869" s="9" t="n"/>
    </row>
    <row r="870">
      <c r="A870" s="9" t="n"/>
      <c r="B870" s="19" t="n"/>
      <c r="C870" s="9" t="n"/>
      <c r="D870" s="9" t="n"/>
      <c r="E870" s="9" t="n"/>
      <c r="F870" s="9" t="n"/>
      <c r="G870" s="10" t="n"/>
      <c r="H870" s="9" t="n"/>
      <c r="I870" s="9" t="n"/>
      <c r="J870" s="9" t="n"/>
      <c r="K870" s="9" t="n"/>
      <c r="L870">
        <f>IF($A870="","",IF($P870="Yes","Disputed / Review",IF($I870&lt;&gt;"Yes","Not Reimbursable",IF($M870&lt;=0.004,"Pending",IF($N870&lt;=0.004,"Reimbursed","Partially Reimbursed")))))</f>
        <v/>
      </c>
      <c r="M870" s="12">
        <f>IF($A870="",0,SUMIF('Family Contributions'!$I$4:$I$1003,$A870,'Family Contributions'!$G$4:$G$1003))</f>
        <v/>
      </c>
      <c r="N870" s="12">
        <f>IF($A870="",0,IF($I870="Yes",IF(ISNUMBER($G870),$G870,0)-$M870,0))</f>
        <v/>
      </c>
      <c r="O870" s="9" t="n"/>
      <c r="P870" s="9" t="n"/>
    </row>
    <row r="871">
      <c r="A871" s="9" t="n"/>
      <c r="B871" s="19" t="n"/>
      <c r="C871" s="9" t="n"/>
      <c r="D871" s="9" t="n"/>
      <c r="E871" s="9" t="n"/>
      <c r="F871" s="9" t="n"/>
      <c r="G871" s="10" t="n"/>
      <c r="H871" s="9" t="n"/>
      <c r="I871" s="9" t="n"/>
      <c r="J871" s="9" t="n"/>
      <c r="K871" s="9" t="n"/>
      <c r="L871">
        <f>IF($A871="","",IF($P871="Yes","Disputed / Review",IF($I871&lt;&gt;"Yes","Not Reimbursable",IF($M871&lt;=0.004,"Pending",IF($N871&lt;=0.004,"Reimbursed","Partially Reimbursed")))))</f>
        <v/>
      </c>
      <c r="M871" s="12">
        <f>IF($A871="",0,SUMIF('Family Contributions'!$I$4:$I$1003,$A871,'Family Contributions'!$G$4:$G$1003))</f>
        <v/>
      </c>
      <c r="N871" s="12">
        <f>IF($A871="",0,IF($I871="Yes",IF(ISNUMBER($G871),$G871,0)-$M871,0))</f>
        <v/>
      </c>
      <c r="O871" s="9" t="n"/>
      <c r="P871" s="9" t="n"/>
    </row>
    <row r="872">
      <c r="A872" s="9" t="n"/>
      <c r="B872" s="19" t="n"/>
      <c r="C872" s="9" t="n"/>
      <c r="D872" s="9" t="n"/>
      <c r="E872" s="9" t="n"/>
      <c r="F872" s="9" t="n"/>
      <c r="G872" s="10" t="n"/>
      <c r="H872" s="9" t="n"/>
      <c r="I872" s="9" t="n"/>
      <c r="J872" s="9" t="n"/>
      <c r="K872" s="9" t="n"/>
      <c r="L872">
        <f>IF($A872="","",IF($P872="Yes","Disputed / Review",IF($I872&lt;&gt;"Yes","Not Reimbursable",IF($M872&lt;=0.004,"Pending",IF($N872&lt;=0.004,"Reimbursed","Partially Reimbursed")))))</f>
        <v/>
      </c>
      <c r="M872" s="12">
        <f>IF($A872="",0,SUMIF('Family Contributions'!$I$4:$I$1003,$A872,'Family Contributions'!$G$4:$G$1003))</f>
        <v/>
      </c>
      <c r="N872" s="12">
        <f>IF($A872="",0,IF($I872="Yes",IF(ISNUMBER($G872),$G872,0)-$M872,0))</f>
        <v/>
      </c>
      <c r="O872" s="9" t="n"/>
      <c r="P872" s="9" t="n"/>
    </row>
    <row r="873">
      <c r="A873" s="9" t="n"/>
      <c r="B873" s="19" t="n"/>
      <c r="C873" s="9" t="n"/>
      <c r="D873" s="9" t="n"/>
      <c r="E873" s="9" t="n"/>
      <c r="F873" s="9" t="n"/>
      <c r="G873" s="10" t="n"/>
      <c r="H873" s="9" t="n"/>
      <c r="I873" s="9" t="n"/>
      <c r="J873" s="9" t="n"/>
      <c r="K873" s="9" t="n"/>
      <c r="L873">
        <f>IF($A873="","",IF($P873="Yes","Disputed / Review",IF($I873&lt;&gt;"Yes","Not Reimbursable",IF($M873&lt;=0.004,"Pending",IF($N873&lt;=0.004,"Reimbursed","Partially Reimbursed")))))</f>
        <v/>
      </c>
      <c r="M873" s="12">
        <f>IF($A873="",0,SUMIF('Family Contributions'!$I$4:$I$1003,$A873,'Family Contributions'!$G$4:$G$1003))</f>
        <v/>
      </c>
      <c r="N873" s="12">
        <f>IF($A873="",0,IF($I873="Yes",IF(ISNUMBER($G873),$G873,0)-$M873,0))</f>
        <v/>
      </c>
      <c r="O873" s="9" t="n"/>
      <c r="P873" s="9" t="n"/>
    </row>
    <row r="874">
      <c r="A874" s="9" t="n"/>
      <c r="B874" s="19" t="n"/>
      <c r="C874" s="9" t="n"/>
      <c r="D874" s="9" t="n"/>
      <c r="E874" s="9" t="n"/>
      <c r="F874" s="9" t="n"/>
      <c r="G874" s="10" t="n"/>
      <c r="H874" s="9" t="n"/>
      <c r="I874" s="9" t="n"/>
      <c r="J874" s="9" t="n"/>
      <c r="K874" s="9" t="n"/>
      <c r="L874">
        <f>IF($A874="","",IF($P874="Yes","Disputed / Review",IF($I874&lt;&gt;"Yes","Not Reimbursable",IF($M874&lt;=0.004,"Pending",IF($N874&lt;=0.004,"Reimbursed","Partially Reimbursed")))))</f>
        <v/>
      </c>
      <c r="M874" s="12">
        <f>IF($A874="",0,SUMIF('Family Contributions'!$I$4:$I$1003,$A874,'Family Contributions'!$G$4:$G$1003))</f>
        <v/>
      </c>
      <c r="N874" s="12">
        <f>IF($A874="",0,IF($I874="Yes",IF(ISNUMBER($G874),$G874,0)-$M874,0))</f>
        <v/>
      </c>
      <c r="O874" s="9" t="n"/>
      <c r="P874" s="9" t="n"/>
    </row>
    <row r="875">
      <c r="A875" s="9" t="n"/>
      <c r="B875" s="19" t="n"/>
      <c r="C875" s="9" t="n"/>
      <c r="D875" s="9" t="n"/>
      <c r="E875" s="9" t="n"/>
      <c r="F875" s="9" t="n"/>
      <c r="G875" s="10" t="n"/>
      <c r="H875" s="9" t="n"/>
      <c r="I875" s="9" t="n"/>
      <c r="J875" s="9" t="n"/>
      <c r="K875" s="9" t="n"/>
      <c r="L875">
        <f>IF($A875="","",IF($P875="Yes","Disputed / Review",IF($I875&lt;&gt;"Yes","Not Reimbursable",IF($M875&lt;=0.004,"Pending",IF($N875&lt;=0.004,"Reimbursed","Partially Reimbursed")))))</f>
        <v/>
      </c>
      <c r="M875" s="12">
        <f>IF($A875="",0,SUMIF('Family Contributions'!$I$4:$I$1003,$A875,'Family Contributions'!$G$4:$G$1003))</f>
        <v/>
      </c>
      <c r="N875" s="12">
        <f>IF($A875="",0,IF($I875="Yes",IF(ISNUMBER($G875),$G875,0)-$M875,0))</f>
        <v/>
      </c>
      <c r="O875" s="9" t="n"/>
      <c r="P875" s="9" t="n"/>
    </row>
    <row r="876">
      <c r="A876" s="9" t="n"/>
      <c r="B876" s="19" t="n"/>
      <c r="C876" s="9" t="n"/>
      <c r="D876" s="9" t="n"/>
      <c r="E876" s="9" t="n"/>
      <c r="F876" s="9" t="n"/>
      <c r="G876" s="10" t="n"/>
      <c r="H876" s="9" t="n"/>
      <c r="I876" s="9" t="n"/>
      <c r="J876" s="9" t="n"/>
      <c r="K876" s="9" t="n"/>
      <c r="L876">
        <f>IF($A876="","",IF($P876="Yes","Disputed / Review",IF($I876&lt;&gt;"Yes","Not Reimbursable",IF($M876&lt;=0.004,"Pending",IF($N876&lt;=0.004,"Reimbursed","Partially Reimbursed")))))</f>
        <v/>
      </c>
      <c r="M876" s="12">
        <f>IF($A876="",0,SUMIF('Family Contributions'!$I$4:$I$1003,$A876,'Family Contributions'!$G$4:$G$1003))</f>
        <v/>
      </c>
      <c r="N876" s="12">
        <f>IF($A876="",0,IF($I876="Yes",IF(ISNUMBER($G876),$G876,0)-$M876,0))</f>
        <v/>
      </c>
      <c r="O876" s="9" t="n"/>
      <c r="P876" s="9" t="n"/>
    </row>
    <row r="877">
      <c r="A877" s="9" t="n"/>
      <c r="B877" s="19" t="n"/>
      <c r="C877" s="9" t="n"/>
      <c r="D877" s="9" t="n"/>
      <c r="E877" s="9" t="n"/>
      <c r="F877" s="9" t="n"/>
      <c r="G877" s="10" t="n"/>
      <c r="H877" s="9" t="n"/>
      <c r="I877" s="9" t="n"/>
      <c r="J877" s="9" t="n"/>
      <c r="K877" s="9" t="n"/>
      <c r="L877">
        <f>IF($A877="","",IF($P877="Yes","Disputed / Review",IF($I877&lt;&gt;"Yes","Not Reimbursable",IF($M877&lt;=0.004,"Pending",IF($N877&lt;=0.004,"Reimbursed","Partially Reimbursed")))))</f>
        <v/>
      </c>
      <c r="M877" s="12">
        <f>IF($A877="",0,SUMIF('Family Contributions'!$I$4:$I$1003,$A877,'Family Contributions'!$G$4:$G$1003))</f>
        <v/>
      </c>
      <c r="N877" s="12">
        <f>IF($A877="",0,IF($I877="Yes",IF(ISNUMBER($G877),$G877,0)-$M877,0))</f>
        <v/>
      </c>
      <c r="O877" s="9" t="n"/>
      <c r="P877" s="9" t="n"/>
    </row>
    <row r="878">
      <c r="A878" s="9" t="n"/>
      <c r="B878" s="19" t="n"/>
      <c r="C878" s="9" t="n"/>
      <c r="D878" s="9" t="n"/>
      <c r="E878" s="9" t="n"/>
      <c r="F878" s="9" t="n"/>
      <c r="G878" s="10" t="n"/>
      <c r="H878" s="9" t="n"/>
      <c r="I878" s="9" t="n"/>
      <c r="J878" s="9" t="n"/>
      <c r="K878" s="9" t="n"/>
      <c r="L878">
        <f>IF($A878="","",IF($P878="Yes","Disputed / Review",IF($I878&lt;&gt;"Yes","Not Reimbursable",IF($M878&lt;=0.004,"Pending",IF($N878&lt;=0.004,"Reimbursed","Partially Reimbursed")))))</f>
        <v/>
      </c>
      <c r="M878" s="12">
        <f>IF($A878="",0,SUMIF('Family Contributions'!$I$4:$I$1003,$A878,'Family Contributions'!$G$4:$G$1003))</f>
        <v/>
      </c>
      <c r="N878" s="12">
        <f>IF($A878="",0,IF($I878="Yes",IF(ISNUMBER($G878),$G878,0)-$M878,0))</f>
        <v/>
      </c>
      <c r="O878" s="9" t="n"/>
      <c r="P878" s="9" t="n"/>
    </row>
    <row r="879">
      <c r="A879" s="9" t="n"/>
      <c r="B879" s="19" t="n"/>
      <c r="C879" s="9" t="n"/>
      <c r="D879" s="9" t="n"/>
      <c r="E879" s="9" t="n"/>
      <c r="F879" s="9" t="n"/>
      <c r="G879" s="10" t="n"/>
      <c r="H879" s="9" t="n"/>
      <c r="I879" s="9" t="n"/>
      <c r="J879" s="9" t="n"/>
      <c r="K879" s="9" t="n"/>
      <c r="L879">
        <f>IF($A879="","",IF($P879="Yes","Disputed / Review",IF($I879&lt;&gt;"Yes","Not Reimbursable",IF($M879&lt;=0.004,"Pending",IF($N879&lt;=0.004,"Reimbursed","Partially Reimbursed")))))</f>
        <v/>
      </c>
      <c r="M879" s="12">
        <f>IF($A879="",0,SUMIF('Family Contributions'!$I$4:$I$1003,$A879,'Family Contributions'!$G$4:$G$1003))</f>
        <v/>
      </c>
      <c r="N879" s="12">
        <f>IF($A879="",0,IF($I879="Yes",IF(ISNUMBER($G879),$G879,0)-$M879,0))</f>
        <v/>
      </c>
      <c r="O879" s="9" t="n"/>
      <c r="P879" s="9" t="n"/>
    </row>
    <row r="880">
      <c r="A880" s="9" t="n"/>
      <c r="B880" s="19" t="n"/>
      <c r="C880" s="9" t="n"/>
      <c r="D880" s="9" t="n"/>
      <c r="E880" s="9" t="n"/>
      <c r="F880" s="9" t="n"/>
      <c r="G880" s="10" t="n"/>
      <c r="H880" s="9" t="n"/>
      <c r="I880" s="9" t="n"/>
      <c r="J880" s="9" t="n"/>
      <c r="K880" s="9" t="n"/>
      <c r="L880">
        <f>IF($A880="","",IF($P880="Yes","Disputed / Review",IF($I880&lt;&gt;"Yes","Not Reimbursable",IF($M880&lt;=0.004,"Pending",IF($N880&lt;=0.004,"Reimbursed","Partially Reimbursed")))))</f>
        <v/>
      </c>
      <c r="M880" s="12">
        <f>IF($A880="",0,SUMIF('Family Contributions'!$I$4:$I$1003,$A880,'Family Contributions'!$G$4:$G$1003))</f>
        <v/>
      </c>
      <c r="N880" s="12">
        <f>IF($A880="",0,IF($I880="Yes",IF(ISNUMBER($G880),$G880,0)-$M880,0))</f>
        <v/>
      </c>
      <c r="O880" s="9" t="n"/>
      <c r="P880" s="9" t="n"/>
    </row>
    <row r="881">
      <c r="A881" s="9" t="n"/>
      <c r="B881" s="19" t="n"/>
      <c r="C881" s="9" t="n"/>
      <c r="D881" s="9" t="n"/>
      <c r="E881" s="9" t="n"/>
      <c r="F881" s="9" t="n"/>
      <c r="G881" s="10" t="n"/>
      <c r="H881" s="9" t="n"/>
      <c r="I881" s="9" t="n"/>
      <c r="J881" s="9" t="n"/>
      <c r="K881" s="9" t="n"/>
      <c r="L881">
        <f>IF($A881="","",IF($P881="Yes","Disputed / Review",IF($I881&lt;&gt;"Yes","Not Reimbursable",IF($M881&lt;=0.004,"Pending",IF($N881&lt;=0.004,"Reimbursed","Partially Reimbursed")))))</f>
        <v/>
      </c>
      <c r="M881" s="12">
        <f>IF($A881="",0,SUMIF('Family Contributions'!$I$4:$I$1003,$A881,'Family Contributions'!$G$4:$G$1003))</f>
        <v/>
      </c>
      <c r="N881" s="12">
        <f>IF($A881="",0,IF($I881="Yes",IF(ISNUMBER($G881),$G881,0)-$M881,0))</f>
        <v/>
      </c>
      <c r="O881" s="9" t="n"/>
      <c r="P881" s="9" t="n"/>
    </row>
    <row r="882">
      <c r="A882" s="9" t="n"/>
      <c r="B882" s="19" t="n"/>
      <c r="C882" s="9" t="n"/>
      <c r="D882" s="9" t="n"/>
      <c r="E882" s="9" t="n"/>
      <c r="F882" s="9" t="n"/>
      <c r="G882" s="10" t="n"/>
      <c r="H882" s="9" t="n"/>
      <c r="I882" s="9" t="n"/>
      <c r="J882" s="9" t="n"/>
      <c r="K882" s="9" t="n"/>
      <c r="L882">
        <f>IF($A882="","",IF($P882="Yes","Disputed / Review",IF($I882&lt;&gt;"Yes","Not Reimbursable",IF($M882&lt;=0.004,"Pending",IF($N882&lt;=0.004,"Reimbursed","Partially Reimbursed")))))</f>
        <v/>
      </c>
      <c r="M882" s="12">
        <f>IF($A882="",0,SUMIF('Family Contributions'!$I$4:$I$1003,$A882,'Family Contributions'!$G$4:$G$1003))</f>
        <v/>
      </c>
      <c r="N882" s="12">
        <f>IF($A882="",0,IF($I882="Yes",IF(ISNUMBER($G882),$G882,0)-$M882,0))</f>
        <v/>
      </c>
      <c r="O882" s="9" t="n"/>
      <c r="P882" s="9" t="n"/>
    </row>
    <row r="883">
      <c r="A883" s="9" t="n"/>
      <c r="B883" s="19" t="n"/>
      <c r="C883" s="9" t="n"/>
      <c r="D883" s="9" t="n"/>
      <c r="E883" s="9" t="n"/>
      <c r="F883" s="9" t="n"/>
      <c r="G883" s="10" t="n"/>
      <c r="H883" s="9" t="n"/>
      <c r="I883" s="9" t="n"/>
      <c r="J883" s="9" t="n"/>
      <c r="K883" s="9" t="n"/>
      <c r="L883">
        <f>IF($A883="","",IF($P883="Yes","Disputed / Review",IF($I883&lt;&gt;"Yes","Not Reimbursable",IF($M883&lt;=0.004,"Pending",IF($N883&lt;=0.004,"Reimbursed","Partially Reimbursed")))))</f>
        <v/>
      </c>
      <c r="M883" s="12">
        <f>IF($A883="",0,SUMIF('Family Contributions'!$I$4:$I$1003,$A883,'Family Contributions'!$G$4:$G$1003))</f>
        <v/>
      </c>
      <c r="N883" s="12">
        <f>IF($A883="",0,IF($I883="Yes",IF(ISNUMBER($G883),$G883,0)-$M883,0))</f>
        <v/>
      </c>
      <c r="O883" s="9" t="n"/>
      <c r="P883" s="9" t="n"/>
    </row>
    <row r="884">
      <c r="A884" s="9" t="n"/>
      <c r="B884" s="19" t="n"/>
      <c r="C884" s="9" t="n"/>
      <c r="D884" s="9" t="n"/>
      <c r="E884" s="9" t="n"/>
      <c r="F884" s="9" t="n"/>
      <c r="G884" s="10" t="n"/>
      <c r="H884" s="9" t="n"/>
      <c r="I884" s="9" t="n"/>
      <c r="J884" s="9" t="n"/>
      <c r="K884" s="9" t="n"/>
      <c r="L884">
        <f>IF($A884="","",IF($P884="Yes","Disputed / Review",IF($I884&lt;&gt;"Yes","Not Reimbursable",IF($M884&lt;=0.004,"Pending",IF($N884&lt;=0.004,"Reimbursed","Partially Reimbursed")))))</f>
        <v/>
      </c>
      <c r="M884" s="12">
        <f>IF($A884="",0,SUMIF('Family Contributions'!$I$4:$I$1003,$A884,'Family Contributions'!$G$4:$G$1003))</f>
        <v/>
      </c>
      <c r="N884" s="12">
        <f>IF($A884="",0,IF($I884="Yes",IF(ISNUMBER($G884),$G884,0)-$M884,0))</f>
        <v/>
      </c>
      <c r="O884" s="9" t="n"/>
      <c r="P884" s="9" t="n"/>
    </row>
    <row r="885">
      <c r="A885" s="9" t="n"/>
      <c r="B885" s="19" t="n"/>
      <c r="C885" s="9" t="n"/>
      <c r="D885" s="9" t="n"/>
      <c r="E885" s="9" t="n"/>
      <c r="F885" s="9" t="n"/>
      <c r="G885" s="10" t="n"/>
      <c r="H885" s="9" t="n"/>
      <c r="I885" s="9" t="n"/>
      <c r="J885" s="9" t="n"/>
      <c r="K885" s="9" t="n"/>
      <c r="L885">
        <f>IF($A885="","",IF($P885="Yes","Disputed / Review",IF($I885&lt;&gt;"Yes","Not Reimbursable",IF($M885&lt;=0.004,"Pending",IF($N885&lt;=0.004,"Reimbursed","Partially Reimbursed")))))</f>
        <v/>
      </c>
      <c r="M885" s="12">
        <f>IF($A885="",0,SUMIF('Family Contributions'!$I$4:$I$1003,$A885,'Family Contributions'!$G$4:$G$1003))</f>
        <v/>
      </c>
      <c r="N885" s="12">
        <f>IF($A885="",0,IF($I885="Yes",IF(ISNUMBER($G885),$G885,0)-$M885,0))</f>
        <v/>
      </c>
      <c r="O885" s="9" t="n"/>
      <c r="P885" s="9" t="n"/>
    </row>
    <row r="886">
      <c r="A886" s="9" t="n"/>
      <c r="B886" s="19" t="n"/>
      <c r="C886" s="9" t="n"/>
      <c r="D886" s="9" t="n"/>
      <c r="E886" s="9" t="n"/>
      <c r="F886" s="9" t="n"/>
      <c r="G886" s="10" t="n"/>
      <c r="H886" s="9" t="n"/>
      <c r="I886" s="9" t="n"/>
      <c r="J886" s="9" t="n"/>
      <c r="K886" s="9" t="n"/>
      <c r="L886">
        <f>IF($A886="","",IF($P886="Yes","Disputed / Review",IF($I886&lt;&gt;"Yes","Not Reimbursable",IF($M886&lt;=0.004,"Pending",IF($N886&lt;=0.004,"Reimbursed","Partially Reimbursed")))))</f>
        <v/>
      </c>
      <c r="M886" s="12">
        <f>IF($A886="",0,SUMIF('Family Contributions'!$I$4:$I$1003,$A886,'Family Contributions'!$G$4:$G$1003))</f>
        <v/>
      </c>
      <c r="N886" s="12">
        <f>IF($A886="",0,IF($I886="Yes",IF(ISNUMBER($G886),$G886,0)-$M886,0))</f>
        <v/>
      </c>
      <c r="O886" s="9" t="n"/>
      <c r="P886" s="9" t="n"/>
    </row>
    <row r="887">
      <c r="A887" s="9" t="n"/>
      <c r="B887" s="19" t="n"/>
      <c r="C887" s="9" t="n"/>
      <c r="D887" s="9" t="n"/>
      <c r="E887" s="9" t="n"/>
      <c r="F887" s="9" t="n"/>
      <c r="G887" s="10" t="n"/>
      <c r="H887" s="9" t="n"/>
      <c r="I887" s="9" t="n"/>
      <c r="J887" s="9" t="n"/>
      <c r="K887" s="9" t="n"/>
      <c r="L887">
        <f>IF($A887="","",IF($P887="Yes","Disputed / Review",IF($I887&lt;&gt;"Yes","Not Reimbursable",IF($M887&lt;=0.004,"Pending",IF($N887&lt;=0.004,"Reimbursed","Partially Reimbursed")))))</f>
        <v/>
      </c>
      <c r="M887" s="12">
        <f>IF($A887="",0,SUMIF('Family Contributions'!$I$4:$I$1003,$A887,'Family Contributions'!$G$4:$G$1003))</f>
        <v/>
      </c>
      <c r="N887" s="12">
        <f>IF($A887="",0,IF($I887="Yes",IF(ISNUMBER($G887),$G887,0)-$M887,0))</f>
        <v/>
      </c>
      <c r="O887" s="9" t="n"/>
      <c r="P887" s="9" t="n"/>
    </row>
    <row r="888">
      <c r="A888" s="9" t="n"/>
      <c r="B888" s="19" t="n"/>
      <c r="C888" s="9" t="n"/>
      <c r="D888" s="9" t="n"/>
      <c r="E888" s="9" t="n"/>
      <c r="F888" s="9" t="n"/>
      <c r="G888" s="10" t="n"/>
      <c r="H888" s="9" t="n"/>
      <c r="I888" s="9" t="n"/>
      <c r="J888" s="9" t="n"/>
      <c r="K888" s="9" t="n"/>
      <c r="L888">
        <f>IF($A888="","",IF($P888="Yes","Disputed / Review",IF($I888&lt;&gt;"Yes","Not Reimbursable",IF($M888&lt;=0.004,"Pending",IF($N888&lt;=0.004,"Reimbursed","Partially Reimbursed")))))</f>
        <v/>
      </c>
      <c r="M888" s="12">
        <f>IF($A888="",0,SUMIF('Family Contributions'!$I$4:$I$1003,$A888,'Family Contributions'!$G$4:$G$1003))</f>
        <v/>
      </c>
      <c r="N888" s="12">
        <f>IF($A888="",0,IF($I888="Yes",IF(ISNUMBER($G888),$G888,0)-$M888,0))</f>
        <v/>
      </c>
      <c r="O888" s="9" t="n"/>
      <c r="P888" s="9" t="n"/>
    </row>
    <row r="889">
      <c r="A889" s="9" t="n"/>
      <c r="B889" s="19" t="n"/>
      <c r="C889" s="9" t="n"/>
      <c r="D889" s="9" t="n"/>
      <c r="E889" s="9" t="n"/>
      <c r="F889" s="9" t="n"/>
      <c r="G889" s="10" t="n"/>
      <c r="H889" s="9" t="n"/>
      <c r="I889" s="9" t="n"/>
      <c r="J889" s="9" t="n"/>
      <c r="K889" s="9" t="n"/>
      <c r="L889">
        <f>IF($A889="","",IF($P889="Yes","Disputed / Review",IF($I889&lt;&gt;"Yes","Not Reimbursable",IF($M889&lt;=0.004,"Pending",IF($N889&lt;=0.004,"Reimbursed","Partially Reimbursed")))))</f>
        <v/>
      </c>
      <c r="M889" s="12">
        <f>IF($A889="",0,SUMIF('Family Contributions'!$I$4:$I$1003,$A889,'Family Contributions'!$G$4:$G$1003))</f>
        <v/>
      </c>
      <c r="N889" s="12">
        <f>IF($A889="",0,IF($I889="Yes",IF(ISNUMBER($G889),$G889,0)-$M889,0))</f>
        <v/>
      </c>
      <c r="O889" s="9" t="n"/>
      <c r="P889" s="9" t="n"/>
    </row>
    <row r="890">
      <c r="A890" s="9" t="n"/>
      <c r="B890" s="19" t="n"/>
      <c r="C890" s="9" t="n"/>
      <c r="D890" s="9" t="n"/>
      <c r="E890" s="9" t="n"/>
      <c r="F890" s="9" t="n"/>
      <c r="G890" s="10" t="n"/>
      <c r="H890" s="9" t="n"/>
      <c r="I890" s="9" t="n"/>
      <c r="J890" s="9" t="n"/>
      <c r="K890" s="9" t="n"/>
      <c r="L890">
        <f>IF($A890="","",IF($P890="Yes","Disputed / Review",IF($I890&lt;&gt;"Yes","Not Reimbursable",IF($M890&lt;=0.004,"Pending",IF($N890&lt;=0.004,"Reimbursed","Partially Reimbursed")))))</f>
        <v/>
      </c>
      <c r="M890" s="12">
        <f>IF($A890="",0,SUMIF('Family Contributions'!$I$4:$I$1003,$A890,'Family Contributions'!$G$4:$G$1003))</f>
        <v/>
      </c>
      <c r="N890" s="12">
        <f>IF($A890="",0,IF($I890="Yes",IF(ISNUMBER($G890),$G890,0)-$M890,0))</f>
        <v/>
      </c>
      <c r="O890" s="9" t="n"/>
      <c r="P890" s="9" t="n"/>
    </row>
    <row r="891">
      <c r="A891" s="9" t="n"/>
      <c r="B891" s="19" t="n"/>
      <c r="C891" s="9" t="n"/>
      <c r="D891" s="9" t="n"/>
      <c r="E891" s="9" t="n"/>
      <c r="F891" s="9" t="n"/>
      <c r="G891" s="10" t="n"/>
      <c r="H891" s="9" t="n"/>
      <c r="I891" s="9" t="n"/>
      <c r="J891" s="9" t="n"/>
      <c r="K891" s="9" t="n"/>
      <c r="L891">
        <f>IF($A891="","",IF($P891="Yes","Disputed / Review",IF($I891&lt;&gt;"Yes","Not Reimbursable",IF($M891&lt;=0.004,"Pending",IF($N891&lt;=0.004,"Reimbursed","Partially Reimbursed")))))</f>
        <v/>
      </c>
      <c r="M891" s="12">
        <f>IF($A891="",0,SUMIF('Family Contributions'!$I$4:$I$1003,$A891,'Family Contributions'!$G$4:$G$1003))</f>
        <v/>
      </c>
      <c r="N891" s="12">
        <f>IF($A891="",0,IF($I891="Yes",IF(ISNUMBER($G891),$G891,0)-$M891,0))</f>
        <v/>
      </c>
      <c r="O891" s="9" t="n"/>
      <c r="P891" s="9" t="n"/>
    </row>
    <row r="892">
      <c r="A892" s="9" t="n"/>
      <c r="B892" s="19" t="n"/>
      <c r="C892" s="9" t="n"/>
      <c r="D892" s="9" t="n"/>
      <c r="E892" s="9" t="n"/>
      <c r="F892" s="9" t="n"/>
      <c r="G892" s="10" t="n"/>
      <c r="H892" s="9" t="n"/>
      <c r="I892" s="9" t="n"/>
      <c r="J892" s="9" t="n"/>
      <c r="K892" s="9" t="n"/>
      <c r="L892">
        <f>IF($A892="","",IF($P892="Yes","Disputed / Review",IF($I892&lt;&gt;"Yes","Not Reimbursable",IF($M892&lt;=0.004,"Pending",IF($N892&lt;=0.004,"Reimbursed","Partially Reimbursed")))))</f>
        <v/>
      </c>
      <c r="M892" s="12">
        <f>IF($A892="",0,SUMIF('Family Contributions'!$I$4:$I$1003,$A892,'Family Contributions'!$G$4:$G$1003))</f>
        <v/>
      </c>
      <c r="N892" s="12">
        <f>IF($A892="",0,IF($I892="Yes",IF(ISNUMBER($G892),$G892,0)-$M892,0))</f>
        <v/>
      </c>
      <c r="O892" s="9" t="n"/>
      <c r="P892" s="9" t="n"/>
    </row>
    <row r="893">
      <c r="A893" s="9" t="n"/>
      <c r="B893" s="19" t="n"/>
      <c r="C893" s="9" t="n"/>
      <c r="D893" s="9" t="n"/>
      <c r="E893" s="9" t="n"/>
      <c r="F893" s="9" t="n"/>
      <c r="G893" s="10" t="n"/>
      <c r="H893" s="9" t="n"/>
      <c r="I893" s="9" t="n"/>
      <c r="J893" s="9" t="n"/>
      <c r="K893" s="9" t="n"/>
      <c r="L893">
        <f>IF($A893="","",IF($P893="Yes","Disputed / Review",IF($I893&lt;&gt;"Yes","Not Reimbursable",IF($M893&lt;=0.004,"Pending",IF($N893&lt;=0.004,"Reimbursed","Partially Reimbursed")))))</f>
        <v/>
      </c>
      <c r="M893" s="12">
        <f>IF($A893="",0,SUMIF('Family Contributions'!$I$4:$I$1003,$A893,'Family Contributions'!$G$4:$G$1003))</f>
        <v/>
      </c>
      <c r="N893" s="12">
        <f>IF($A893="",0,IF($I893="Yes",IF(ISNUMBER($G893),$G893,0)-$M893,0))</f>
        <v/>
      </c>
      <c r="O893" s="9" t="n"/>
      <c r="P893" s="9" t="n"/>
    </row>
    <row r="894">
      <c r="A894" s="9" t="n"/>
      <c r="B894" s="19" t="n"/>
      <c r="C894" s="9" t="n"/>
      <c r="D894" s="9" t="n"/>
      <c r="E894" s="9" t="n"/>
      <c r="F894" s="9" t="n"/>
      <c r="G894" s="10" t="n"/>
      <c r="H894" s="9" t="n"/>
      <c r="I894" s="9" t="n"/>
      <c r="J894" s="9" t="n"/>
      <c r="K894" s="9" t="n"/>
      <c r="L894">
        <f>IF($A894="","",IF($P894="Yes","Disputed / Review",IF($I894&lt;&gt;"Yes","Not Reimbursable",IF($M894&lt;=0.004,"Pending",IF($N894&lt;=0.004,"Reimbursed","Partially Reimbursed")))))</f>
        <v/>
      </c>
      <c r="M894" s="12">
        <f>IF($A894="",0,SUMIF('Family Contributions'!$I$4:$I$1003,$A894,'Family Contributions'!$G$4:$G$1003))</f>
        <v/>
      </c>
      <c r="N894" s="12">
        <f>IF($A894="",0,IF($I894="Yes",IF(ISNUMBER($G894),$G894,0)-$M894,0))</f>
        <v/>
      </c>
      <c r="O894" s="9" t="n"/>
      <c r="P894" s="9" t="n"/>
    </row>
    <row r="895">
      <c r="A895" s="9" t="n"/>
      <c r="B895" s="19" t="n"/>
      <c r="C895" s="9" t="n"/>
      <c r="D895" s="9" t="n"/>
      <c r="E895" s="9" t="n"/>
      <c r="F895" s="9" t="n"/>
      <c r="G895" s="10" t="n"/>
      <c r="H895" s="9" t="n"/>
      <c r="I895" s="9" t="n"/>
      <c r="J895" s="9" t="n"/>
      <c r="K895" s="9" t="n"/>
      <c r="L895">
        <f>IF($A895="","",IF($P895="Yes","Disputed / Review",IF($I895&lt;&gt;"Yes","Not Reimbursable",IF($M895&lt;=0.004,"Pending",IF($N895&lt;=0.004,"Reimbursed","Partially Reimbursed")))))</f>
        <v/>
      </c>
      <c r="M895" s="12">
        <f>IF($A895="",0,SUMIF('Family Contributions'!$I$4:$I$1003,$A895,'Family Contributions'!$G$4:$G$1003))</f>
        <v/>
      </c>
      <c r="N895" s="12">
        <f>IF($A895="",0,IF($I895="Yes",IF(ISNUMBER($G895),$G895,0)-$M895,0))</f>
        <v/>
      </c>
      <c r="O895" s="9" t="n"/>
      <c r="P895" s="9" t="n"/>
    </row>
    <row r="896">
      <c r="A896" s="9" t="n"/>
      <c r="B896" s="19" t="n"/>
      <c r="C896" s="9" t="n"/>
      <c r="D896" s="9" t="n"/>
      <c r="E896" s="9" t="n"/>
      <c r="F896" s="9" t="n"/>
      <c r="G896" s="10" t="n"/>
      <c r="H896" s="9" t="n"/>
      <c r="I896" s="9" t="n"/>
      <c r="J896" s="9" t="n"/>
      <c r="K896" s="9" t="n"/>
      <c r="L896">
        <f>IF($A896="","",IF($P896="Yes","Disputed / Review",IF($I896&lt;&gt;"Yes","Not Reimbursable",IF($M896&lt;=0.004,"Pending",IF($N896&lt;=0.004,"Reimbursed","Partially Reimbursed")))))</f>
        <v/>
      </c>
      <c r="M896" s="12">
        <f>IF($A896="",0,SUMIF('Family Contributions'!$I$4:$I$1003,$A896,'Family Contributions'!$G$4:$G$1003))</f>
        <v/>
      </c>
      <c r="N896" s="12">
        <f>IF($A896="",0,IF($I896="Yes",IF(ISNUMBER($G896),$G896,0)-$M896,0))</f>
        <v/>
      </c>
      <c r="O896" s="9" t="n"/>
      <c r="P896" s="9" t="n"/>
    </row>
    <row r="897">
      <c r="A897" s="9" t="n"/>
      <c r="B897" s="19" t="n"/>
      <c r="C897" s="9" t="n"/>
      <c r="D897" s="9" t="n"/>
      <c r="E897" s="9" t="n"/>
      <c r="F897" s="9" t="n"/>
      <c r="G897" s="10" t="n"/>
      <c r="H897" s="9" t="n"/>
      <c r="I897" s="9" t="n"/>
      <c r="J897" s="9" t="n"/>
      <c r="K897" s="9" t="n"/>
      <c r="L897">
        <f>IF($A897="","",IF($P897="Yes","Disputed / Review",IF($I897&lt;&gt;"Yes","Not Reimbursable",IF($M897&lt;=0.004,"Pending",IF($N897&lt;=0.004,"Reimbursed","Partially Reimbursed")))))</f>
        <v/>
      </c>
      <c r="M897" s="12">
        <f>IF($A897="",0,SUMIF('Family Contributions'!$I$4:$I$1003,$A897,'Family Contributions'!$G$4:$G$1003))</f>
        <v/>
      </c>
      <c r="N897" s="12">
        <f>IF($A897="",0,IF($I897="Yes",IF(ISNUMBER($G897),$G897,0)-$M897,0))</f>
        <v/>
      </c>
      <c r="O897" s="9" t="n"/>
      <c r="P897" s="9" t="n"/>
    </row>
    <row r="898">
      <c r="A898" s="9" t="n"/>
      <c r="B898" s="19" t="n"/>
      <c r="C898" s="9" t="n"/>
      <c r="D898" s="9" t="n"/>
      <c r="E898" s="9" t="n"/>
      <c r="F898" s="9" t="n"/>
      <c r="G898" s="10" t="n"/>
      <c r="H898" s="9" t="n"/>
      <c r="I898" s="9" t="n"/>
      <c r="J898" s="9" t="n"/>
      <c r="K898" s="9" t="n"/>
      <c r="L898">
        <f>IF($A898="","",IF($P898="Yes","Disputed / Review",IF($I898&lt;&gt;"Yes","Not Reimbursable",IF($M898&lt;=0.004,"Pending",IF($N898&lt;=0.004,"Reimbursed","Partially Reimbursed")))))</f>
        <v/>
      </c>
      <c r="M898" s="12">
        <f>IF($A898="",0,SUMIF('Family Contributions'!$I$4:$I$1003,$A898,'Family Contributions'!$G$4:$G$1003))</f>
        <v/>
      </c>
      <c r="N898" s="12">
        <f>IF($A898="",0,IF($I898="Yes",IF(ISNUMBER($G898),$G898,0)-$M898,0))</f>
        <v/>
      </c>
      <c r="O898" s="9" t="n"/>
      <c r="P898" s="9" t="n"/>
    </row>
    <row r="899">
      <c r="A899" s="9" t="n"/>
      <c r="B899" s="19" t="n"/>
      <c r="C899" s="9" t="n"/>
      <c r="D899" s="9" t="n"/>
      <c r="E899" s="9" t="n"/>
      <c r="F899" s="9" t="n"/>
      <c r="G899" s="10" t="n"/>
      <c r="H899" s="9" t="n"/>
      <c r="I899" s="9" t="n"/>
      <c r="J899" s="9" t="n"/>
      <c r="K899" s="9" t="n"/>
      <c r="L899">
        <f>IF($A899="","",IF($P899="Yes","Disputed / Review",IF($I899&lt;&gt;"Yes","Not Reimbursable",IF($M899&lt;=0.004,"Pending",IF($N899&lt;=0.004,"Reimbursed","Partially Reimbursed")))))</f>
        <v/>
      </c>
      <c r="M899" s="12">
        <f>IF($A899="",0,SUMIF('Family Contributions'!$I$4:$I$1003,$A899,'Family Contributions'!$G$4:$G$1003))</f>
        <v/>
      </c>
      <c r="N899" s="12">
        <f>IF($A899="",0,IF($I899="Yes",IF(ISNUMBER($G899),$G899,0)-$M899,0))</f>
        <v/>
      </c>
      <c r="O899" s="9" t="n"/>
      <c r="P899" s="9" t="n"/>
    </row>
    <row r="900">
      <c r="A900" s="9" t="n"/>
      <c r="B900" s="19" t="n"/>
      <c r="C900" s="9" t="n"/>
      <c r="D900" s="9" t="n"/>
      <c r="E900" s="9" t="n"/>
      <c r="F900" s="9" t="n"/>
      <c r="G900" s="10" t="n"/>
      <c r="H900" s="9" t="n"/>
      <c r="I900" s="9" t="n"/>
      <c r="J900" s="9" t="n"/>
      <c r="K900" s="9" t="n"/>
      <c r="L900">
        <f>IF($A900="","",IF($P900="Yes","Disputed / Review",IF($I900&lt;&gt;"Yes","Not Reimbursable",IF($M900&lt;=0.004,"Pending",IF($N900&lt;=0.004,"Reimbursed","Partially Reimbursed")))))</f>
        <v/>
      </c>
      <c r="M900" s="12">
        <f>IF($A900="",0,SUMIF('Family Contributions'!$I$4:$I$1003,$A900,'Family Contributions'!$G$4:$G$1003))</f>
        <v/>
      </c>
      <c r="N900" s="12">
        <f>IF($A900="",0,IF($I900="Yes",IF(ISNUMBER($G900),$G900,0)-$M900,0))</f>
        <v/>
      </c>
      <c r="O900" s="9" t="n"/>
      <c r="P900" s="9" t="n"/>
    </row>
    <row r="901">
      <c r="A901" s="9" t="n"/>
      <c r="B901" s="19" t="n"/>
      <c r="C901" s="9" t="n"/>
      <c r="D901" s="9" t="n"/>
      <c r="E901" s="9" t="n"/>
      <c r="F901" s="9" t="n"/>
      <c r="G901" s="10" t="n"/>
      <c r="H901" s="9" t="n"/>
      <c r="I901" s="9" t="n"/>
      <c r="J901" s="9" t="n"/>
      <c r="K901" s="9" t="n"/>
      <c r="L901">
        <f>IF($A901="","",IF($P901="Yes","Disputed / Review",IF($I901&lt;&gt;"Yes","Not Reimbursable",IF($M901&lt;=0.004,"Pending",IF($N901&lt;=0.004,"Reimbursed","Partially Reimbursed")))))</f>
        <v/>
      </c>
      <c r="M901" s="12">
        <f>IF($A901="",0,SUMIF('Family Contributions'!$I$4:$I$1003,$A901,'Family Contributions'!$G$4:$G$1003))</f>
        <v/>
      </c>
      <c r="N901" s="12">
        <f>IF($A901="",0,IF($I901="Yes",IF(ISNUMBER($G901),$G901,0)-$M901,0))</f>
        <v/>
      </c>
      <c r="O901" s="9" t="n"/>
      <c r="P901" s="9" t="n"/>
    </row>
    <row r="902">
      <c r="A902" s="9" t="n"/>
      <c r="B902" s="19" t="n"/>
      <c r="C902" s="9" t="n"/>
      <c r="D902" s="9" t="n"/>
      <c r="E902" s="9" t="n"/>
      <c r="F902" s="9" t="n"/>
      <c r="G902" s="10" t="n"/>
      <c r="H902" s="9" t="n"/>
      <c r="I902" s="9" t="n"/>
      <c r="J902" s="9" t="n"/>
      <c r="K902" s="9" t="n"/>
      <c r="L902">
        <f>IF($A902="","",IF($P902="Yes","Disputed / Review",IF($I902&lt;&gt;"Yes","Not Reimbursable",IF($M902&lt;=0.004,"Pending",IF($N902&lt;=0.004,"Reimbursed","Partially Reimbursed")))))</f>
        <v/>
      </c>
      <c r="M902" s="12">
        <f>IF($A902="",0,SUMIF('Family Contributions'!$I$4:$I$1003,$A902,'Family Contributions'!$G$4:$G$1003))</f>
        <v/>
      </c>
      <c r="N902" s="12">
        <f>IF($A902="",0,IF($I902="Yes",IF(ISNUMBER($G902),$G902,0)-$M902,0))</f>
        <v/>
      </c>
      <c r="O902" s="9" t="n"/>
      <c r="P902" s="9" t="n"/>
    </row>
    <row r="903">
      <c r="A903" s="9" t="n"/>
      <c r="B903" s="19" t="n"/>
      <c r="C903" s="9" t="n"/>
      <c r="D903" s="9" t="n"/>
      <c r="E903" s="9" t="n"/>
      <c r="F903" s="9" t="n"/>
      <c r="G903" s="10" t="n"/>
      <c r="H903" s="9" t="n"/>
      <c r="I903" s="9" t="n"/>
      <c r="J903" s="9" t="n"/>
      <c r="K903" s="9" t="n"/>
      <c r="L903">
        <f>IF($A903="","",IF($P903="Yes","Disputed / Review",IF($I903&lt;&gt;"Yes","Not Reimbursable",IF($M903&lt;=0.004,"Pending",IF($N903&lt;=0.004,"Reimbursed","Partially Reimbursed")))))</f>
        <v/>
      </c>
      <c r="M903" s="12">
        <f>IF($A903="",0,SUMIF('Family Contributions'!$I$4:$I$1003,$A903,'Family Contributions'!$G$4:$G$1003))</f>
        <v/>
      </c>
      <c r="N903" s="12">
        <f>IF($A903="",0,IF($I903="Yes",IF(ISNUMBER($G903),$G903,0)-$M903,0))</f>
        <v/>
      </c>
      <c r="O903" s="9" t="n"/>
      <c r="P903" s="9" t="n"/>
    </row>
    <row r="904">
      <c r="A904" s="9" t="n"/>
      <c r="B904" s="19" t="n"/>
      <c r="C904" s="9" t="n"/>
      <c r="D904" s="9" t="n"/>
      <c r="E904" s="9" t="n"/>
      <c r="F904" s="9" t="n"/>
      <c r="G904" s="10" t="n"/>
      <c r="H904" s="9" t="n"/>
      <c r="I904" s="9" t="n"/>
      <c r="J904" s="9" t="n"/>
      <c r="K904" s="9" t="n"/>
      <c r="L904">
        <f>IF($A904="","",IF($P904="Yes","Disputed / Review",IF($I904&lt;&gt;"Yes","Not Reimbursable",IF($M904&lt;=0.004,"Pending",IF($N904&lt;=0.004,"Reimbursed","Partially Reimbursed")))))</f>
        <v/>
      </c>
      <c r="M904" s="12">
        <f>IF($A904="",0,SUMIF('Family Contributions'!$I$4:$I$1003,$A904,'Family Contributions'!$G$4:$G$1003))</f>
        <v/>
      </c>
      <c r="N904" s="12">
        <f>IF($A904="",0,IF($I904="Yes",IF(ISNUMBER($G904),$G904,0)-$M904,0))</f>
        <v/>
      </c>
      <c r="O904" s="9" t="n"/>
      <c r="P904" s="9" t="n"/>
    </row>
    <row r="905">
      <c r="A905" s="9" t="n"/>
      <c r="B905" s="19" t="n"/>
      <c r="C905" s="9" t="n"/>
      <c r="D905" s="9" t="n"/>
      <c r="E905" s="9" t="n"/>
      <c r="F905" s="9" t="n"/>
      <c r="G905" s="10" t="n"/>
      <c r="H905" s="9" t="n"/>
      <c r="I905" s="9" t="n"/>
      <c r="J905" s="9" t="n"/>
      <c r="K905" s="9" t="n"/>
      <c r="L905">
        <f>IF($A905="","",IF($P905="Yes","Disputed / Review",IF($I905&lt;&gt;"Yes","Not Reimbursable",IF($M905&lt;=0.004,"Pending",IF($N905&lt;=0.004,"Reimbursed","Partially Reimbursed")))))</f>
        <v/>
      </c>
      <c r="M905" s="12">
        <f>IF($A905="",0,SUMIF('Family Contributions'!$I$4:$I$1003,$A905,'Family Contributions'!$G$4:$G$1003))</f>
        <v/>
      </c>
      <c r="N905" s="12">
        <f>IF($A905="",0,IF($I905="Yes",IF(ISNUMBER($G905),$G905,0)-$M905,0))</f>
        <v/>
      </c>
      <c r="O905" s="9" t="n"/>
      <c r="P905" s="9" t="n"/>
    </row>
    <row r="906">
      <c r="A906" s="9" t="n"/>
      <c r="B906" s="19" t="n"/>
      <c r="C906" s="9" t="n"/>
      <c r="D906" s="9" t="n"/>
      <c r="E906" s="9" t="n"/>
      <c r="F906" s="9" t="n"/>
      <c r="G906" s="10" t="n"/>
      <c r="H906" s="9" t="n"/>
      <c r="I906" s="9" t="n"/>
      <c r="J906" s="9" t="n"/>
      <c r="K906" s="9" t="n"/>
      <c r="L906">
        <f>IF($A906="","",IF($P906="Yes","Disputed / Review",IF($I906&lt;&gt;"Yes","Not Reimbursable",IF($M906&lt;=0.004,"Pending",IF($N906&lt;=0.004,"Reimbursed","Partially Reimbursed")))))</f>
        <v/>
      </c>
      <c r="M906" s="12">
        <f>IF($A906="",0,SUMIF('Family Contributions'!$I$4:$I$1003,$A906,'Family Contributions'!$G$4:$G$1003))</f>
        <v/>
      </c>
      <c r="N906" s="12">
        <f>IF($A906="",0,IF($I906="Yes",IF(ISNUMBER($G906),$G906,0)-$M906,0))</f>
        <v/>
      </c>
      <c r="O906" s="9" t="n"/>
      <c r="P906" s="9" t="n"/>
    </row>
    <row r="907">
      <c r="A907" s="9" t="n"/>
      <c r="B907" s="19" t="n"/>
      <c r="C907" s="9" t="n"/>
      <c r="D907" s="9" t="n"/>
      <c r="E907" s="9" t="n"/>
      <c r="F907" s="9" t="n"/>
      <c r="G907" s="10" t="n"/>
      <c r="H907" s="9" t="n"/>
      <c r="I907" s="9" t="n"/>
      <c r="J907" s="9" t="n"/>
      <c r="K907" s="9" t="n"/>
      <c r="L907">
        <f>IF($A907="","",IF($P907="Yes","Disputed / Review",IF($I907&lt;&gt;"Yes","Not Reimbursable",IF($M907&lt;=0.004,"Pending",IF($N907&lt;=0.004,"Reimbursed","Partially Reimbursed")))))</f>
        <v/>
      </c>
      <c r="M907" s="12">
        <f>IF($A907="",0,SUMIF('Family Contributions'!$I$4:$I$1003,$A907,'Family Contributions'!$G$4:$G$1003))</f>
        <v/>
      </c>
      <c r="N907" s="12">
        <f>IF($A907="",0,IF($I907="Yes",IF(ISNUMBER($G907),$G907,0)-$M907,0))</f>
        <v/>
      </c>
      <c r="O907" s="9" t="n"/>
      <c r="P907" s="9" t="n"/>
    </row>
    <row r="908">
      <c r="A908" s="9" t="n"/>
      <c r="B908" s="19" t="n"/>
      <c r="C908" s="9" t="n"/>
      <c r="D908" s="9" t="n"/>
      <c r="E908" s="9" t="n"/>
      <c r="F908" s="9" t="n"/>
      <c r="G908" s="10" t="n"/>
      <c r="H908" s="9" t="n"/>
      <c r="I908" s="9" t="n"/>
      <c r="J908" s="9" t="n"/>
      <c r="K908" s="9" t="n"/>
      <c r="L908">
        <f>IF($A908="","",IF($P908="Yes","Disputed / Review",IF($I908&lt;&gt;"Yes","Not Reimbursable",IF($M908&lt;=0.004,"Pending",IF($N908&lt;=0.004,"Reimbursed","Partially Reimbursed")))))</f>
        <v/>
      </c>
      <c r="M908" s="12">
        <f>IF($A908="",0,SUMIF('Family Contributions'!$I$4:$I$1003,$A908,'Family Contributions'!$G$4:$G$1003))</f>
        <v/>
      </c>
      <c r="N908" s="12">
        <f>IF($A908="",0,IF($I908="Yes",IF(ISNUMBER($G908),$G908,0)-$M908,0))</f>
        <v/>
      </c>
      <c r="O908" s="9" t="n"/>
      <c r="P908" s="9" t="n"/>
    </row>
    <row r="909">
      <c r="A909" s="9" t="n"/>
      <c r="B909" s="19" t="n"/>
      <c r="C909" s="9" t="n"/>
      <c r="D909" s="9" t="n"/>
      <c r="E909" s="9" t="n"/>
      <c r="F909" s="9" t="n"/>
      <c r="G909" s="10" t="n"/>
      <c r="H909" s="9" t="n"/>
      <c r="I909" s="9" t="n"/>
      <c r="J909" s="9" t="n"/>
      <c r="K909" s="9" t="n"/>
      <c r="L909">
        <f>IF($A909="","",IF($P909="Yes","Disputed / Review",IF($I909&lt;&gt;"Yes","Not Reimbursable",IF($M909&lt;=0.004,"Pending",IF($N909&lt;=0.004,"Reimbursed","Partially Reimbursed")))))</f>
        <v/>
      </c>
      <c r="M909" s="12">
        <f>IF($A909="",0,SUMIF('Family Contributions'!$I$4:$I$1003,$A909,'Family Contributions'!$G$4:$G$1003))</f>
        <v/>
      </c>
      <c r="N909" s="12">
        <f>IF($A909="",0,IF($I909="Yes",IF(ISNUMBER($G909),$G909,0)-$M909,0))</f>
        <v/>
      </c>
      <c r="O909" s="9" t="n"/>
      <c r="P909" s="9" t="n"/>
    </row>
    <row r="910">
      <c r="A910" s="9" t="n"/>
      <c r="B910" s="19" t="n"/>
      <c r="C910" s="9" t="n"/>
      <c r="D910" s="9" t="n"/>
      <c r="E910" s="9" t="n"/>
      <c r="F910" s="9" t="n"/>
      <c r="G910" s="10" t="n"/>
      <c r="H910" s="9" t="n"/>
      <c r="I910" s="9" t="n"/>
      <c r="J910" s="9" t="n"/>
      <c r="K910" s="9" t="n"/>
      <c r="L910">
        <f>IF($A910="","",IF($P910="Yes","Disputed / Review",IF($I910&lt;&gt;"Yes","Not Reimbursable",IF($M910&lt;=0.004,"Pending",IF($N910&lt;=0.004,"Reimbursed","Partially Reimbursed")))))</f>
        <v/>
      </c>
      <c r="M910" s="12">
        <f>IF($A910="",0,SUMIF('Family Contributions'!$I$4:$I$1003,$A910,'Family Contributions'!$G$4:$G$1003))</f>
        <v/>
      </c>
      <c r="N910" s="12">
        <f>IF($A910="",0,IF($I910="Yes",IF(ISNUMBER($G910),$G910,0)-$M910,0))</f>
        <v/>
      </c>
      <c r="O910" s="9" t="n"/>
      <c r="P910" s="9" t="n"/>
    </row>
    <row r="911">
      <c r="A911" s="9" t="n"/>
      <c r="B911" s="19" t="n"/>
      <c r="C911" s="9" t="n"/>
      <c r="D911" s="9" t="n"/>
      <c r="E911" s="9" t="n"/>
      <c r="F911" s="9" t="n"/>
      <c r="G911" s="10" t="n"/>
      <c r="H911" s="9" t="n"/>
      <c r="I911" s="9" t="n"/>
      <c r="J911" s="9" t="n"/>
      <c r="K911" s="9" t="n"/>
      <c r="L911">
        <f>IF($A911="","",IF($P911="Yes","Disputed / Review",IF($I911&lt;&gt;"Yes","Not Reimbursable",IF($M911&lt;=0.004,"Pending",IF($N911&lt;=0.004,"Reimbursed","Partially Reimbursed")))))</f>
        <v/>
      </c>
      <c r="M911" s="12">
        <f>IF($A911="",0,SUMIF('Family Contributions'!$I$4:$I$1003,$A911,'Family Contributions'!$G$4:$G$1003))</f>
        <v/>
      </c>
      <c r="N911" s="12">
        <f>IF($A911="",0,IF($I911="Yes",IF(ISNUMBER($G911),$G911,0)-$M911,0))</f>
        <v/>
      </c>
      <c r="O911" s="9" t="n"/>
      <c r="P911" s="9" t="n"/>
    </row>
    <row r="912">
      <c r="A912" s="9" t="n"/>
      <c r="B912" s="19" t="n"/>
      <c r="C912" s="9" t="n"/>
      <c r="D912" s="9" t="n"/>
      <c r="E912" s="9" t="n"/>
      <c r="F912" s="9" t="n"/>
      <c r="G912" s="10" t="n"/>
      <c r="H912" s="9" t="n"/>
      <c r="I912" s="9" t="n"/>
      <c r="J912" s="9" t="n"/>
      <c r="K912" s="9" t="n"/>
      <c r="L912">
        <f>IF($A912="","",IF($P912="Yes","Disputed / Review",IF($I912&lt;&gt;"Yes","Not Reimbursable",IF($M912&lt;=0.004,"Pending",IF($N912&lt;=0.004,"Reimbursed","Partially Reimbursed")))))</f>
        <v/>
      </c>
      <c r="M912" s="12">
        <f>IF($A912="",0,SUMIF('Family Contributions'!$I$4:$I$1003,$A912,'Family Contributions'!$G$4:$G$1003))</f>
        <v/>
      </c>
      <c r="N912" s="12">
        <f>IF($A912="",0,IF($I912="Yes",IF(ISNUMBER($G912),$G912,0)-$M912,0))</f>
        <v/>
      </c>
      <c r="O912" s="9" t="n"/>
      <c r="P912" s="9" t="n"/>
    </row>
    <row r="913">
      <c r="A913" s="9" t="n"/>
      <c r="B913" s="19" t="n"/>
      <c r="C913" s="9" t="n"/>
      <c r="D913" s="9" t="n"/>
      <c r="E913" s="9" t="n"/>
      <c r="F913" s="9" t="n"/>
      <c r="G913" s="10" t="n"/>
      <c r="H913" s="9" t="n"/>
      <c r="I913" s="9" t="n"/>
      <c r="J913" s="9" t="n"/>
      <c r="K913" s="9" t="n"/>
      <c r="L913">
        <f>IF($A913="","",IF($P913="Yes","Disputed / Review",IF($I913&lt;&gt;"Yes","Not Reimbursable",IF($M913&lt;=0.004,"Pending",IF($N913&lt;=0.004,"Reimbursed","Partially Reimbursed")))))</f>
        <v/>
      </c>
      <c r="M913" s="12">
        <f>IF($A913="",0,SUMIF('Family Contributions'!$I$4:$I$1003,$A913,'Family Contributions'!$G$4:$G$1003))</f>
        <v/>
      </c>
      <c r="N913" s="12">
        <f>IF($A913="",0,IF($I913="Yes",IF(ISNUMBER($G913),$G913,0)-$M913,0))</f>
        <v/>
      </c>
      <c r="O913" s="9" t="n"/>
      <c r="P913" s="9" t="n"/>
    </row>
    <row r="914">
      <c r="A914" s="9" t="n"/>
      <c r="B914" s="19" t="n"/>
      <c r="C914" s="9" t="n"/>
      <c r="D914" s="9" t="n"/>
      <c r="E914" s="9" t="n"/>
      <c r="F914" s="9" t="n"/>
      <c r="G914" s="10" t="n"/>
      <c r="H914" s="9" t="n"/>
      <c r="I914" s="9" t="n"/>
      <c r="J914" s="9" t="n"/>
      <c r="K914" s="9" t="n"/>
      <c r="L914">
        <f>IF($A914="","",IF($P914="Yes","Disputed / Review",IF($I914&lt;&gt;"Yes","Not Reimbursable",IF($M914&lt;=0.004,"Pending",IF($N914&lt;=0.004,"Reimbursed","Partially Reimbursed")))))</f>
        <v/>
      </c>
      <c r="M914" s="12">
        <f>IF($A914="",0,SUMIF('Family Contributions'!$I$4:$I$1003,$A914,'Family Contributions'!$G$4:$G$1003))</f>
        <v/>
      </c>
      <c r="N914" s="12">
        <f>IF($A914="",0,IF($I914="Yes",IF(ISNUMBER($G914),$G914,0)-$M914,0))</f>
        <v/>
      </c>
      <c r="O914" s="9" t="n"/>
      <c r="P914" s="9" t="n"/>
    </row>
    <row r="915">
      <c r="A915" s="9" t="n"/>
      <c r="B915" s="19" t="n"/>
      <c r="C915" s="9" t="n"/>
      <c r="D915" s="9" t="n"/>
      <c r="E915" s="9" t="n"/>
      <c r="F915" s="9" t="n"/>
      <c r="G915" s="10" t="n"/>
      <c r="H915" s="9" t="n"/>
      <c r="I915" s="9" t="n"/>
      <c r="J915" s="9" t="n"/>
      <c r="K915" s="9" t="n"/>
      <c r="L915">
        <f>IF($A915="","",IF($P915="Yes","Disputed / Review",IF($I915&lt;&gt;"Yes","Not Reimbursable",IF($M915&lt;=0.004,"Pending",IF($N915&lt;=0.004,"Reimbursed","Partially Reimbursed")))))</f>
        <v/>
      </c>
      <c r="M915" s="12">
        <f>IF($A915="",0,SUMIF('Family Contributions'!$I$4:$I$1003,$A915,'Family Contributions'!$G$4:$G$1003))</f>
        <v/>
      </c>
      <c r="N915" s="12">
        <f>IF($A915="",0,IF($I915="Yes",IF(ISNUMBER($G915),$G915,0)-$M915,0))</f>
        <v/>
      </c>
      <c r="O915" s="9" t="n"/>
      <c r="P915" s="9" t="n"/>
    </row>
    <row r="916">
      <c r="A916" s="9" t="n"/>
      <c r="B916" s="19" t="n"/>
      <c r="C916" s="9" t="n"/>
      <c r="D916" s="9" t="n"/>
      <c r="E916" s="9" t="n"/>
      <c r="F916" s="9" t="n"/>
      <c r="G916" s="10" t="n"/>
      <c r="H916" s="9" t="n"/>
      <c r="I916" s="9" t="n"/>
      <c r="J916" s="9" t="n"/>
      <c r="K916" s="9" t="n"/>
      <c r="L916">
        <f>IF($A916="","",IF($P916="Yes","Disputed / Review",IF($I916&lt;&gt;"Yes","Not Reimbursable",IF($M916&lt;=0.004,"Pending",IF($N916&lt;=0.004,"Reimbursed","Partially Reimbursed")))))</f>
        <v/>
      </c>
      <c r="M916" s="12">
        <f>IF($A916="",0,SUMIF('Family Contributions'!$I$4:$I$1003,$A916,'Family Contributions'!$G$4:$G$1003))</f>
        <v/>
      </c>
      <c r="N916" s="12">
        <f>IF($A916="",0,IF($I916="Yes",IF(ISNUMBER($G916),$G916,0)-$M916,0))</f>
        <v/>
      </c>
      <c r="O916" s="9" t="n"/>
      <c r="P916" s="9" t="n"/>
    </row>
    <row r="917">
      <c r="A917" s="9" t="n"/>
      <c r="B917" s="19" t="n"/>
      <c r="C917" s="9" t="n"/>
      <c r="D917" s="9" t="n"/>
      <c r="E917" s="9" t="n"/>
      <c r="F917" s="9" t="n"/>
      <c r="G917" s="10" t="n"/>
      <c r="H917" s="9" t="n"/>
      <c r="I917" s="9" t="n"/>
      <c r="J917" s="9" t="n"/>
      <c r="K917" s="9" t="n"/>
      <c r="L917">
        <f>IF($A917="","",IF($P917="Yes","Disputed / Review",IF($I917&lt;&gt;"Yes","Not Reimbursable",IF($M917&lt;=0.004,"Pending",IF($N917&lt;=0.004,"Reimbursed","Partially Reimbursed")))))</f>
        <v/>
      </c>
      <c r="M917" s="12">
        <f>IF($A917="",0,SUMIF('Family Contributions'!$I$4:$I$1003,$A917,'Family Contributions'!$G$4:$G$1003))</f>
        <v/>
      </c>
      <c r="N917" s="12">
        <f>IF($A917="",0,IF($I917="Yes",IF(ISNUMBER($G917),$G917,0)-$M917,0))</f>
        <v/>
      </c>
      <c r="O917" s="9" t="n"/>
      <c r="P917" s="9" t="n"/>
    </row>
    <row r="918">
      <c r="A918" s="9" t="n"/>
      <c r="B918" s="19" t="n"/>
      <c r="C918" s="9" t="n"/>
      <c r="D918" s="9" t="n"/>
      <c r="E918" s="9" t="n"/>
      <c r="F918" s="9" t="n"/>
      <c r="G918" s="10" t="n"/>
      <c r="H918" s="9" t="n"/>
      <c r="I918" s="9" t="n"/>
      <c r="J918" s="9" t="n"/>
      <c r="K918" s="9" t="n"/>
      <c r="L918">
        <f>IF($A918="","",IF($P918="Yes","Disputed / Review",IF($I918&lt;&gt;"Yes","Not Reimbursable",IF($M918&lt;=0.004,"Pending",IF($N918&lt;=0.004,"Reimbursed","Partially Reimbursed")))))</f>
        <v/>
      </c>
      <c r="M918" s="12">
        <f>IF($A918="",0,SUMIF('Family Contributions'!$I$4:$I$1003,$A918,'Family Contributions'!$G$4:$G$1003))</f>
        <v/>
      </c>
      <c r="N918" s="12">
        <f>IF($A918="",0,IF($I918="Yes",IF(ISNUMBER($G918),$G918,0)-$M918,0))</f>
        <v/>
      </c>
      <c r="O918" s="9" t="n"/>
      <c r="P918" s="9" t="n"/>
    </row>
    <row r="919">
      <c r="A919" s="9" t="n"/>
      <c r="B919" s="19" t="n"/>
      <c r="C919" s="9" t="n"/>
      <c r="D919" s="9" t="n"/>
      <c r="E919" s="9" t="n"/>
      <c r="F919" s="9" t="n"/>
      <c r="G919" s="10" t="n"/>
      <c r="H919" s="9" t="n"/>
      <c r="I919" s="9" t="n"/>
      <c r="J919" s="9" t="n"/>
      <c r="K919" s="9" t="n"/>
      <c r="L919">
        <f>IF($A919="","",IF($P919="Yes","Disputed / Review",IF($I919&lt;&gt;"Yes","Not Reimbursable",IF($M919&lt;=0.004,"Pending",IF($N919&lt;=0.004,"Reimbursed","Partially Reimbursed")))))</f>
        <v/>
      </c>
      <c r="M919" s="12">
        <f>IF($A919="",0,SUMIF('Family Contributions'!$I$4:$I$1003,$A919,'Family Contributions'!$G$4:$G$1003))</f>
        <v/>
      </c>
      <c r="N919" s="12">
        <f>IF($A919="",0,IF($I919="Yes",IF(ISNUMBER($G919),$G919,0)-$M919,0))</f>
        <v/>
      </c>
      <c r="O919" s="9" t="n"/>
      <c r="P919" s="9" t="n"/>
    </row>
    <row r="920">
      <c r="A920" s="9" t="n"/>
      <c r="B920" s="19" t="n"/>
      <c r="C920" s="9" t="n"/>
      <c r="D920" s="9" t="n"/>
      <c r="E920" s="9" t="n"/>
      <c r="F920" s="9" t="n"/>
      <c r="G920" s="10" t="n"/>
      <c r="H920" s="9" t="n"/>
      <c r="I920" s="9" t="n"/>
      <c r="J920" s="9" t="n"/>
      <c r="K920" s="9" t="n"/>
      <c r="L920">
        <f>IF($A920="","",IF($P920="Yes","Disputed / Review",IF($I920&lt;&gt;"Yes","Not Reimbursable",IF($M920&lt;=0.004,"Pending",IF($N920&lt;=0.004,"Reimbursed","Partially Reimbursed")))))</f>
        <v/>
      </c>
      <c r="M920" s="12">
        <f>IF($A920="",0,SUMIF('Family Contributions'!$I$4:$I$1003,$A920,'Family Contributions'!$G$4:$G$1003))</f>
        <v/>
      </c>
      <c r="N920" s="12">
        <f>IF($A920="",0,IF($I920="Yes",IF(ISNUMBER($G920),$G920,0)-$M920,0))</f>
        <v/>
      </c>
      <c r="O920" s="9" t="n"/>
      <c r="P920" s="9" t="n"/>
    </row>
    <row r="921">
      <c r="A921" s="9" t="n"/>
      <c r="B921" s="19" t="n"/>
      <c r="C921" s="9" t="n"/>
      <c r="D921" s="9" t="n"/>
      <c r="E921" s="9" t="n"/>
      <c r="F921" s="9" t="n"/>
      <c r="G921" s="10" t="n"/>
      <c r="H921" s="9" t="n"/>
      <c r="I921" s="9" t="n"/>
      <c r="J921" s="9" t="n"/>
      <c r="K921" s="9" t="n"/>
      <c r="L921">
        <f>IF($A921="","",IF($P921="Yes","Disputed / Review",IF($I921&lt;&gt;"Yes","Not Reimbursable",IF($M921&lt;=0.004,"Pending",IF($N921&lt;=0.004,"Reimbursed","Partially Reimbursed")))))</f>
        <v/>
      </c>
      <c r="M921" s="12">
        <f>IF($A921="",0,SUMIF('Family Contributions'!$I$4:$I$1003,$A921,'Family Contributions'!$G$4:$G$1003))</f>
        <v/>
      </c>
      <c r="N921" s="12">
        <f>IF($A921="",0,IF($I921="Yes",IF(ISNUMBER($G921),$G921,0)-$M921,0))</f>
        <v/>
      </c>
      <c r="O921" s="9" t="n"/>
      <c r="P921" s="9" t="n"/>
    </row>
    <row r="922">
      <c r="A922" s="9" t="n"/>
      <c r="B922" s="19" t="n"/>
      <c r="C922" s="9" t="n"/>
      <c r="D922" s="9" t="n"/>
      <c r="E922" s="9" t="n"/>
      <c r="F922" s="9" t="n"/>
      <c r="G922" s="10" t="n"/>
      <c r="H922" s="9" t="n"/>
      <c r="I922" s="9" t="n"/>
      <c r="J922" s="9" t="n"/>
      <c r="K922" s="9" t="n"/>
      <c r="L922">
        <f>IF($A922="","",IF($P922="Yes","Disputed / Review",IF($I922&lt;&gt;"Yes","Not Reimbursable",IF($M922&lt;=0.004,"Pending",IF($N922&lt;=0.004,"Reimbursed","Partially Reimbursed")))))</f>
        <v/>
      </c>
      <c r="M922" s="12">
        <f>IF($A922="",0,SUMIF('Family Contributions'!$I$4:$I$1003,$A922,'Family Contributions'!$G$4:$G$1003))</f>
        <v/>
      </c>
      <c r="N922" s="12">
        <f>IF($A922="",0,IF($I922="Yes",IF(ISNUMBER($G922),$G922,0)-$M922,0))</f>
        <v/>
      </c>
      <c r="O922" s="9" t="n"/>
      <c r="P922" s="9" t="n"/>
    </row>
    <row r="923">
      <c r="A923" s="9" t="n"/>
      <c r="B923" s="19" t="n"/>
      <c r="C923" s="9" t="n"/>
      <c r="D923" s="9" t="n"/>
      <c r="E923" s="9" t="n"/>
      <c r="F923" s="9" t="n"/>
      <c r="G923" s="10" t="n"/>
      <c r="H923" s="9" t="n"/>
      <c r="I923" s="9" t="n"/>
      <c r="J923" s="9" t="n"/>
      <c r="K923" s="9" t="n"/>
      <c r="L923">
        <f>IF($A923="","",IF($P923="Yes","Disputed / Review",IF($I923&lt;&gt;"Yes","Not Reimbursable",IF($M923&lt;=0.004,"Pending",IF($N923&lt;=0.004,"Reimbursed","Partially Reimbursed")))))</f>
        <v/>
      </c>
      <c r="M923" s="12">
        <f>IF($A923="",0,SUMIF('Family Contributions'!$I$4:$I$1003,$A923,'Family Contributions'!$G$4:$G$1003))</f>
        <v/>
      </c>
      <c r="N923" s="12">
        <f>IF($A923="",0,IF($I923="Yes",IF(ISNUMBER($G923),$G923,0)-$M923,0))</f>
        <v/>
      </c>
      <c r="O923" s="9" t="n"/>
      <c r="P923" s="9" t="n"/>
    </row>
    <row r="924">
      <c r="A924" s="9" t="n"/>
      <c r="B924" s="19" t="n"/>
      <c r="C924" s="9" t="n"/>
      <c r="D924" s="9" t="n"/>
      <c r="E924" s="9" t="n"/>
      <c r="F924" s="9" t="n"/>
      <c r="G924" s="10" t="n"/>
      <c r="H924" s="9" t="n"/>
      <c r="I924" s="9" t="n"/>
      <c r="J924" s="9" t="n"/>
      <c r="K924" s="9" t="n"/>
      <c r="L924">
        <f>IF($A924="","",IF($P924="Yes","Disputed / Review",IF($I924&lt;&gt;"Yes","Not Reimbursable",IF($M924&lt;=0.004,"Pending",IF($N924&lt;=0.004,"Reimbursed","Partially Reimbursed")))))</f>
        <v/>
      </c>
      <c r="M924" s="12">
        <f>IF($A924="",0,SUMIF('Family Contributions'!$I$4:$I$1003,$A924,'Family Contributions'!$G$4:$G$1003))</f>
        <v/>
      </c>
      <c r="N924" s="12">
        <f>IF($A924="",0,IF($I924="Yes",IF(ISNUMBER($G924),$G924,0)-$M924,0))</f>
        <v/>
      </c>
      <c r="O924" s="9" t="n"/>
      <c r="P924" s="9" t="n"/>
    </row>
    <row r="925">
      <c r="A925" s="9" t="n"/>
      <c r="B925" s="19" t="n"/>
      <c r="C925" s="9" t="n"/>
      <c r="D925" s="9" t="n"/>
      <c r="E925" s="9" t="n"/>
      <c r="F925" s="9" t="n"/>
      <c r="G925" s="10" t="n"/>
      <c r="H925" s="9" t="n"/>
      <c r="I925" s="9" t="n"/>
      <c r="J925" s="9" t="n"/>
      <c r="K925" s="9" t="n"/>
      <c r="L925">
        <f>IF($A925="","",IF($P925="Yes","Disputed / Review",IF($I925&lt;&gt;"Yes","Not Reimbursable",IF($M925&lt;=0.004,"Pending",IF($N925&lt;=0.004,"Reimbursed","Partially Reimbursed")))))</f>
        <v/>
      </c>
      <c r="M925" s="12">
        <f>IF($A925="",0,SUMIF('Family Contributions'!$I$4:$I$1003,$A925,'Family Contributions'!$G$4:$G$1003))</f>
        <v/>
      </c>
      <c r="N925" s="12">
        <f>IF($A925="",0,IF($I925="Yes",IF(ISNUMBER($G925),$G925,0)-$M925,0))</f>
        <v/>
      </c>
      <c r="O925" s="9" t="n"/>
      <c r="P925" s="9" t="n"/>
    </row>
    <row r="926">
      <c r="A926" s="9" t="n"/>
      <c r="B926" s="19" t="n"/>
      <c r="C926" s="9" t="n"/>
      <c r="D926" s="9" t="n"/>
      <c r="E926" s="9" t="n"/>
      <c r="F926" s="9" t="n"/>
      <c r="G926" s="10" t="n"/>
      <c r="H926" s="9" t="n"/>
      <c r="I926" s="9" t="n"/>
      <c r="J926" s="9" t="n"/>
      <c r="K926" s="9" t="n"/>
      <c r="L926">
        <f>IF($A926="","",IF($P926="Yes","Disputed / Review",IF($I926&lt;&gt;"Yes","Not Reimbursable",IF($M926&lt;=0.004,"Pending",IF($N926&lt;=0.004,"Reimbursed","Partially Reimbursed")))))</f>
        <v/>
      </c>
      <c r="M926" s="12">
        <f>IF($A926="",0,SUMIF('Family Contributions'!$I$4:$I$1003,$A926,'Family Contributions'!$G$4:$G$1003))</f>
        <v/>
      </c>
      <c r="N926" s="12">
        <f>IF($A926="",0,IF($I926="Yes",IF(ISNUMBER($G926),$G926,0)-$M926,0))</f>
        <v/>
      </c>
      <c r="O926" s="9" t="n"/>
      <c r="P926" s="9" t="n"/>
    </row>
    <row r="927">
      <c r="A927" s="9" t="n"/>
      <c r="B927" s="19" t="n"/>
      <c r="C927" s="9" t="n"/>
      <c r="D927" s="9" t="n"/>
      <c r="E927" s="9" t="n"/>
      <c r="F927" s="9" t="n"/>
      <c r="G927" s="10" t="n"/>
      <c r="H927" s="9" t="n"/>
      <c r="I927" s="9" t="n"/>
      <c r="J927" s="9" t="n"/>
      <c r="K927" s="9" t="n"/>
      <c r="L927">
        <f>IF($A927="","",IF($P927="Yes","Disputed / Review",IF($I927&lt;&gt;"Yes","Not Reimbursable",IF($M927&lt;=0.004,"Pending",IF($N927&lt;=0.004,"Reimbursed","Partially Reimbursed")))))</f>
        <v/>
      </c>
      <c r="M927" s="12">
        <f>IF($A927="",0,SUMIF('Family Contributions'!$I$4:$I$1003,$A927,'Family Contributions'!$G$4:$G$1003))</f>
        <v/>
      </c>
      <c r="N927" s="12">
        <f>IF($A927="",0,IF($I927="Yes",IF(ISNUMBER($G927),$G927,0)-$M927,0))</f>
        <v/>
      </c>
      <c r="O927" s="9" t="n"/>
      <c r="P927" s="9" t="n"/>
    </row>
    <row r="928">
      <c r="A928" s="9" t="n"/>
      <c r="B928" s="19" t="n"/>
      <c r="C928" s="9" t="n"/>
      <c r="D928" s="9" t="n"/>
      <c r="E928" s="9" t="n"/>
      <c r="F928" s="9" t="n"/>
      <c r="G928" s="10" t="n"/>
      <c r="H928" s="9" t="n"/>
      <c r="I928" s="9" t="n"/>
      <c r="J928" s="9" t="n"/>
      <c r="K928" s="9" t="n"/>
      <c r="L928">
        <f>IF($A928="","",IF($P928="Yes","Disputed / Review",IF($I928&lt;&gt;"Yes","Not Reimbursable",IF($M928&lt;=0.004,"Pending",IF($N928&lt;=0.004,"Reimbursed","Partially Reimbursed")))))</f>
        <v/>
      </c>
      <c r="M928" s="12">
        <f>IF($A928="",0,SUMIF('Family Contributions'!$I$4:$I$1003,$A928,'Family Contributions'!$G$4:$G$1003))</f>
        <v/>
      </c>
      <c r="N928" s="12">
        <f>IF($A928="",0,IF($I928="Yes",IF(ISNUMBER($G928),$G928,0)-$M928,0))</f>
        <v/>
      </c>
      <c r="O928" s="9" t="n"/>
      <c r="P928" s="9" t="n"/>
    </row>
    <row r="929">
      <c r="A929" s="9" t="n"/>
      <c r="B929" s="19" t="n"/>
      <c r="C929" s="9" t="n"/>
      <c r="D929" s="9" t="n"/>
      <c r="E929" s="9" t="n"/>
      <c r="F929" s="9" t="n"/>
      <c r="G929" s="10" t="n"/>
      <c r="H929" s="9" t="n"/>
      <c r="I929" s="9" t="n"/>
      <c r="J929" s="9" t="n"/>
      <c r="K929" s="9" t="n"/>
      <c r="L929">
        <f>IF($A929="","",IF($P929="Yes","Disputed / Review",IF($I929&lt;&gt;"Yes","Not Reimbursable",IF($M929&lt;=0.004,"Pending",IF($N929&lt;=0.004,"Reimbursed","Partially Reimbursed")))))</f>
        <v/>
      </c>
      <c r="M929" s="12">
        <f>IF($A929="",0,SUMIF('Family Contributions'!$I$4:$I$1003,$A929,'Family Contributions'!$G$4:$G$1003))</f>
        <v/>
      </c>
      <c r="N929" s="12">
        <f>IF($A929="",0,IF($I929="Yes",IF(ISNUMBER($G929),$G929,0)-$M929,0))</f>
        <v/>
      </c>
      <c r="O929" s="9" t="n"/>
      <c r="P929" s="9" t="n"/>
    </row>
    <row r="930">
      <c r="A930" s="9" t="n"/>
      <c r="B930" s="19" t="n"/>
      <c r="C930" s="9" t="n"/>
      <c r="D930" s="9" t="n"/>
      <c r="E930" s="9" t="n"/>
      <c r="F930" s="9" t="n"/>
      <c r="G930" s="10" t="n"/>
      <c r="H930" s="9" t="n"/>
      <c r="I930" s="9" t="n"/>
      <c r="J930" s="9" t="n"/>
      <c r="K930" s="9" t="n"/>
      <c r="L930">
        <f>IF($A930="","",IF($P930="Yes","Disputed / Review",IF($I930&lt;&gt;"Yes","Not Reimbursable",IF($M930&lt;=0.004,"Pending",IF($N930&lt;=0.004,"Reimbursed","Partially Reimbursed")))))</f>
        <v/>
      </c>
      <c r="M930" s="12">
        <f>IF($A930="",0,SUMIF('Family Contributions'!$I$4:$I$1003,$A930,'Family Contributions'!$G$4:$G$1003))</f>
        <v/>
      </c>
      <c r="N930" s="12">
        <f>IF($A930="",0,IF($I930="Yes",IF(ISNUMBER($G930),$G930,0)-$M930,0))</f>
        <v/>
      </c>
      <c r="O930" s="9" t="n"/>
      <c r="P930" s="9" t="n"/>
    </row>
    <row r="931">
      <c r="A931" s="9" t="n"/>
      <c r="B931" s="19" t="n"/>
      <c r="C931" s="9" t="n"/>
      <c r="D931" s="9" t="n"/>
      <c r="E931" s="9" t="n"/>
      <c r="F931" s="9" t="n"/>
      <c r="G931" s="10" t="n"/>
      <c r="H931" s="9" t="n"/>
      <c r="I931" s="9" t="n"/>
      <c r="J931" s="9" t="n"/>
      <c r="K931" s="9" t="n"/>
      <c r="L931">
        <f>IF($A931="","",IF($P931="Yes","Disputed / Review",IF($I931&lt;&gt;"Yes","Not Reimbursable",IF($M931&lt;=0.004,"Pending",IF($N931&lt;=0.004,"Reimbursed","Partially Reimbursed")))))</f>
        <v/>
      </c>
      <c r="M931" s="12">
        <f>IF($A931="",0,SUMIF('Family Contributions'!$I$4:$I$1003,$A931,'Family Contributions'!$G$4:$G$1003))</f>
        <v/>
      </c>
      <c r="N931" s="12">
        <f>IF($A931="",0,IF($I931="Yes",IF(ISNUMBER($G931),$G931,0)-$M931,0))</f>
        <v/>
      </c>
      <c r="O931" s="9" t="n"/>
      <c r="P931" s="9" t="n"/>
    </row>
    <row r="932">
      <c r="A932" s="9" t="n"/>
      <c r="B932" s="19" t="n"/>
      <c r="C932" s="9" t="n"/>
      <c r="D932" s="9" t="n"/>
      <c r="E932" s="9" t="n"/>
      <c r="F932" s="9" t="n"/>
      <c r="G932" s="10" t="n"/>
      <c r="H932" s="9" t="n"/>
      <c r="I932" s="9" t="n"/>
      <c r="J932" s="9" t="n"/>
      <c r="K932" s="9" t="n"/>
      <c r="L932">
        <f>IF($A932="","",IF($P932="Yes","Disputed / Review",IF($I932&lt;&gt;"Yes","Not Reimbursable",IF($M932&lt;=0.004,"Pending",IF($N932&lt;=0.004,"Reimbursed","Partially Reimbursed")))))</f>
        <v/>
      </c>
      <c r="M932" s="12">
        <f>IF($A932="",0,SUMIF('Family Contributions'!$I$4:$I$1003,$A932,'Family Contributions'!$G$4:$G$1003))</f>
        <v/>
      </c>
      <c r="N932" s="12">
        <f>IF($A932="",0,IF($I932="Yes",IF(ISNUMBER($G932),$G932,0)-$M932,0))</f>
        <v/>
      </c>
      <c r="O932" s="9" t="n"/>
      <c r="P932" s="9" t="n"/>
    </row>
    <row r="933">
      <c r="A933" s="9" t="n"/>
      <c r="B933" s="19" t="n"/>
      <c r="C933" s="9" t="n"/>
      <c r="D933" s="9" t="n"/>
      <c r="E933" s="9" t="n"/>
      <c r="F933" s="9" t="n"/>
      <c r="G933" s="10" t="n"/>
      <c r="H933" s="9" t="n"/>
      <c r="I933" s="9" t="n"/>
      <c r="J933" s="9" t="n"/>
      <c r="K933" s="9" t="n"/>
      <c r="L933">
        <f>IF($A933="","",IF($P933="Yes","Disputed / Review",IF($I933&lt;&gt;"Yes","Not Reimbursable",IF($M933&lt;=0.004,"Pending",IF($N933&lt;=0.004,"Reimbursed","Partially Reimbursed")))))</f>
        <v/>
      </c>
      <c r="M933" s="12">
        <f>IF($A933="",0,SUMIF('Family Contributions'!$I$4:$I$1003,$A933,'Family Contributions'!$G$4:$G$1003))</f>
        <v/>
      </c>
      <c r="N933" s="12">
        <f>IF($A933="",0,IF($I933="Yes",IF(ISNUMBER($G933),$G933,0)-$M933,0))</f>
        <v/>
      </c>
      <c r="O933" s="9" t="n"/>
      <c r="P933" s="9" t="n"/>
    </row>
    <row r="934">
      <c r="A934" s="9" t="n"/>
      <c r="B934" s="19" t="n"/>
      <c r="C934" s="9" t="n"/>
      <c r="D934" s="9" t="n"/>
      <c r="E934" s="9" t="n"/>
      <c r="F934" s="9" t="n"/>
      <c r="G934" s="10" t="n"/>
      <c r="H934" s="9" t="n"/>
      <c r="I934" s="9" t="n"/>
      <c r="J934" s="9" t="n"/>
      <c r="K934" s="9" t="n"/>
      <c r="L934">
        <f>IF($A934="","",IF($P934="Yes","Disputed / Review",IF($I934&lt;&gt;"Yes","Not Reimbursable",IF($M934&lt;=0.004,"Pending",IF($N934&lt;=0.004,"Reimbursed","Partially Reimbursed")))))</f>
        <v/>
      </c>
      <c r="M934" s="12">
        <f>IF($A934="",0,SUMIF('Family Contributions'!$I$4:$I$1003,$A934,'Family Contributions'!$G$4:$G$1003))</f>
        <v/>
      </c>
      <c r="N934" s="12">
        <f>IF($A934="",0,IF($I934="Yes",IF(ISNUMBER($G934),$G934,0)-$M934,0))</f>
        <v/>
      </c>
      <c r="O934" s="9" t="n"/>
      <c r="P934" s="9" t="n"/>
    </row>
    <row r="935">
      <c r="A935" s="9" t="n"/>
      <c r="B935" s="19" t="n"/>
      <c r="C935" s="9" t="n"/>
      <c r="D935" s="9" t="n"/>
      <c r="E935" s="9" t="n"/>
      <c r="F935" s="9" t="n"/>
      <c r="G935" s="10" t="n"/>
      <c r="H935" s="9" t="n"/>
      <c r="I935" s="9" t="n"/>
      <c r="J935" s="9" t="n"/>
      <c r="K935" s="9" t="n"/>
      <c r="L935">
        <f>IF($A935="","",IF($P935="Yes","Disputed / Review",IF($I935&lt;&gt;"Yes","Not Reimbursable",IF($M935&lt;=0.004,"Pending",IF($N935&lt;=0.004,"Reimbursed","Partially Reimbursed")))))</f>
        <v/>
      </c>
      <c r="M935" s="12">
        <f>IF($A935="",0,SUMIF('Family Contributions'!$I$4:$I$1003,$A935,'Family Contributions'!$G$4:$G$1003))</f>
        <v/>
      </c>
      <c r="N935" s="12">
        <f>IF($A935="",0,IF($I935="Yes",IF(ISNUMBER($G935),$G935,0)-$M935,0))</f>
        <v/>
      </c>
      <c r="O935" s="9" t="n"/>
      <c r="P935" s="9" t="n"/>
    </row>
    <row r="936">
      <c r="A936" s="9" t="n"/>
      <c r="B936" s="19" t="n"/>
      <c r="C936" s="9" t="n"/>
      <c r="D936" s="9" t="n"/>
      <c r="E936" s="9" t="n"/>
      <c r="F936" s="9" t="n"/>
      <c r="G936" s="10" t="n"/>
      <c r="H936" s="9" t="n"/>
      <c r="I936" s="9" t="n"/>
      <c r="J936" s="9" t="n"/>
      <c r="K936" s="9" t="n"/>
      <c r="L936">
        <f>IF($A936="","",IF($P936="Yes","Disputed / Review",IF($I936&lt;&gt;"Yes","Not Reimbursable",IF($M936&lt;=0.004,"Pending",IF($N936&lt;=0.004,"Reimbursed","Partially Reimbursed")))))</f>
        <v/>
      </c>
      <c r="M936" s="12">
        <f>IF($A936="",0,SUMIF('Family Contributions'!$I$4:$I$1003,$A936,'Family Contributions'!$G$4:$G$1003))</f>
        <v/>
      </c>
      <c r="N936" s="12">
        <f>IF($A936="",0,IF($I936="Yes",IF(ISNUMBER($G936),$G936,0)-$M936,0))</f>
        <v/>
      </c>
      <c r="O936" s="9" t="n"/>
      <c r="P936" s="9" t="n"/>
    </row>
    <row r="937">
      <c r="A937" s="9" t="n"/>
      <c r="B937" s="19" t="n"/>
      <c r="C937" s="9" t="n"/>
      <c r="D937" s="9" t="n"/>
      <c r="E937" s="9" t="n"/>
      <c r="F937" s="9" t="n"/>
      <c r="G937" s="10" t="n"/>
      <c r="H937" s="9" t="n"/>
      <c r="I937" s="9" t="n"/>
      <c r="J937" s="9" t="n"/>
      <c r="K937" s="9" t="n"/>
      <c r="L937">
        <f>IF($A937="","",IF($P937="Yes","Disputed / Review",IF($I937&lt;&gt;"Yes","Not Reimbursable",IF($M937&lt;=0.004,"Pending",IF($N937&lt;=0.004,"Reimbursed","Partially Reimbursed")))))</f>
        <v/>
      </c>
      <c r="M937" s="12">
        <f>IF($A937="",0,SUMIF('Family Contributions'!$I$4:$I$1003,$A937,'Family Contributions'!$G$4:$G$1003))</f>
        <v/>
      </c>
      <c r="N937" s="12">
        <f>IF($A937="",0,IF($I937="Yes",IF(ISNUMBER($G937),$G937,0)-$M937,0))</f>
        <v/>
      </c>
      <c r="O937" s="9" t="n"/>
      <c r="P937" s="9" t="n"/>
    </row>
    <row r="938">
      <c r="A938" s="9" t="n"/>
      <c r="B938" s="19" t="n"/>
      <c r="C938" s="9" t="n"/>
      <c r="D938" s="9" t="n"/>
      <c r="E938" s="9" t="n"/>
      <c r="F938" s="9" t="n"/>
      <c r="G938" s="10" t="n"/>
      <c r="H938" s="9" t="n"/>
      <c r="I938" s="9" t="n"/>
      <c r="J938" s="9" t="n"/>
      <c r="K938" s="9" t="n"/>
      <c r="L938">
        <f>IF($A938="","",IF($P938="Yes","Disputed / Review",IF($I938&lt;&gt;"Yes","Not Reimbursable",IF($M938&lt;=0.004,"Pending",IF($N938&lt;=0.004,"Reimbursed","Partially Reimbursed")))))</f>
        <v/>
      </c>
      <c r="M938" s="12">
        <f>IF($A938="",0,SUMIF('Family Contributions'!$I$4:$I$1003,$A938,'Family Contributions'!$G$4:$G$1003))</f>
        <v/>
      </c>
      <c r="N938" s="12">
        <f>IF($A938="",0,IF($I938="Yes",IF(ISNUMBER($G938),$G938,0)-$M938,0))</f>
        <v/>
      </c>
      <c r="O938" s="9" t="n"/>
      <c r="P938" s="9" t="n"/>
    </row>
    <row r="939">
      <c r="A939" s="9" t="n"/>
      <c r="B939" s="19" t="n"/>
      <c r="C939" s="9" t="n"/>
      <c r="D939" s="9" t="n"/>
      <c r="E939" s="9" t="n"/>
      <c r="F939" s="9" t="n"/>
      <c r="G939" s="10" t="n"/>
      <c r="H939" s="9" t="n"/>
      <c r="I939" s="9" t="n"/>
      <c r="J939" s="9" t="n"/>
      <c r="K939" s="9" t="n"/>
      <c r="L939">
        <f>IF($A939="","",IF($P939="Yes","Disputed / Review",IF($I939&lt;&gt;"Yes","Not Reimbursable",IF($M939&lt;=0.004,"Pending",IF($N939&lt;=0.004,"Reimbursed","Partially Reimbursed")))))</f>
        <v/>
      </c>
      <c r="M939" s="12">
        <f>IF($A939="",0,SUMIF('Family Contributions'!$I$4:$I$1003,$A939,'Family Contributions'!$G$4:$G$1003))</f>
        <v/>
      </c>
      <c r="N939" s="12">
        <f>IF($A939="",0,IF($I939="Yes",IF(ISNUMBER($G939),$G939,0)-$M939,0))</f>
        <v/>
      </c>
      <c r="O939" s="9" t="n"/>
      <c r="P939" s="9" t="n"/>
    </row>
    <row r="940">
      <c r="A940" s="9" t="n"/>
      <c r="B940" s="19" t="n"/>
      <c r="C940" s="9" t="n"/>
      <c r="D940" s="9" t="n"/>
      <c r="E940" s="9" t="n"/>
      <c r="F940" s="9" t="n"/>
      <c r="G940" s="10" t="n"/>
      <c r="H940" s="9" t="n"/>
      <c r="I940" s="9" t="n"/>
      <c r="J940" s="9" t="n"/>
      <c r="K940" s="9" t="n"/>
      <c r="L940">
        <f>IF($A940="","",IF($P940="Yes","Disputed / Review",IF($I940&lt;&gt;"Yes","Not Reimbursable",IF($M940&lt;=0.004,"Pending",IF($N940&lt;=0.004,"Reimbursed","Partially Reimbursed")))))</f>
        <v/>
      </c>
      <c r="M940" s="12">
        <f>IF($A940="",0,SUMIF('Family Contributions'!$I$4:$I$1003,$A940,'Family Contributions'!$G$4:$G$1003))</f>
        <v/>
      </c>
      <c r="N940" s="12">
        <f>IF($A940="",0,IF($I940="Yes",IF(ISNUMBER($G940),$G940,0)-$M940,0))</f>
        <v/>
      </c>
      <c r="O940" s="9" t="n"/>
      <c r="P940" s="9" t="n"/>
    </row>
    <row r="941">
      <c r="A941" s="9" t="n"/>
      <c r="B941" s="19" t="n"/>
      <c r="C941" s="9" t="n"/>
      <c r="D941" s="9" t="n"/>
      <c r="E941" s="9" t="n"/>
      <c r="F941" s="9" t="n"/>
      <c r="G941" s="10" t="n"/>
      <c r="H941" s="9" t="n"/>
      <c r="I941" s="9" t="n"/>
      <c r="J941" s="9" t="n"/>
      <c r="K941" s="9" t="n"/>
      <c r="L941">
        <f>IF($A941="","",IF($P941="Yes","Disputed / Review",IF($I941&lt;&gt;"Yes","Not Reimbursable",IF($M941&lt;=0.004,"Pending",IF($N941&lt;=0.004,"Reimbursed","Partially Reimbursed")))))</f>
        <v/>
      </c>
      <c r="M941" s="12">
        <f>IF($A941="",0,SUMIF('Family Contributions'!$I$4:$I$1003,$A941,'Family Contributions'!$G$4:$G$1003))</f>
        <v/>
      </c>
      <c r="N941" s="12">
        <f>IF($A941="",0,IF($I941="Yes",IF(ISNUMBER($G941),$G941,0)-$M941,0))</f>
        <v/>
      </c>
      <c r="O941" s="9" t="n"/>
      <c r="P941" s="9" t="n"/>
    </row>
    <row r="942">
      <c r="A942" s="9" t="n"/>
      <c r="B942" s="19" t="n"/>
      <c r="C942" s="9" t="n"/>
      <c r="D942" s="9" t="n"/>
      <c r="E942" s="9" t="n"/>
      <c r="F942" s="9" t="n"/>
      <c r="G942" s="10" t="n"/>
      <c r="H942" s="9" t="n"/>
      <c r="I942" s="9" t="n"/>
      <c r="J942" s="9" t="n"/>
      <c r="K942" s="9" t="n"/>
      <c r="L942">
        <f>IF($A942="","",IF($P942="Yes","Disputed / Review",IF($I942&lt;&gt;"Yes","Not Reimbursable",IF($M942&lt;=0.004,"Pending",IF($N942&lt;=0.004,"Reimbursed","Partially Reimbursed")))))</f>
        <v/>
      </c>
      <c r="M942" s="12">
        <f>IF($A942="",0,SUMIF('Family Contributions'!$I$4:$I$1003,$A942,'Family Contributions'!$G$4:$G$1003))</f>
        <v/>
      </c>
      <c r="N942" s="12">
        <f>IF($A942="",0,IF($I942="Yes",IF(ISNUMBER($G942),$G942,0)-$M942,0))</f>
        <v/>
      </c>
      <c r="O942" s="9" t="n"/>
      <c r="P942" s="9" t="n"/>
    </row>
    <row r="943">
      <c r="A943" s="9" t="n"/>
      <c r="B943" s="19" t="n"/>
      <c r="C943" s="9" t="n"/>
      <c r="D943" s="9" t="n"/>
      <c r="E943" s="9" t="n"/>
      <c r="F943" s="9" t="n"/>
      <c r="G943" s="10" t="n"/>
      <c r="H943" s="9" t="n"/>
      <c r="I943" s="9" t="n"/>
      <c r="J943" s="9" t="n"/>
      <c r="K943" s="9" t="n"/>
      <c r="L943">
        <f>IF($A943="","",IF($P943="Yes","Disputed / Review",IF($I943&lt;&gt;"Yes","Not Reimbursable",IF($M943&lt;=0.004,"Pending",IF($N943&lt;=0.004,"Reimbursed","Partially Reimbursed")))))</f>
        <v/>
      </c>
      <c r="M943" s="12">
        <f>IF($A943="",0,SUMIF('Family Contributions'!$I$4:$I$1003,$A943,'Family Contributions'!$G$4:$G$1003))</f>
        <v/>
      </c>
      <c r="N943" s="12">
        <f>IF($A943="",0,IF($I943="Yes",IF(ISNUMBER($G943),$G943,0)-$M943,0))</f>
        <v/>
      </c>
      <c r="O943" s="9" t="n"/>
      <c r="P943" s="9" t="n"/>
    </row>
    <row r="944">
      <c r="A944" s="9" t="n"/>
      <c r="B944" s="19" t="n"/>
      <c r="C944" s="9" t="n"/>
      <c r="D944" s="9" t="n"/>
      <c r="E944" s="9" t="n"/>
      <c r="F944" s="9" t="n"/>
      <c r="G944" s="10" t="n"/>
      <c r="H944" s="9" t="n"/>
      <c r="I944" s="9" t="n"/>
      <c r="J944" s="9" t="n"/>
      <c r="K944" s="9" t="n"/>
      <c r="L944">
        <f>IF($A944="","",IF($P944="Yes","Disputed / Review",IF($I944&lt;&gt;"Yes","Not Reimbursable",IF($M944&lt;=0.004,"Pending",IF($N944&lt;=0.004,"Reimbursed","Partially Reimbursed")))))</f>
        <v/>
      </c>
      <c r="M944" s="12">
        <f>IF($A944="",0,SUMIF('Family Contributions'!$I$4:$I$1003,$A944,'Family Contributions'!$G$4:$G$1003))</f>
        <v/>
      </c>
      <c r="N944" s="12">
        <f>IF($A944="",0,IF($I944="Yes",IF(ISNUMBER($G944),$G944,0)-$M944,0))</f>
        <v/>
      </c>
      <c r="O944" s="9" t="n"/>
      <c r="P944" s="9" t="n"/>
    </row>
    <row r="945">
      <c r="A945" s="9" t="n"/>
      <c r="B945" s="19" t="n"/>
      <c r="C945" s="9" t="n"/>
      <c r="D945" s="9" t="n"/>
      <c r="E945" s="9" t="n"/>
      <c r="F945" s="9" t="n"/>
      <c r="G945" s="10" t="n"/>
      <c r="H945" s="9" t="n"/>
      <c r="I945" s="9" t="n"/>
      <c r="J945" s="9" t="n"/>
      <c r="K945" s="9" t="n"/>
      <c r="L945">
        <f>IF($A945="","",IF($P945="Yes","Disputed / Review",IF($I945&lt;&gt;"Yes","Not Reimbursable",IF($M945&lt;=0.004,"Pending",IF($N945&lt;=0.004,"Reimbursed","Partially Reimbursed")))))</f>
        <v/>
      </c>
      <c r="M945" s="12">
        <f>IF($A945="",0,SUMIF('Family Contributions'!$I$4:$I$1003,$A945,'Family Contributions'!$G$4:$G$1003))</f>
        <v/>
      </c>
      <c r="N945" s="12">
        <f>IF($A945="",0,IF($I945="Yes",IF(ISNUMBER($G945),$G945,0)-$M945,0))</f>
        <v/>
      </c>
      <c r="O945" s="9" t="n"/>
      <c r="P945" s="9" t="n"/>
    </row>
    <row r="946">
      <c r="A946" s="9" t="n"/>
      <c r="B946" s="19" t="n"/>
      <c r="C946" s="9" t="n"/>
      <c r="D946" s="9" t="n"/>
      <c r="E946" s="9" t="n"/>
      <c r="F946" s="9" t="n"/>
      <c r="G946" s="10" t="n"/>
      <c r="H946" s="9" t="n"/>
      <c r="I946" s="9" t="n"/>
      <c r="J946" s="9" t="n"/>
      <c r="K946" s="9" t="n"/>
      <c r="L946">
        <f>IF($A946="","",IF($P946="Yes","Disputed / Review",IF($I946&lt;&gt;"Yes","Not Reimbursable",IF($M946&lt;=0.004,"Pending",IF($N946&lt;=0.004,"Reimbursed","Partially Reimbursed")))))</f>
        <v/>
      </c>
      <c r="M946" s="12">
        <f>IF($A946="",0,SUMIF('Family Contributions'!$I$4:$I$1003,$A946,'Family Contributions'!$G$4:$G$1003))</f>
        <v/>
      </c>
      <c r="N946" s="12">
        <f>IF($A946="",0,IF($I946="Yes",IF(ISNUMBER($G946),$G946,0)-$M946,0))</f>
        <v/>
      </c>
      <c r="O946" s="9" t="n"/>
      <c r="P946" s="9" t="n"/>
    </row>
    <row r="947">
      <c r="A947" s="9" t="n"/>
      <c r="B947" s="19" t="n"/>
      <c r="C947" s="9" t="n"/>
      <c r="D947" s="9" t="n"/>
      <c r="E947" s="9" t="n"/>
      <c r="F947" s="9" t="n"/>
      <c r="G947" s="10" t="n"/>
      <c r="H947" s="9" t="n"/>
      <c r="I947" s="9" t="n"/>
      <c r="J947" s="9" t="n"/>
      <c r="K947" s="9" t="n"/>
      <c r="L947">
        <f>IF($A947="","",IF($P947="Yes","Disputed / Review",IF($I947&lt;&gt;"Yes","Not Reimbursable",IF($M947&lt;=0.004,"Pending",IF($N947&lt;=0.004,"Reimbursed","Partially Reimbursed")))))</f>
        <v/>
      </c>
      <c r="M947" s="12">
        <f>IF($A947="",0,SUMIF('Family Contributions'!$I$4:$I$1003,$A947,'Family Contributions'!$G$4:$G$1003))</f>
        <v/>
      </c>
      <c r="N947" s="12">
        <f>IF($A947="",0,IF($I947="Yes",IF(ISNUMBER($G947),$G947,0)-$M947,0))</f>
        <v/>
      </c>
      <c r="O947" s="9" t="n"/>
      <c r="P947" s="9" t="n"/>
    </row>
    <row r="948">
      <c r="A948" s="9" t="n"/>
      <c r="B948" s="19" t="n"/>
      <c r="C948" s="9" t="n"/>
      <c r="D948" s="9" t="n"/>
      <c r="E948" s="9" t="n"/>
      <c r="F948" s="9" t="n"/>
      <c r="G948" s="10" t="n"/>
      <c r="H948" s="9" t="n"/>
      <c r="I948" s="9" t="n"/>
      <c r="J948" s="9" t="n"/>
      <c r="K948" s="9" t="n"/>
      <c r="L948">
        <f>IF($A948="","",IF($P948="Yes","Disputed / Review",IF($I948&lt;&gt;"Yes","Not Reimbursable",IF($M948&lt;=0.004,"Pending",IF($N948&lt;=0.004,"Reimbursed","Partially Reimbursed")))))</f>
        <v/>
      </c>
      <c r="M948" s="12">
        <f>IF($A948="",0,SUMIF('Family Contributions'!$I$4:$I$1003,$A948,'Family Contributions'!$G$4:$G$1003))</f>
        <v/>
      </c>
      <c r="N948" s="12">
        <f>IF($A948="",0,IF($I948="Yes",IF(ISNUMBER($G948),$G948,0)-$M948,0))</f>
        <v/>
      </c>
      <c r="O948" s="9" t="n"/>
      <c r="P948" s="9" t="n"/>
    </row>
    <row r="949">
      <c r="A949" s="9" t="n"/>
      <c r="B949" s="19" t="n"/>
      <c r="C949" s="9" t="n"/>
      <c r="D949" s="9" t="n"/>
      <c r="E949" s="9" t="n"/>
      <c r="F949" s="9" t="n"/>
      <c r="G949" s="10" t="n"/>
      <c r="H949" s="9" t="n"/>
      <c r="I949" s="9" t="n"/>
      <c r="J949" s="9" t="n"/>
      <c r="K949" s="9" t="n"/>
      <c r="L949">
        <f>IF($A949="","",IF($P949="Yes","Disputed / Review",IF($I949&lt;&gt;"Yes","Not Reimbursable",IF($M949&lt;=0.004,"Pending",IF($N949&lt;=0.004,"Reimbursed","Partially Reimbursed")))))</f>
        <v/>
      </c>
      <c r="M949" s="12">
        <f>IF($A949="",0,SUMIF('Family Contributions'!$I$4:$I$1003,$A949,'Family Contributions'!$G$4:$G$1003))</f>
        <v/>
      </c>
      <c r="N949" s="12">
        <f>IF($A949="",0,IF($I949="Yes",IF(ISNUMBER($G949),$G949,0)-$M949,0))</f>
        <v/>
      </c>
      <c r="O949" s="9" t="n"/>
      <c r="P949" s="9" t="n"/>
    </row>
    <row r="950">
      <c r="A950" s="9" t="n"/>
      <c r="B950" s="19" t="n"/>
      <c r="C950" s="9" t="n"/>
      <c r="D950" s="9" t="n"/>
      <c r="E950" s="9" t="n"/>
      <c r="F950" s="9" t="n"/>
      <c r="G950" s="10" t="n"/>
      <c r="H950" s="9" t="n"/>
      <c r="I950" s="9" t="n"/>
      <c r="J950" s="9" t="n"/>
      <c r="K950" s="9" t="n"/>
      <c r="L950">
        <f>IF($A950="","",IF($P950="Yes","Disputed / Review",IF($I950&lt;&gt;"Yes","Not Reimbursable",IF($M950&lt;=0.004,"Pending",IF($N950&lt;=0.004,"Reimbursed","Partially Reimbursed")))))</f>
        <v/>
      </c>
      <c r="M950" s="12">
        <f>IF($A950="",0,SUMIF('Family Contributions'!$I$4:$I$1003,$A950,'Family Contributions'!$G$4:$G$1003))</f>
        <v/>
      </c>
      <c r="N950" s="12">
        <f>IF($A950="",0,IF($I950="Yes",IF(ISNUMBER($G950),$G950,0)-$M950,0))</f>
        <v/>
      </c>
      <c r="O950" s="9" t="n"/>
      <c r="P950" s="9" t="n"/>
    </row>
    <row r="951">
      <c r="A951" s="9" t="n"/>
      <c r="B951" s="19" t="n"/>
      <c r="C951" s="9" t="n"/>
      <c r="D951" s="9" t="n"/>
      <c r="E951" s="9" t="n"/>
      <c r="F951" s="9" t="n"/>
      <c r="G951" s="10" t="n"/>
      <c r="H951" s="9" t="n"/>
      <c r="I951" s="9" t="n"/>
      <c r="J951" s="9" t="n"/>
      <c r="K951" s="9" t="n"/>
      <c r="L951">
        <f>IF($A951="","",IF($P951="Yes","Disputed / Review",IF($I951&lt;&gt;"Yes","Not Reimbursable",IF($M951&lt;=0.004,"Pending",IF($N951&lt;=0.004,"Reimbursed","Partially Reimbursed")))))</f>
        <v/>
      </c>
      <c r="M951" s="12">
        <f>IF($A951="",0,SUMIF('Family Contributions'!$I$4:$I$1003,$A951,'Family Contributions'!$G$4:$G$1003))</f>
        <v/>
      </c>
      <c r="N951" s="12">
        <f>IF($A951="",0,IF($I951="Yes",IF(ISNUMBER($G951),$G951,0)-$M951,0))</f>
        <v/>
      </c>
      <c r="O951" s="9" t="n"/>
      <c r="P951" s="9" t="n"/>
    </row>
    <row r="952">
      <c r="A952" s="9" t="n"/>
      <c r="B952" s="19" t="n"/>
      <c r="C952" s="9" t="n"/>
      <c r="D952" s="9" t="n"/>
      <c r="E952" s="9" t="n"/>
      <c r="F952" s="9" t="n"/>
      <c r="G952" s="10" t="n"/>
      <c r="H952" s="9" t="n"/>
      <c r="I952" s="9" t="n"/>
      <c r="J952" s="9" t="n"/>
      <c r="K952" s="9" t="n"/>
      <c r="L952">
        <f>IF($A952="","",IF($P952="Yes","Disputed / Review",IF($I952&lt;&gt;"Yes","Not Reimbursable",IF($M952&lt;=0.004,"Pending",IF($N952&lt;=0.004,"Reimbursed","Partially Reimbursed")))))</f>
        <v/>
      </c>
      <c r="M952" s="12">
        <f>IF($A952="",0,SUMIF('Family Contributions'!$I$4:$I$1003,$A952,'Family Contributions'!$G$4:$G$1003))</f>
        <v/>
      </c>
      <c r="N952" s="12">
        <f>IF($A952="",0,IF($I952="Yes",IF(ISNUMBER($G952),$G952,0)-$M952,0))</f>
        <v/>
      </c>
      <c r="O952" s="9" t="n"/>
      <c r="P952" s="9" t="n"/>
    </row>
    <row r="953">
      <c r="A953" s="9" t="n"/>
      <c r="B953" s="19" t="n"/>
      <c r="C953" s="9" t="n"/>
      <c r="D953" s="9" t="n"/>
      <c r="E953" s="9" t="n"/>
      <c r="F953" s="9" t="n"/>
      <c r="G953" s="10" t="n"/>
      <c r="H953" s="9" t="n"/>
      <c r="I953" s="9" t="n"/>
      <c r="J953" s="9" t="n"/>
      <c r="K953" s="9" t="n"/>
      <c r="L953">
        <f>IF($A953="","",IF($P953="Yes","Disputed / Review",IF($I953&lt;&gt;"Yes","Not Reimbursable",IF($M953&lt;=0.004,"Pending",IF($N953&lt;=0.004,"Reimbursed","Partially Reimbursed")))))</f>
        <v/>
      </c>
      <c r="M953" s="12">
        <f>IF($A953="",0,SUMIF('Family Contributions'!$I$4:$I$1003,$A953,'Family Contributions'!$G$4:$G$1003))</f>
        <v/>
      </c>
      <c r="N953" s="12">
        <f>IF($A953="",0,IF($I953="Yes",IF(ISNUMBER($G953),$G953,0)-$M953,0))</f>
        <v/>
      </c>
      <c r="O953" s="9" t="n"/>
      <c r="P953" s="9" t="n"/>
    </row>
    <row r="954">
      <c r="A954" s="9" t="n"/>
      <c r="B954" s="19" t="n"/>
      <c r="C954" s="9" t="n"/>
      <c r="D954" s="9" t="n"/>
      <c r="E954" s="9" t="n"/>
      <c r="F954" s="9" t="n"/>
      <c r="G954" s="10" t="n"/>
      <c r="H954" s="9" t="n"/>
      <c r="I954" s="9" t="n"/>
      <c r="J954" s="9" t="n"/>
      <c r="K954" s="9" t="n"/>
      <c r="L954">
        <f>IF($A954="","",IF($P954="Yes","Disputed / Review",IF($I954&lt;&gt;"Yes","Not Reimbursable",IF($M954&lt;=0.004,"Pending",IF($N954&lt;=0.004,"Reimbursed","Partially Reimbursed")))))</f>
        <v/>
      </c>
      <c r="M954" s="12">
        <f>IF($A954="",0,SUMIF('Family Contributions'!$I$4:$I$1003,$A954,'Family Contributions'!$G$4:$G$1003))</f>
        <v/>
      </c>
      <c r="N954" s="12">
        <f>IF($A954="",0,IF($I954="Yes",IF(ISNUMBER($G954),$G954,0)-$M954,0))</f>
        <v/>
      </c>
      <c r="O954" s="9" t="n"/>
      <c r="P954" s="9" t="n"/>
    </row>
    <row r="955">
      <c r="A955" s="9" t="n"/>
      <c r="B955" s="19" t="n"/>
      <c r="C955" s="9" t="n"/>
      <c r="D955" s="9" t="n"/>
      <c r="E955" s="9" t="n"/>
      <c r="F955" s="9" t="n"/>
      <c r="G955" s="10" t="n"/>
      <c r="H955" s="9" t="n"/>
      <c r="I955" s="9" t="n"/>
      <c r="J955" s="9" t="n"/>
      <c r="K955" s="9" t="n"/>
      <c r="L955">
        <f>IF($A955="","",IF($P955="Yes","Disputed / Review",IF($I955&lt;&gt;"Yes","Not Reimbursable",IF($M955&lt;=0.004,"Pending",IF($N955&lt;=0.004,"Reimbursed","Partially Reimbursed")))))</f>
        <v/>
      </c>
      <c r="M955" s="12">
        <f>IF($A955="",0,SUMIF('Family Contributions'!$I$4:$I$1003,$A955,'Family Contributions'!$G$4:$G$1003))</f>
        <v/>
      </c>
      <c r="N955" s="12">
        <f>IF($A955="",0,IF($I955="Yes",IF(ISNUMBER($G955),$G955,0)-$M955,0))</f>
        <v/>
      </c>
      <c r="O955" s="9" t="n"/>
      <c r="P955" s="9" t="n"/>
    </row>
    <row r="956">
      <c r="A956" s="9" t="n"/>
      <c r="B956" s="19" t="n"/>
      <c r="C956" s="9" t="n"/>
      <c r="D956" s="9" t="n"/>
      <c r="E956" s="9" t="n"/>
      <c r="F956" s="9" t="n"/>
      <c r="G956" s="10" t="n"/>
      <c r="H956" s="9" t="n"/>
      <c r="I956" s="9" t="n"/>
      <c r="J956" s="9" t="n"/>
      <c r="K956" s="9" t="n"/>
      <c r="L956">
        <f>IF($A956="","",IF($P956="Yes","Disputed / Review",IF($I956&lt;&gt;"Yes","Not Reimbursable",IF($M956&lt;=0.004,"Pending",IF($N956&lt;=0.004,"Reimbursed","Partially Reimbursed")))))</f>
        <v/>
      </c>
      <c r="M956" s="12">
        <f>IF($A956="",0,SUMIF('Family Contributions'!$I$4:$I$1003,$A956,'Family Contributions'!$G$4:$G$1003))</f>
        <v/>
      </c>
      <c r="N956" s="12">
        <f>IF($A956="",0,IF($I956="Yes",IF(ISNUMBER($G956),$G956,0)-$M956,0))</f>
        <v/>
      </c>
      <c r="O956" s="9" t="n"/>
      <c r="P956" s="9" t="n"/>
    </row>
    <row r="957">
      <c r="A957" s="9" t="n"/>
      <c r="B957" s="19" t="n"/>
      <c r="C957" s="9" t="n"/>
      <c r="D957" s="9" t="n"/>
      <c r="E957" s="9" t="n"/>
      <c r="F957" s="9" t="n"/>
      <c r="G957" s="10" t="n"/>
      <c r="H957" s="9" t="n"/>
      <c r="I957" s="9" t="n"/>
      <c r="J957" s="9" t="n"/>
      <c r="K957" s="9" t="n"/>
      <c r="L957">
        <f>IF($A957="","",IF($P957="Yes","Disputed / Review",IF($I957&lt;&gt;"Yes","Not Reimbursable",IF($M957&lt;=0.004,"Pending",IF($N957&lt;=0.004,"Reimbursed","Partially Reimbursed")))))</f>
        <v/>
      </c>
      <c r="M957" s="12">
        <f>IF($A957="",0,SUMIF('Family Contributions'!$I$4:$I$1003,$A957,'Family Contributions'!$G$4:$G$1003))</f>
        <v/>
      </c>
      <c r="N957" s="12">
        <f>IF($A957="",0,IF($I957="Yes",IF(ISNUMBER($G957),$G957,0)-$M957,0))</f>
        <v/>
      </c>
      <c r="O957" s="9" t="n"/>
      <c r="P957" s="9" t="n"/>
    </row>
    <row r="958">
      <c r="A958" s="9" t="n"/>
      <c r="B958" s="19" t="n"/>
      <c r="C958" s="9" t="n"/>
      <c r="D958" s="9" t="n"/>
      <c r="E958" s="9" t="n"/>
      <c r="F958" s="9" t="n"/>
      <c r="G958" s="10" t="n"/>
      <c r="H958" s="9" t="n"/>
      <c r="I958" s="9" t="n"/>
      <c r="J958" s="9" t="n"/>
      <c r="K958" s="9" t="n"/>
      <c r="L958">
        <f>IF($A958="","",IF($P958="Yes","Disputed / Review",IF($I958&lt;&gt;"Yes","Not Reimbursable",IF($M958&lt;=0.004,"Pending",IF($N958&lt;=0.004,"Reimbursed","Partially Reimbursed")))))</f>
        <v/>
      </c>
      <c r="M958" s="12">
        <f>IF($A958="",0,SUMIF('Family Contributions'!$I$4:$I$1003,$A958,'Family Contributions'!$G$4:$G$1003))</f>
        <v/>
      </c>
      <c r="N958" s="12">
        <f>IF($A958="",0,IF($I958="Yes",IF(ISNUMBER($G958),$G958,0)-$M958,0))</f>
        <v/>
      </c>
      <c r="O958" s="9" t="n"/>
      <c r="P958" s="9" t="n"/>
    </row>
    <row r="959">
      <c r="A959" s="9" t="n"/>
      <c r="B959" s="19" t="n"/>
      <c r="C959" s="9" t="n"/>
      <c r="D959" s="9" t="n"/>
      <c r="E959" s="9" t="n"/>
      <c r="F959" s="9" t="n"/>
      <c r="G959" s="10" t="n"/>
      <c r="H959" s="9" t="n"/>
      <c r="I959" s="9" t="n"/>
      <c r="J959" s="9" t="n"/>
      <c r="K959" s="9" t="n"/>
      <c r="L959">
        <f>IF($A959="","",IF($P959="Yes","Disputed / Review",IF($I959&lt;&gt;"Yes","Not Reimbursable",IF($M959&lt;=0.004,"Pending",IF($N959&lt;=0.004,"Reimbursed","Partially Reimbursed")))))</f>
        <v/>
      </c>
      <c r="M959" s="12">
        <f>IF($A959="",0,SUMIF('Family Contributions'!$I$4:$I$1003,$A959,'Family Contributions'!$G$4:$G$1003))</f>
        <v/>
      </c>
      <c r="N959" s="12">
        <f>IF($A959="",0,IF($I959="Yes",IF(ISNUMBER($G959),$G959,0)-$M959,0))</f>
        <v/>
      </c>
      <c r="O959" s="9" t="n"/>
      <c r="P959" s="9" t="n"/>
    </row>
    <row r="960">
      <c r="A960" s="9" t="n"/>
      <c r="B960" s="19" t="n"/>
      <c r="C960" s="9" t="n"/>
      <c r="D960" s="9" t="n"/>
      <c r="E960" s="9" t="n"/>
      <c r="F960" s="9" t="n"/>
      <c r="G960" s="10" t="n"/>
      <c r="H960" s="9" t="n"/>
      <c r="I960" s="9" t="n"/>
      <c r="J960" s="9" t="n"/>
      <c r="K960" s="9" t="n"/>
      <c r="L960">
        <f>IF($A960="","",IF($P960="Yes","Disputed / Review",IF($I960&lt;&gt;"Yes","Not Reimbursable",IF($M960&lt;=0.004,"Pending",IF($N960&lt;=0.004,"Reimbursed","Partially Reimbursed")))))</f>
        <v/>
      </c>
      <c r="M960" s="12">
        <f>IF($A960="",0,SUMIF('Family Contributions'!$I$4:$I$1003,$A960,'Family Contributions'!$G$4:$G$1003))</f>
        <v/>
      </c>
      <c r="N960" s="12">
        <f>IF($A960="",0,IF($I960="Yes",IF(ISNUMBER($G960),$G960,0)-$M960,0))</f>
        <v/>
      </c>
      <c r="O960" s="9" t="n"/>
      <c r="P960" s="9" t="n"/>
    </row>
    <row r="961">
      <c r="A961" s="9" t="n"/>
      <c r="B961" s="19" t="n"/>
      <c r="C961" s="9" t="n"/>
      <c r="D961" s="9" t="n"/>
      <c r="E961" s="9" t="n"/>
      <c r="F961" s="9" t="n"/>
      <c r="G961" s="10" t="n"/>
      <c r="H961" s="9" t="n"/>
      <c r="I961" s="9" t="n"/>
      <c r="J961" s="9" t="n"/>
      <c r="K961" s="9" t="n"/>
      <c r="L961">
        <f>IF($A961="","",IF($P961="Yes","Disputed / Review",IF($I961&lt;&gt;"Yes","Not Reimbursable",IF($M961&lt;=0.004,"Pending",IF($N961&lt;=0.004,"Reimbursed","Partially Reimbursed")))))</f>
        <v/>
      </c>
      <c r="M961" s="12">
        <f>IF($A961="",0,SUMIF('Family Contributions'!$I$4:$I$1003,$A961,'Family Contributions'!$G$4:$G$1003))</f>
        <v/>
      </c>
      <c r="N961" s="12">
        <f>IF($A961="",0,IF($I961="Yes",IF(ISNUMBER($G961),$G961,0)-$M961,0))</f>
        <v/>
      </c>
      <c r="O961" s="9" t="n"/>
      <c r="P961" s="9" t="n"/>
    </row>
    <row r="962">
      <c r="A962" s="9" t="n"/>
      <c r="B962" s="19" t="n"/>
      <c r="C962" s="9" t="n"/>
      <c r="D962" s="9" t="n"/>
      <c r="E962" s="9" t="n"/>
      <c r="F962" s="9" t="n"/>
      <c r="G962" s="10" t="n"/>
      <c r="H962" s="9" t="n"/>
      <c r="I962" s="9" t="n"/>
      <c r="J962" s="9" t="n"/>
      <c r="K962" s="9" t="n"/>
      <c r="L962">
        <f>IF($A962="","",IF($P962="Yes","Disputed / Review",IF($I962&lt;&gt;"Yes","Not Reimbursable",IF($M962&lt;=0.004,"Pending",IF($N962&lt;=0.004,"Reimbursed","Partially Reimbursed")))))</f>
        <v/>
      </c>
      <c r="M962" s="12">
        <f>IF($A962="",0,SUMIF('Family Contributions'!$I$4:$I$1003,$A962,'Family Contributions'!$G$4:$G$1003))</f>
        <v/>
      </c>
      <c r="N962" s="12">
        <f>IF($A962="",0,IF($I962="Yes",IF(ISNUMBER($G962),$G962,0)-$M962,0))</f>
        <v/>
      </c>
      <c r="O962" s="9" t="n"/>
      <c r="P962" s="9" t="n"/>
    </row>
    <row r="963">
      <c r="A963" s="9" t="n"/>
      <c r="B963" s="19" t="n"/>
      <c r="C963" s="9" t="n"/>
      <c r="D963" s="9" t="n"/>
      <c r="E963" s="9" t="n"/>
      <c r="F963" s="9" t="n"/>
      <c r="G963" s="10" t="n"/>
      <c r="H963" s="9" t="n"/>
      <c r="I963" s="9" t="n"/>
      <c r="J963" s="9" t="n"/>
      <c r="K963" s="9" t="n"/>
      <c r="L963">
        <f>IF($A963="","",IF($P963="Yes","Disputed / Review",IF($I963&lt;&gt;"Yes","Not Reimbursable",IF($M963&lt;=0.004,"Pending",IF($N963&lt;=0.004,"Reimbursed","Partially Reimbursed")))))</f>
        <v/>
      </c>
      <c r="M963" s="12">
        <f>IF($A963="",0,SUMIF('Family Contributions'!$I$4:$I$1003,$A963,'Family Contributions'!$G$4:$G$1003))</f>
        <v/>
      </c>
      <c r="N963" s="12">
        <f>IF($A963="",0,IF($I963="Yes",IF(ISNUMBER($G963),$G963,0)-$M963,0))</f>
        <v/>
      </c>
      <c r="O963" s="9" t="n"/>
      <c r="P963" s="9" t="n"/>
    </row>
    <row r="964">
      <c r="A964" s="9" t="n"/>
      <c r="B964" s="19" t="n"/>
      <c r="C964" s="9" t="n"/>
      <c r="D964" s="9" t="n"/>
      <c r="E964" s="9" t="n"/>
      <c r="F964" s="9" t="n"/>
      <c r="G964" s="10" t="n"/>
      <c r="H964" s="9" t="n"/>
      <c r="I964" s="9" t="n"/>
      <c r="J964" s="9" t="n"/>
      <c r="K964" s="9" t="n"/>
      <c r="L964">
        <f>IF($A964="","",IF($P964="Yes","Disputed / Review",IF($I964&lt;&gt;"Yes","Not Reimbursable",IF($M964&lt;=0.004,"Pending",IF($N964&lt;=0.004,"Reimbursed","Partially Reimbursed")))))</f>
        <v/>
      </c>
      <c r="M964" s="12">
        <f>IF($A964="",0,SUMIF('Family Contributions'!$I$4:$I$1003,$A964,'Family Contributions'!$G$4:$G$1003))</f>
        <v/>
      </c>
      <c r="N964" s="12">
        <f>IF($A964="",0,IF($I964="Yes",IF(ISNUMBER($G964),$G964,0)-$M964,0))</f>
        <v/>
      </c>
      <c r="O964" s="9" t="n"/>
      <c r="P964" s="9" t="n"/>
    </row>
    <row r="965">
      <c r="A965" s="9" t="n"/>
      <c r="B965" s="19" t="n"/>
      <c r="C965" s="9" t="n"/>
      <c r="D965" s="9" t="n"/>
      <c r="E965" s="9" t="n"/>
      <c r="F965" s="9" t="n"/>
      <c r="G965" s="10" t="n"/>
      <c r="H965" s="9" t="n"/>
      <c r="I965" s="9" t="n"/>
      <c r="J965" s="9" t="n"/>
      <c r="K965" s="9" t="n"/>
      <c r="L965">
        <f>IF($A965="","",IF($P965="Yes","Disputed / Review",IF($I965&lt;&gt;"Yes","Not Reimbursable",IF($M965&lt;=0.004,"Pending",IF($N965&lt;=0.004,"Reimbursed","Partially Reimbursed")))))</f>
        <v/>
      </c>
      <c r="M965" s="12">
        <f>IF($A965="",0,SUMIF('Family Contributions'!$I$4:$I$1003,$A965,'Family Contributions'!$G$4:$G$1003))</f>
        <v/>
      </c>
      <c r="N965" s="12">
        <f>IF($A965="",0,IF($I965="Yes",IF(ISNUMBER($G965),$G965,0)-$M965,0))</f>
        <v/>
      </c>
      <c r="O965" s="9" t="n"/>
      <c r="P965" s="9" t="n"/>
    </row>
    <row r="966">
      <c r="A966" s="9" t="n"/>
      <c r="B966" s="19" t="n"/>
      <c r="C966" s="9" t="n"/>
      <c r="D966" s="9" t="n"/>
      <c r="E966" s="9" t="n"/>
      <c r="F966" s="9" t="n"/>
      <c r="G966" s="10" t="n"/>
      <c r="H966" s="9" t="n"/>
      <c r="I966" s="9" t="n"/>
      <c r="J966" s="9" t="n"/>
      <c r="K966" s="9" t="n"/>
      <c r="L966">
        <f>IF($A966="","",IF($P966="Yes","Disputed / Review",IF($I966&lt;&gt;"Yes","Not Reimbursable",IF($M966&lt;=0.004,"Pending",IF($N966&lt;=0.004,"Reimbursed","Partially Reimbursed")))))</f>
        <v/>
      </c>
      <c r="M966" s="12">
        <f>IF($A966="",0,SUMIF('Family Contributions'!$I$4:$I$1003,$A966,'Family Contributions'!$G$4:$G$1003))</f>
        <v/>
      </c>
      <c r="N966" s="12">
        <f>IF($A966="",0,IF($I966="Yes",IF(ISNUMBER($G966),$G966,0)-$M966,0))</f>
        <v/>
      </c>
      <c r="O966" s="9" t="n"/>
      <c r="P966" s="9" t="n"/>
    </row>
    <row r="967">
      <c r="A967" s="9" t="n"/>
      <c r="B967" s="19" t="n"/>
      <c r="C967" s="9" t="n"/>
      <c r="D967" s="9" t="n"/>
      <c r="E967" s="9" t="n"/>
      <c r="F967" s="9" t="n"/>
      <c r="G967" s="10" t="n"/>
      <c r="H967" s="9" t="n"/>
      <c r="I967" s="9" t="n"/>
      <c r="J967" s="9" t="n"/>
      <c r="K967" s="9" t="n"/>
      <c r="L967">
        <f>IF($A967="","",IF($P967="Yes","Disputed / Review",IF($I967&lt;&gt;"Yes","Not Reimbursable",IF($M967&lt;=0.004,"Pending",IF($N967&lt;=0.004,"Reimbursed","Partially Reimbursed")))))</f>
        <v/>
      </c>
      <c r="M967" s="12">
        <f>IF($A967="",0,SUMIF('Family Contributions'!$I$4:$I$1003,$A967,'Family Contributions'!$G$4:$G$1003))</f>
        <v/>
      </c>
      <c r="N967" s="12">
        <f>IF($A967="",0,IF($I967="Yes",IF(ISNUMBER($G967),$G967,0)-$M967,0))</f>
        <v/>
      </c>
      <c r="O967" s="9" t="n"/>
      <c r="P967" s="9" t="n"/>
    </row>
    <row r="968">
      <c r="A968" s="9" t="n"/>
      <c r="B968" s="19" t="n"/>
      <c r="C968" s="9" t="n"/>
      <c r="D968" s="9" t="n"/>
      <c r="E968" s="9" t="n"/>
      <c r="F968" s="9" t="n"/>
      <c r="G968" s="10" t="n"/>
      <c r="H968" s="9" t="n"/>
      <c r="I968" s="9" t="n"/>
      <c r="J968" s="9" t="n"/>
      <c r="K968" s="9" t="n"/>
      <c r="L968">
        <f>IF($A968="","",IF($P968="Yes","Disputed / Review",IF($I968&lt;&gt;"Yes","Not Reimbursable",IF($M968&lt;=0.004,"Pending",IF($N968&lt;=0.004,"Reimbursed","Partially Reimbursed")))))</f>
        <v/>
      </c>
      <c r="M968" s="12">
        <f>IF($A968="",0,SUMIF('Family Contributions'!$I$4:$I$1003,$A968,'Family Contributions'!$G$4:$G$1003))</f>
        <v/>
      </c>
      <c r="N968" s="12">
        <f>IF($A968="",0,IF($I968="Yes",IF(ISNUMBER($G968),$G968,0)-$M968,0))</f>
        <v/>
      </c>
      <c r="O968" s="9" t="n"/>
      <c r="P968" s="9" t="n"/>
    </row>
    <row r="969">
      <c r="A969" s="9" t="n"/>
      <c r="B969" s="19" t="n"/>
      <c r="C969" s="9" t="n"/>
      <c r="D969" s="9" t="n"/>
      <c r="E969" s="9" t="n"/>
      <c r="F969" s="9" t="n"/>
      <c r="G969" s="10" t="n"/>
      <c r="H969" s="9" t="n"/>
      <c r="I969" s="9" t="n"/>
      <c r="J969" s="9" t="n"/>
      <c r="K969" s="9" t="n"/>
      <c r="L969">
        <f>IF($A969="","",IF($P969="Yes","Disputed / Review",IF($I969&lt;&gt;"Yes","Not Reimbursable",IF($M969&lt;=0.004,"Pending",IF($N969&lt;=0.004,"Reimbursed","Partially Reimbursed")))))</f>
        <v/>
      </c>
      <c r="M969" s="12">
        <f>IF($A969="",0,SUMIF('Family Contributions'!$I$4:$I$1003,$A969,'Family Contributions'!$G$4:$G$1003))</f>
        <v/>
      </c>
      <c r="N969" s="12">
        <f>IF($A969="",0,IF($I969="Yes",IF(ISNUMBER($G969),$G969,0)-$M969,0))</f>
        <v/>
      </c>
      <c r="O969" s="9" t="n"/>
      <c r="P969" s="9" t="n"/>
    </row>
    <row r="970">
      <c r="A970" s="9" t="n"/>
      <c r="B970" s="19" t="n"/>
      <c r="C970" s="9" t="n"/>
      <c r="D970" s="9" t="n"/>
      <c r="E970" s="9" t="n"/>
      <c r="F970" s="9" t="n"/>
      <c r="G970" s="10" t="n"/>
      <c r="H970" s="9" t="n"/>
      <c r="I970" s="9" t="n"/>
      <c r="J970" s="9" t="n"/>
      <c r="K970" s="9" t="n"/>
      <c r="L970">
        <f>IF($A970="","",IF($P970="Yes","Disputed / Review",IF($I970&lt;&gt;"Yes","Not Reimbursable",IF($M970&lt;=0.004,"Pending",IF($N970&lt;=0.004,"Reimbursed","Partially Reimbursed")))))</f>
        <v/>
      </c>
      <c r="M970" s="12">
        <f>IF($A970="",0,SUMIF('Family Contributions'!$I$4:$I$1003,$A970,'Family Contributions'!$G$4:$G$1003))</f>
        <v/>
      </c>
      <c r="N970" s="12">
        <f>IF($A970="",0,IF($I970="Yes",IF(ISNUMBER($G970),$G970,0)-$M970,0))</f>
        <v/>
      </c>
      <c r="O970" s="9" t="n"/>
      <c r="P970" s="9" t="n"/>
    </row>
    <row r="971">
      <c r="A971" s="9" t="n"/>
      <c r="B971" s="19" t="n"/>
      <c r="C971" s="9" t="n"/>
      <c r="D971" s="9" t="n"/>
      <c r="E971" s="9" t="n"/>
      <c r="F971" s="9" t="n"/>
      <c r="G971" s="10" t="n"/>
      <c r="H971" s="9" t="n"/>
      <c r="I971" s="9" t="n"/>
      <c r="J971" s="9" t="n"/>
      <c r="K971" s="9" t="n"/>
      <c r="L971">
        <f>IF($A971="","",IF($P971="Yes","Disputed / Review",IF($I971&lt;&gt;"Yes","Not Reimbursable",IF($M971&lt;=0.004,"Pending",IF($N971&lt;=0.004,"Reimbursed","Partially Reimbursed")))))</f>
        <v/>
      </c>
      <c r="M971" s="12">
        <f>IF($A971="",0,SUMIF('Family Contributions'!$I$4:$I$1003,$A971,'Family Contributions'!$G$4:$G$1003))</f>
        <v/>
      </c>
      <c r="N971" s="12">
        <f>IF($A971="",0,IF($I971="Yes",IF(ISNUMBER($G971),$G971,0)-$M971,0))</f>
        <v/>
      </c>
      <c r="O971" s="9" t="n"/>
      <c r="P971" s="9" t="n"/>
    </row>
    <row r="972">
      <c r="A972" s="9" t="n"/>
      <c r="B972" s="19" t="n"/>
      <c r="C972" s="9" t="n"/>
      <c r="D972" s="9" t="n"/>
      <c r="E972" s="9" t="n"/>
      <c r="F972" s="9" t="n"/>
      <c r="G972" s="10" t="n"/>
      <c r="H972" s="9" t="n"/>
      <c r="I972" s="9" t="n"/>
      <c r="J972" s="9" t="n"/>
      <c r="K972" s="9" t="n"/>
      <c r="L972">
        <f>IF($A972="","",IF($P972="Yes","Disputed / Review",IF($I972&lt;&gt;"Yes","Not Reimbursable",IF($M972&lt;=0.004,"Pending",IF($N972&lt;=0.004,"Reimbursed","Partially Reimbursed")))))</f>
        <v/>
      </c>
      <c r="M972" s="12">
        <f>IF($A972="",0,SUMIF('Family Contributions'!$I$4:$I$1003,$A972,'Family Contributions'!$G$4:$G$1003))</f>
        <v/>
      </c>
      <c r="N972" s="12">
        <f>IF($A972="",0,IF($I972="Yes",IF(ISNUMBER($G972),$G972,0)-$M972,0))</f>
        <v/>
      </c>
      <c r="O972" s="9" t="n"/>
      <c r="P972" s="9" t="n"/>
    </row>
    <row r="973">
      <c r="A973" s="9" t="n"/>
      <c r="B973" s="19" t="n"/>
      <c r="C973" s="9" t="n"/>
      <c r="D973" s="9" t="n"/>
      <c r="E973" s="9" t="n"/>
      <c r="F973" s="9" t="n"/>
      <c r="G973" s="10" t="n"/>
      <c r="H973" s="9" t="n"/>
      <c r="I973" s="9" t="n"/>
      <c r="J973" s="9" t="n"/>
      <c r="K973" s="9" t="n"/>
      <c r="L973">
        <f>IF($A973="","",IF($P973="Yes","Disputed / Review",IF($I973&lt;&gt;"Yes","Not Reimbursable",IF($M973&lt;=0.004,"Pending",IF($N973&lt;=0.004,"Reimbursed","Partially Reimbursed")))))</f>
        <v/>
      </c>
      <c r="M973" s="12">
        <f>IF($A973="",0,SUMIF('Family Contributions'!$I$4:$I$1003,$A973,'Family Contributions'!$G$4:$G$1003))</f>
        <v/>
      </c>
      <c r="N973" s="12">
        <f>IF($A973="",0,IF($I973="Yes",IF(ISNUMBER($G973),$G973,0)-$M973,0))</f>
        <v/>
      </c>
      <c r="O973" s="9" t="n"/>
      <c r="P973" s="9" t="n"/>
    </row>
    <row r="974">
      <c r="A974" s="9" t="n"/>
      <c r="B974" s="19" t="n"/>
      <c r="C974" s="9" t="n"/>
      <c r="D974" s="9" t="n"/>
      <c r="E974" s="9" t="n"/>
      <c r="F974" s="9" t="n"/>
      <c r="G974" s="10" t="n"/>
      <c r="H974" s="9" t="n"/>
      <c r="I974" s="9" t="n"/>
      <c r="J974" s="9" t="n"/>
      <c r="K974" s="9" t="n"/>
      <c r="L974">
        <f>IF($A974="","",IF($P974="Yes","Disputed / Review",IF($I974&lt;&gt;"Yes","Not Reimbursable",IF($M974&lt;=0.004,"Pending",IF($N974&lt;=0.004,"Reimbursed","Partially Reimbursed")))))</f>
        <v/>
      </c>
      <c r="M974" s="12">
        <f>IF($A974="",0,SUMIF('Family Contributions'!$I$4:$I$1003,$A974,'Family Contributions'!$G$4:$G$1003))</f>
        <v/>
      </c>
      <c r="N974" s="12">
        <f>IF($A974="",0,IF($I974="Yes",IF(ISNUMBER($G974),$G974,0)-$M974,0))</f>
        <v/>
      </c>
      <c r="O974" s="9" t="n"/>
      <c r="P974" s="9" t="n"/>
    </row>
    <row r="975">
      <c r="A975" s="9" t="n"/>
      <c r="B975" s="19" t="n"/>
      <c r="C975" s="9" t="n"/>
      <c r="D975" s="9" t="n"/>
      <c r="E975" s="9" t="n"/>
      <c r="F975" s="9" t="n"/>
      <c r="G975" s="10" t="n"/>
      <c r="H975" s="9" t="n"/>
      <c r="I975" s="9" t="n"/>
      <c r="J975" s="9" t="n"/>
      <c r="K975" s="9" t="n"/>
      <c r="L975">
        <f>IF($A975="","",IF($P975="Yes","Disputed / Review",IF($I975&lt;&gt;"Yes","Not Reimbursable",IF($M975&lt;=0.004,"Pending",IF($N975&lt;=0.004,"Reimbursed","Partially Reimbursed")))))</f>
        <v/>
      </c>
      <c r="M975" s="12">
        <f>IF($A975="",0,SUMIF('Family Contributions'!$I$4:$I$1003,$A975,'Family Contributions'!$G$4:$G$1003))</f>
        <v/>
      </c>
      <c r="N975" s="12">
        <f>IF($A975="",0,IF($I975="Yes",IF(ISNUMBER($G975),$G975,0)-$M975,0))</f>
        <v/>
      </c>
      <c r="O975" s="9" t="n"/>
      <c r="P975" s="9" t="n"/>
    </row>
    <row r="976">
      <c r="A976" s="9" t="n"/>
      <c r="B976" s="19" t="n"/>
      <c r="C976" s="9" t="n"/>
      <c r="D976" s="9" t="n"/>
      <c r="E976" s="9" t="n"/>
      <c r="F976" s="9" t="n"/>
      <c r="G976" s="10" t="n"/>
      <c r="H976" s="9" t="n"/>
      <c r="I976" s="9" t="n"/>
      <c r="J976" s="9" t="n"/>
      <c r="K976" s="9" t="n"/>
      <c r="L976">
        <f>IF($A976="","",IF($P976="Yes","Disputed / Review",IF($I976&lt;&gt;"Yes","Not Reimbursable",IF($M976&lt;=0.004,"Pending",IF($N976&lt;=0.004,"Reimbursed","Partially Reimbursed")))))</f>
        <v/>
      </c>
      <c r="M976" s="12">
        <f>IF($A976="",0,SUMIF('Family Contributions'!$I$4:$I$1003,$A976,'Family Contributions'!$G$4:$G$1003))</f>
        <v/>
      </c>
      <c r="N976" s="12">
        <f>IF($A976="",0,IF($I976="Yes",IF(ISNUMBER($G976),$G976,0)-$M976,0))</f>
        <v/>
      </c>
      <c r="O976" s="9" t="n"/>
      <c r="P976" s="9" t="n"/>
    </row>
    <row r="977">
      <c r="A977" s="9" t="n"/>
      <c r="B977" s="19" t="n"/>
      <c r="C977" s="9" t="n"/>
      <c r="D977" s="9" t="n"/>
      <c r="E977" s="9" t="n"/>
      <c r="F977" s="9" t="n"/>
      <c r="G977" s="10" t="n"/>
      <c r="H977" s="9" t="n"/>
      <c r="I977" s="9" t="n"/>
      <c r="J977" s="9" t="n"/>
      <c r="K977" s="9" t="n"/>
      <c r="L977">
        <f>IF($A977="","",IF($P977="Yes","Disputed / Review",IF($I977&lt;&gt;"Yes","Not Reimbursable",IF($M977&lt;=0.004,"Pending",IF($N977&lt;=0.004,"Reimbursed","Partially Reimbursed")))))</f>
        <v/>
      </c>
      <c r="M977" s="12">
        <f>IF($A977="",0,SUMIF('Family Contributions'!$I$4:$I$1003,$A977,'Family Contributions'!$G$4:$G$1003))</f>
        <v/>
      </c>
      <c r="N977" s="12">
        <f>IF($A977="",0,IF($I977="Yes",IF(ISNUMBER($G977),$G977,0)-$M977,0))</f>
        <v/>
      </c>
      <c r="O977" s="9" t="n"/>
      <c r="P977" s="9" t="n"/>
    </row>
    <row r="978">
      <c r="A978" s="9" t="n"/>
      <c r="B978" s="19" t="n"/>
      <c r="C978" s="9" t="n"/>
      <c r="D978" s="9" t="n"/>
      <c r="E978" s="9" t="n"/>
      <c r="F978" s="9" t="n"/>
      <c r="G978" s="10" t="n"/>
      <c r="H978" s="9" t="n"/>
      <c r="I978" s="9" t="n"/>
      <c r="J978" s="9" t="n"/>
      <c r="K978" s="9" t="n"/>
      <c r="L978">
        <f>IF($A978="","",IF($P978="Yes","Disputed / Review",IF($I978&lt;&gt;"Yes","Not Reimbursable",IF($M978&lt;=0.004,"Pending",IF($N978&lt;=0.004,"Reimbursed","Partially Reimbursed")))))</f>
        <v/>
      </c>
      <c r="M978" s="12">
        <f>IF($A978="",0,SUMIF('Family Contributions'!$I$4:$I$1003,$A978,'Family Contributions'!$G$4:$G$1003))</f>
        <v/>
      </c>
      <c r="N978" s="12">
        <f>IF($A978="",0,IF($I978="Yes",IF(ISNUMBER($G978),$G978,0)-$M978,0))</f>
        <v/>
      </c>
      <c r="O978" s="9" t="n"/>
      <c r="P978" s="9" t="n"/>
    </row>
    <row r="979">
      <c r="A979" s="9" t="n"/>
      <c r="B979" s="19" t="n"/>
      <c r="C979" s="9" t="n"/>
      <c r="D979" s="9" t="n"/>
      <c r="E979" s="9" t="n"/>
      <c r="F979" s="9" t="n"/>
      <c r="G979" s="10" t="n"/>
      <c r="H979" s="9" t="n"/>
      <c r="I979" s="9" t="n"/>
      <c r="J979" s="9" t="n"/>
      <c r="K979" s="9" t="n"/>
      <c r="L979">
        <f>IF($A979="","",IF($P979="Yes","Disputed / Review",IF($I979&lt;&gt;"Yes","Not Reimbursable",IF($M979&lt;=0.004,"Pending",IF($N979&lt;=0.004,"Reimbursed","Partially Reimbursed")))))</f>
        <v/>
      </c>
      <c r="M979" s="12">
        <f>IF($A979="",0,SUMIF('Family Contributions'!$I$4:$I$1003,$A979,'Family Contributions'!$G$4:$G$1003))</f>
        <v/>
      </c>
      <c r="N979" s="12">
        <f>IF($A979="",0,IF($I979="Yes",IF(ISNUMBER($G979),$G979,0)-$M979,0))</f>
        <v/>
      </c>
      <c r="O979" s="9" t="n"/>
      <c r="P979" s="9" t="n"/>
    </row>
    <row r="980">
      <c r="A980" s="9" t="n"/>
      <c r="B980" s="19" t="n"/>
      <c r="C980" s="9" t="n"/>
      <c r="D980" s="9" t="n"/>
      <c r="E980" s="9" t="n"/>
      <c r="F980" s="9" t="n"/>
      <c r="G980" s="10" t="n"/>
      <c r="H980" s="9" t="n"/>
      <c r="I980" s="9" t="n"/>
      <c r="J980" s="9" t="n"/>
      <c r="K980" s="9" t="n"/>
      <c r="L980">
        <f>IF($A980="","",IF($P980="Yes","Disputed / Review",IF($I980&lt;&gt;"Yes","Not Reimbursable",IF($M980&lt;=0.004,"Pending",IF($N980&lt;=0.004,"Reimbursed","Partially Reimbursed")))))</f>
        <v/>
      </c>
      <c r="M980" s="12">
        <f>IF($A980="",0,SUMIF('Family Contributions'!$I$4:$I$1003,$A980,'Family Contributions'!$G$4:$G$1003))</f>
        <v/>
      </c>
      <c r="N980" s="12">
        <f>IF($A980="",0,IF($I980="Yes",IF(ISNUMBER($G980),$G980,0)-$M980,0))</f>
        <v/>
      </c>
      <c r="O980" s="9" t="n"/>
      <c r="P980" s="9" t="n"/>
    </row>
    <row r="981">
      <c r="A981" s="9" t="n"/>
      <c r="B981" s="19" t="n"/>
      <c r="C981" s="9" t="n"/>
      <c r="D981" s="9" t="n"/>
      <c r="E981" s="9" t="n"/>
      <c r="F981" s="9" t="n"/>
      <c r="G981" s="10" t="n"/>
      <c r="H981" s="9" t="n"/>
      <c r="I981" s="9" t="n"/>
      <c r="J981" s="9" t="n"/>
      <c r="K981" s="9" t="n"/>
      <c r="L981">
        <f>IF($A981="","",IF($P981="Yes","Disputed / Review",IF($I981&lt;&gt;"Yes","Not Reimbursable",IF($M981&lt;=0.004,"Pending",IF($N981&lt;=0.004,"Reimbursed","Partially Reimbursed")))))</f>
        <v/>
      </c>
      <c r="M981" s="12">
        <f>IF($A981="",0,SUMIF('Family Contributions'!$I$4:$I$1003,$A981,'Family Contributions'!$G$4:$G$1003))</f>
        <v/>
      </c>
      <c r="N981" s="12">
        <f>IF($A981="",0,IF($I981="Yes",IF(ISNUMBER($G981),$G981,0)-$M981,0))</f>
        <v/>
      </c>
      <c r="O981" s="9" t="n"/>
      <c r="P981" s="9" t="n"/>
    </row>
    <row r="982">
      <c r="A982" s="9" t="n"/>
      <c r="B982" s="19" t="n"/>
      <c r="C982" s="9" t="n"/>
      <c r="D982" s="9" t="n"/>
      <c r="E982" s="9" t="n"/>
      <c r="F982" s="9" t="n"/>
      <c r="G982" s="10" t="n"/>
      <c r="H982" s="9" t="n"/>
      <c r="I982" s="9" t="n"/>
      <c r="J982" s="9" t="n"/>
      <c r="K982" s="9" t="n"/>
      <c r="L982">
        <f>IF($A982="","",IF($P982="Yes","Disputed / Review",IF($I982&lt;&gt;"Yes","Not Reimbursable",IF($M982&lt;=0.004,"Pending",IF($N982&lt;=0.004,"Reimbursed","Partially Reimbursed")))))</f>
        <v/>
      </c>
      <c r="M982" s="12">
        <f>IF($A982="",0,SUMIF('Family Contributions'!$I$4:$I$1003,$A982,'Family Contributions'!$G$4:$G$1003))</f>
        <v/>
      </c>
      <c r="N982" s="12">
        <f>IF($A982="",0,IF($I982="Yes",IF(ISNUMBER($G982),$G982,0)-$M982,0))</f>
        <v/>
      </c>
      <c r="O982" s="9" t="n"/>
      <c r="P982" s="9" t="n"/>
    </row>
    <row r="983">
      <c r="A983" s="9" t="n"/>
      <c r="B983" s="19" t="n"/>
      <c r="C983" s="9" t="n"/>
      <c r="D983" s="9" t="n"/>
      <c r="E983" s="9" t="n"/>
      <c r="F983" s="9" t="n"/>
      <c r="G983" s="10" t="n"/>
      <c r="H983" s="9" t="n"/>
      <c r="I983" s="9" t="n"/>
      <c r="J983" s="9" t="n"/>
      <c r="K983" s="9" t="n"/>
      <c r="L983">
        <f>IF($A983="","",IF($P983="Yes","Disputed / Review",IF($I983&lt;&gt;"Yes","Not Reimbursable",IF($M983&lt;=0.004,"Pending",IF($N983&lt;=0.004,"Reimbursed","Partially Reimbursed")))))</f>
        <v/>
      </c>
      <c r="M983" s="12">
        <f>IF($A983="",0,SUMIF('Family Contributions'!$I$4:$I$1003,$A983,'Family Contributions'!$G$4:$G$1003))</f>
        <v/>
      </c>
      <c r="N983" s="12">
        <f>IF($A983="",0,IF($I983="Yes",IF(ISNUMBER($G983),$G983,0)-$M983,0))</f>
        <v/>
      </c>
      <c r="O983" s="9" t="n"/>
      <c r="P983" s="9" t="n"/>
    </row>
    <row r="984">
      <c r="A984" s="9" t="n"/>
      <c r="B984" s="19" t="n"/>
      <c r="C984" s="9" t="n"/>
      <c r="D984" s="9" t="n"/>
      <c r="E984" s="9" t="n"/>
      <c r="F984" s="9" t="n"/>
      <c r="G984" s="10" t="n"/>
      <c r="H984" s="9" t="n"/>
      <c r="I984" s="9" t="n"/>
      <c r="J984" s="9" t="n"/>
      <c r="K984" s="9" t="n"/>
      <c r="L984">
        <f>IF($A984="","",IF($P984="Yes","Disputed / Review",IF($I984&lt;&gt;"Yes","Not Reimbursable",IF($M984&lt;=0.004,"Pending",IF($N984&lt;=0.004,"Reimbursed","Partially Reimbursed")))))</f>
        <v/>
      </c>
      <c r="M984" s="12">
        <f>IF($A984="",0,SUMIF('Family Contributions'!$I$4:$I$1003,$A984,'Family Contributions'!$G$4:$G$1003))</f>
        <v/>
      </c>
      <c r="N984" s="12">
        <f>IF($A984="",0,IF($I984="Yes",IF(ISNUMBER($G984),$G984,0)-$M984,0))</f>
        <v/>
      </c>
      <c r="O984" s="9" t="n"/>
      <c r="P984" s="9" t="n"/>
    </row>
    <row r="985">
      <c r="A985" s="9" t="n"/>
      <c r="B985" s="19" t="n"/>
      <c r="C985" s="9" t="n"/>
      <c r="D985" s="9" t="n"/>
      <c r="E985" s="9" t="n"/>
      <c r="F985" s="9" t="n"/>
      <c r="G985" s="10" t="n"/>
      <c r="H985" s="9" t="n"/>
      <c r="I985" s="9" t="n"/>
      <c r="J985" s="9" t="n"/>
      <c r="K985" s="9" t="n"/>
      <c r="L985">
        <f>IF($A985="","",IF($P985="Yes","Disputed / Review",IF($I985&lt;&gt;"Yes","Not Reimbursable",IF($M985&lt;=0.004,"Pending",IF($N985&lt;=0.004,"Reimbursed","Partially Reimbursed")))))</f>
        <v/>
      </c>
      <c r="M985" s="12">
        <f>IF($A985="",0,SUMIF('Family Contributions'!$I$4:$I$1003,$A985,'Family Contributions'!$G$4:$G$1003))</f>
        <v/>
      </c>
      <c r="N985" s="12">
        <f>IF($A985="",0,IF($I985="Yes",IF(ISNUMBER($G985),$G985,0)-$M985,0))</f>
        <v/>
      </c>
      <c r="O985" s="9" t="n"/>
      <c r="P985" s="9" t="n"/>
    </row>
    <row r="986">
      <c r="A986" s="9" t="n"/>
      <c r="B986" s="19" t="n"/>
      <c r="C986" s="9" t="n"/>
      <c r="D986" s="9" t="n"/>
      <c r="E986" s="9" t="n"/>
      <c r="F986" s="9" t="n"/>
      <c r="G986" s="10" t="n"/>
      <c r="H986" s="9" t="n"/>
      <c r="I986" s="9" t="n"/>
      <c r="J986" s="9" t="n"/>
      <c r="K986" s="9" t="n"/>
      <c r="L986">
        <f>IF($A986="","",IF($P986="Yes","Disputed / Review",IF($I986&lt;&gt;"Yes","Not Reimbursable",IF($M986&lt;=0.004,"Pending",IF($N986&lt;=0.004,"Reimbursed","Partially Reimbursed")))))</f>
        <v/>
      </c>
      <c r="M986" s="12">
        <f>IF($A986="",0,SUMIF('Family Contributions'!$I$4:$I$1003,$A986,'Family Contributions'!$G$4:$G$1003))</f>
        <v/>
      </c>
      <c r="N986" s="12">
        <f>IF($A986="",0,IF($I986="Yes",IF(ISNUMBER($G986),$G986,0)-$M986,0))</f>
        <v/>
      </c>
      <c r="O986" s="9" t="n"/>
      <c r="P986" s="9" t="n"/>
    </row>
    <row r="987">
      <c r="A987" s="9" t="n"/>
      <c r="B987" s="19" t="n"/>
      <c r="C987" s="9" t="n"/>
      <c r="D987" s="9" t="n"/>
      <c r="E987" s="9" t="n"/>
      <c r="F987" s="9" t="n"/>
      <c r="G987" s="10" t="n"/>
      <c r="H987" s="9" t="n"/>
      <c r="I987" s="9" t="n"/>
      <c r="J987" s="9" t="n"/>
      <c r="K987" s="9" t="n"/>
      <c r="L987">
        <f>IF($A987="","",IF($P987="Yes","Disputed / Review",IF($I987&lt;&gt;"Yes","Not Reimbursable",IF($M987&lt;=0.004,"Pending",IF($N987&lt;=0.004,"Reimbursed","Partially Reimbursed")))))</f>
        <v/>
      </c>
      <c r="M987" s="12">
        <f>IF($A987="",0,SUMIF('Family Contributions'!$I$4:$I$1003,$A987,'Family Contributions'!$G$4:$G$1003))</f>
        <v/>
      </c>
      <c r="N987" s="12">
        <f>IF($A987="",0,IF($I987="Yes",IF(ISNUMBER($G987),$G987,0)-$M987,0))</f>
        <v/>
      </c>
      <c r="O987" s="9" t="n"/>
      <c r="P987" s="9" t="n"/>
    </row>
    <row r="988">
      <c r="A988" s="9" t="n"/>
      <c r="B988" s="19" t="n"/>
      <c r="C988" s="9" t="n"/>
      <c r="D988" s="9" t="n"/>
      <c r="E988" s="9" t="n"/>
      <c r="F988" s="9" t="n"/>
      <c r="G988" s="10" t="n"/>
      <c r="H988" s="9" t="n"/>
      <c r="I988" s="9" t="n"/>
      <c r="J988" s="9" t="n"/>
      <c r="K988" s="9" t="n"/>
      <c r="L988">
        <f>IF($A988="","",IF($P988="Yes","Disputed / Review",IF($I988&lt;&gt;"Yes","Not Reimbursable",IF($M988&lt;=0.004,"Pending",IF($N988&lt;=0.004,"Reimbursed","Partially Reimbursed")))))</f>
        <v/>
      </c>
      <c r="M988" s="12">
        <f>IF($A988="",0,SUMIF('Family Contributions'!$I$4:$I$1003,$A988,'Family Contributions'!$G$4:$G$1003))</f>
        <v/>
      </c>
      <c r="N988" s="12">
        <f>IF($A988="",0,IF($I988="Yes",IF(ISNUMBER($G988),$G988,0)-$M988,0))</f>
        <v/>
      </c>
      <c r="O988" s="9" t="n"/>
      <c r="P988" s="9" t="n"/>
    </row>
    <row r="989">
      <c r="A989" s="9" t="n"/>
      <c r="B989" s="19" t="n"/>
      <c r="C989" s="9" t="n"/>
      <c r="D989" s="9" t="n"/>
      <c r="E989" s="9" t="n"/>
      <c r="F989" s="9" t="n"/>
      <c r="G989" s="10" t="n"/>
      <c r="H989" s="9" t="n"/>
      <c r="I989" s="9" t="n"/>
      <c r="J989" s="9" t="n"/>
      <c r="K989" s="9" t="n"/>
      <c r="L989">
        <f>IF($A989="","",IF($P989="Yes","Disputed / Review",IF($I989&lt;&gt;"Yes","Not Reimbursable",IF($M989&lt;=0.004,"Pending",IF($N989&lt;=0.004,"Reimbursed","Partially Reimbursed")))))</f>
        <v/>
      </c>
      <c r="M989" s="12">
        <f>IF($A989="",0,SUMIF('Family Contributions'!$I$4:$I$1003,$A989,'Family Contributions'!$G$4:$G$1003))</f>
        <v/>
      </c>
      <c r="N989" s="12">
        <f>IF($A989="",0,IF($I989="Yes",IF(ISNUMBER($G989),$G989,0)-$M989,0))</f>
        <v/>
      </c>
      <c r="O989" s="9" t="n"/>
      <c r="P989" s="9" t="n"/>
    </row>
    <row r="990">
      <c r="A990" s="9" t="n"/>
      <c r="B990" s="19" t="n"/>
      <c r="C990" s="9" t="n"/>
      <c r="D990" s="9" t="n"/>
      <c r="E990" s="9" t="n"/>
      <c r="F990" s="9" t="n"/>
      <c r="G990" s="10" t="n"/>
      <c r="H990" s="9" t="n"/>
      <c r="I990" s="9" t="n"/>
      <c r="J990" s="9" t="n"/>
      <c r="K990" s="9" t="n"/>
      <c r="L990">
        <f>IF($A990="","",IF($P990="Yes","Disputed / Review",IF($I990&lt;&gt;"Yes","Not Reimbursable",IF($M990&lt;=0.004,"Pending",IF($N990&lt;=0.004,"Reimbursed","Partially Reimbursed")))))</f>
        <v/>
      </c>
      <c r="M990" s="12">
        <f>IF($A990="",0,SUMIF('Family Contributions'!$I$4:$I$1003,$A990,'Family Contributions'!$G$4:$G$1003))</f>
        <v/>
      </c>
      <c r="N990" s="12">
        <f>IF($A990="",0,IF($I990="Yes",IF(ISNUMBER($G990),$G990,0)-$M990,0))</f>
        <v/>
      </c>
      <c r="O990" s="9" t="n"/>
      <c r="P990" s="9" t="n"/>
    </row>
    <row r="991">
      <c r="A991" s="9" t="n"/>
      <c r="B991" s="19" t="n"/>
      <c r="C991" s="9" t="n"/>
      <c r="D991" s="9" t="n"/>
      <c r="E991" s="9" t="n"/>
      <c r="F991" s="9" t="n"/>
      <c r="G991" s="10" t="n"/>
      <c r="H991" s="9" t="n"/>
      <c r="I991" s="9" t="n"/>
      <c r="J991" s="9" t="n"/>
      <c r="K991" s="9" t="n"/>
      <c r="L991">
        <f>IF($A991="","",IF($P991="Yes","Disputed / Review",IF($I991&lt;&gt;"Yes","Not Reimbursable",IF($M991&lt;=0.004,"Pending",IF($N991&lt;=0.004,"Reimbursed","Partially Reimbursed")))))</f>
        <v/>
      </c>
      <c r="M991" s="12">
        <f>IF($A991="",0,SUMIF('Family Contributions'!$I$4:$I$1003,$A991,'Family Contributions'!$G$4:$G$1003))</f>
        <v/>
      </c>
      <c r="N991" s="12">
        <f>IF($A991="",0,IF($I991="Yes",IF(ISNUMBER($G991),$G991,0)-$M991,0))</f>
        <v/>
      </c>
      <c r="O991" s="9" t="n"/>
      <c r="P991" s="9" t="n"/>
    </row>
    <row r="992">
      <c r="A992" s="9" t="n"/>
      <c r="B992" s="19" t="n"/>
      <c r="C992" s="9" t="n"/>
      <c r="D992" s="9" t="n"/>
      <c r="E992" s="9" t="n"/>
      <c r="F992" s="9" t="n"/>
      <c r="G992" s="10" t="n"/>
      <c r="H992" s="9" t="n"/>
      <c r="I992" s="9" t="n"/>
      <c r="J992" s="9" t="n"/>
      <c r="K992" s="9" t="n"/>
      <c r="L992">
        <f>IF($A992="","",IF($P992="Yes","Disputed / Review",IF($I992&lt;&gt;"Yes","Not Reimbursable",IF($M992&lt;=0.004,"Pending",IF($N992&lt;=0.004,"Reimbursed","Partially Reimbursed")))))</f>
        <v/>
      </c>
      <c r="M992" s="12">
        <f>IF($A992="",0,SUMIF('Family Contributions'!$I$4:$I$1003,$A992,'Family Contributions'!$G$4:$G$1003))</f>
        <v/>
      </c>
      <c r="N992" s="12">
        <f>IF($A992="",0,IF($I992="Yes",IF(ISNUMBER($G992),$G992,0)-$M992,0))</f>
        <v/>
      </c>
      <c r="O992" s="9" t="n"/>
      <c r="P992" s="9" t="n"/>
    </row>
    <row r="993">
      <c r="A993" s="9" t="n"/>
      <c r="B993" s="19" t="n"/>
      <c r="C993" s="9" t="n"/>
      <c r="D993" s="9" t="n"/>
      <c r="E993" s="9" t="n"/>
      <c r="F993" s="9" t="n"/>
      <c r="G993" s="10" t="n"/>
      <c r="H993" s="9" t="n"/>
      <c r="I993" s="9" t="n"/>
      <c r="J993" s="9" t="n"/>
      <c r="K993" s="9" t="n"/>
      <c r="L993">
        <f>IF($A993="","",IF($P993="Yes","Disputed / Review",IF($I993&lt;&gt;"Yes","Not Reimbursable",IF($M993&lt;=0.004,"Pending",IF($N993&lt;=0.004,"Reimbursed","Partially Reimbursed")))))</f>
        <v/>
      </c>
      <c r="M993" s="12">
        <f>IF($A993="",0,SUMIF('Family Contributions'!$I$4:$I$1003,$A993,'Family Contributions'!$G$4:$G$1003))</f>
        <v/>
      </c>
      <c r="N993" s="12">
        <f>IF($A993="",0,IF($I993="Yes",IF(ISNUMBER($G993),$G993,0)-$M993,0))</f>
        <v/>
      </c>
      <c r="O993" s="9" t="n"/>
      <c r="P993" s="9" t="n"/>
    </row>
    <row r="994">
      <c r="A994" s="9" t="n"/>
      <c r="B994" s="19" t="n"/>
      <c r="C994" s="9" t="n"/>
      <c r="D994" s="9" t="n"/>
      <c r="E994" s="9" t="n"/>
      <c r="F994" s="9" t="n"/>
      <c r="G994" s="10" t="n"/>
      <c r="H994" s="9" t="n"/>
      <c r="I994" s="9" t="n"/>
      <c r="J994" s="9" t="n"/>
      <c r="K994" s="9" t="n"/>
      <c r="L994">
        <f>IF($A994="","",IF($P994="Yes","Disputed / Review",IF($I994&lt;&gt;"Yes","Not Reimbursable",IF($M994&lt;=0.004,"Pending",IF($N994&lt;=0.004,"Reimbursed","Partially Reimbursed")))))</f>
        <v/>
      </c>
      <c r="M994" s="12">
        <f>IF($A994="",0,SUMIF('Family Contributions'!$I$4:$I$1003,$A994,'Family Contributions'!$G$4:$G$1003))</f>
        <v/>
      </c>
      <c r="N994" s="12">
        <f>IF($A994="",0,IF($I994="Yes",IF(ISNUMBER($G994),$G994,0)-$M994,0))</f>
        <v/>
      </c>
      <c r="O994" s="9" t="n"/>
      <c r="P994" s="9" t="n"/>
    </row>
    <row r="995">
      <c r="A995" s="9" t="n"/>
      <c r="B995" s="19" t="n"/>
      <c r="C995" s="9" t="n"/>
      <c r="D995" s="9" t="n"/>
      <c r="E995" s="9" t="n"/>
      <c r="F995" s="9" t="n"/>
      <c r="G995" s="10" t="n"/>
      <c r="H995" s="9" t="n"/>
      <c r="I995" s="9" t="n"/>
      <c r="J995" s="9" t="n"/>
      <c r="K995" s="9" t="n"/>
      <c r="L995">
        <f>IF($A995="","",IF($P995="Yes","Disputed / Review",IF($I995&lt;&gt;"Yes","Not Reimbursable",IF($M995&lt;=0.004,"Pending",IF($N995&lt;=0.004,"Reimbursed","Partially Reimbursed")))))</f>
        <v/>
      </c>
      <c r="M995" s="12">
        <f>IF($A995="",0,SUMIF('Family Contributions'!$I$4:$I$1003,$A995,'Family Contributions'!$G$4:$G$1003))</f>
        <v/>
      </c>
      <c r="N995" s="12">
        <f>IF($A995="",0,IF($I995="Yes",IF(ISNUMBER($G995),$G995,0)-$M995,0))</f>
        <v/>
      </c>
      <c r="O995" s="9" t="n"/>
      <c r="P995" s="9" t="n"/>
    </row>
    <row r="996">
      <c r="A996" s="9" t="n"/>
      <c r="B996" s="19" t="n"/>
      <c r="C996" s="9" t="n"/>
      <c r="D996" s="9" t="n"/>
      <c r="E996" s="9" t="n"/>
      <c r="F996" s="9" t="n"/>
      <c r="G996" s="10" t="n"/>
      <c r="H996" s="9" t="n"/>
      <c r="I996" s="9" t="n"/>
      <c r="J996" s="9" t="n"/>
      <c r="K996" s="9" t="n"/>
      <c r="L996">
        <f>IF($A996="","",IF($P996="Yes","Disputed / Review",IF($I996&lt;&gt;"Yes","Not Reimbursable",IF($M996&lt;=0.004,"Pending",IF($N996&lt;=0.004,"Reimbursed","Partially Reimbursed")))))</f>
        <v/>
      </c>
      <c r="M996" s="12">
        <f>IF($A996="",0,SUMIF('Family Contributions'!$I$4:$I$1003,$A996,'Family Contributions'!$G$4:$G$1003))</f>
        <v/>
      </c>
      <c r="N996" s="12">
        <f>IF($A996="",0,IF($I996="Yes",IF(ISNUMBER($G996),$G996,0)-$M996,0))</f>
        <v/>
      </c>
      <c r="O996" s="9" t="n"/>
      <c r="P996" s="9" t="n"/>
    </row>
    <row r="997">
      <c r="A997" s="9" t="n"/>
      <c r="B997" s="19" t="n"/>
      <c r="C997" s="9" t="n"/>
      <c r="D997" s="9" t="n"/>
      <c r="E997" s="9" t="n"/>
      <c r="F997" s="9" t="n"/>
      <c r="G997" s="10" t="n"/>
      <c r="H997" s="9" t="n"/>
      <c r="I997" s="9" t="n"/>
      <c r="J997" s="9" t="n"/>
      <c r="K997" s="9" t="n"/>
      <c r="L997">
        <f>IF($A997="","",IF($P997="Yes","Disputed / Review",IF($I997&lt;&gt;"Yes","Not Reimbursable",IF($M997&lt;=0.004,"Pending",IF($N997&lt;=0.004,"Reimbursed","Partially Reimbursed")))))</f>
        <v/>
      </c>
      <c r="M997" s="12">
        <f>IF($A997="",0,SUMIF('Family Contributions'!$I$4:$I$1003,$A997,'Family Contributions'!$G$4:$G$1003))</f>
        <v/>
      </c>
      <c r="N997" s="12">
        <f>IF($A997="",0,IF($I997="Yes",IF(ISNUMBER($G997),$G997,0)-$M997,0))</f>
        <v/>
      </c>
      <c r="O997" s="9" t="n"/>
      <c r="P997" s="9" t="n"/>
    </row>
    <row r="998">
      <c r="A998" s="9" t="n"/>
      <c r="B998" s="19" t="n"/>
      <c r="C998" s="9" t="n"/>
      <c r="D998" s="9" t="n"/>
      <c r="E998" s="9" t="n"/>
      <c r="F998" s="9" t="n"/>
      <c r="G998" s="10" t="n"/>
      <c r="H998" s="9" t="n"/>
      <c r="I998" s="9" t="n"/>
      <c r="J998" s="9" t="n"/>
      <c r="K998" s="9" t="n"/>
      <c r="L998">
        <f>IF($A998="","",IF($P998="Yes","Disputed / Review",IF($I998&lt;&gt;"Yes","Not Reimbursable",IF($M998&lt;=0.004,"Pending",IF($N998&lt;=0.004,"Reimbursed","Partially Reimbursed")))))</f>
        <v/>
      </c>
      <c r="M998" s="12">
        <f>IF($A998="",0,SUMIF('Family Contributions'!$I$4:$I$1003,$A998,'Family Contributions'!$G$4:$G$1003))</f>
        <v/>
      </c>
      <c r="N998" s="12">
        <f>IF($A998="",0,IF($I998="Yes",IF(ISNUMBER($G998),$G998,0)-$M998,0))</f>
        <v/>
      </c>
      <c r="O998" s="9" t="n"/>
      <c r="P998" s="9" t="n"/>
    </row>
    <row r="999">
      <c r="A999" s="9" t="n"/>
      <c r="B999" s="19" t="n"/>
      <c r="C999" s="9" t="n"/>
      <c r="D999" s="9" t="n"/>
      <c r="E999" s="9" t="n"/>
      <c r="F999" s="9" t="n"/>
      <c r="G999" s="10" t="n"/>
      <c r="H999" s="9" t="n"/>
      <c r="I999" s="9" t="n"/>
      <c r="J999" s="9" t="n"/>
      <c r="K999" s="9" t="n"/>
      <c r="L999">
        <f>IF($A999="","",IF($P999="Yes","Disputed / Review",IF($I999&lt;&gt;"Yes","Not Reimbursable",IF($M999&lt;=0.004,"Pending",IF($N999&lt;=0.004,"Reimbursed","Partially Reimbursed")))))</f>
        <v/>
      </c>
      <c r="M999" s="12">
        <f>IF($A999="",0,SUMIF('Family Contributions'!$I$4:$I$1003,$A999,'Family Contributions'!$G$4:$G$1003))</f>
        <v/>
      </c>
      <c r="N999" s="12">
        <f>IF($A999="",0,IF($I999="Yes",IF(ISNUMBER($G999),$G999,0)-$M999,0))</f>
        <v/>
      </c>
      <c r="O999" s="9" t="n"/>
      <c r="P999" s="9" t="n"/>
    </row>
    <row r="1000">
      <c r="A1000" s="9" t="n"/>
      <c r="B1000" s="19" t="n"/>
      <c r="C1000" s="9" t="n"/>
      <c r="D1000" s="9" t="n"/>
      <c r="E1000" s="9" t="n"/>
      <c r="F1000" s="9" t="n"/>
      <c r="G1000" s="10" t="n"/>
      <c r="H1000" s="9" t="n"/>
      <c r="I1000" s="9" t="n"/>
      <c r="J1000" s="9" t="n"/>
      <c r="K1000" s="9" t="n"/>
      <c r="L1000">
        <f>IF($A1000="","",IF($P1000="Yes","Disputed / Review",IF($I1000&lt;&gt;"Yes","Not Reimbursable",IF($M1000&lt;=0.004,"Pending",IF($N1000&lt;=0.004,"Reimbursed","Partially Reimbursed")))))</f>
        <v/>
      </c>
      <c r="M1000" s="12">
        <f>IF($A1000="",0,SUMIF('Family Contributions'!$I$4:$I$1003,$A1000,'Family Contributions'!$G$4:$G$1003))</f>
        <v/>
      </c>
      <c r="N1000" s="12">
        <f>IF($A1000="",0,IF($I1000="Yes",IF(ISNUMBER($G1000),$G1000,0)-$M1000,0))</f>
        <v/>
      </c>
      <c r="O1000" s="9" t="n"/>
      <c r="P1000" s="9" t="n"/>
    </row>
    <row r="1001">
      <c r="A1001" s="9" t="n"/>
      <c r="B1001" s="19" t="n"/>
      <c r="C1001" s="9" t="n"/>
      <c r="D1001" s="9" t="n"/>
      <c r="E1001" s="9" t="n"/>
      <c r="F1001" s="9" t="n"/>
      <c r="G1001" s="10" t="n"/>
      <c r="H1001" s="9" t="n"/>
      <c r="I1001" s="9" t="n"/>
      <c r="J1001" s="9" t="n"/>
      <c r="K1001" s="9" t="n"/>
      <c r="L1001">
        <f>IF($A1001="","",IF($P1001="Yes","Disputed / Review",IF($I1001&lt;&gt;"Yes","Not Reimbursable",IF($M1001&lt;=0.004,"Pending",IF($N1001&lt;=0.004,"Reimbursed","Partially Reimbursed")))))</f>
        <v/>
      </c>
      <c r="M1001" s="12">
        <f>IF($A1001="",0,SUMIF('Family Contributions'!$I$4:$I$1003,$A1001,'Family Contributions'!$G$4:$G$1003))</f>
        <v/>
      </c>
      <c r="N1001" s="12">
        <f>IF($A1001="",0,IF($I1001="Yes",IF(ISNUMBER($G1001),$G1001,0)-$M1001,0))</f>
        <v/>
      </c>
      <c r="O1001" s="9" t="n"/>
      <c r="P1001" s="9" t="n"/>
    </row>
    <row r="1002">
      <c r="A1002" s="9" t="n"/>
      <c r="B1002" s="19" t="n"/>
      <c r="C1002" s="9" t="n"/>
      <c r="D1002" s="9" t="n"/>
      <c r="E1002" s="9" t="n"/>
      <c r="F1002" s="9" t="n"/>
      <c r="G1002" s="10" t="n"/>
      <c r="H1002" s="9" t="n"/>
      <c r="I1002" s="9" t="n"/>
      <c r="J1002" s="9" t="n"/>
      <c r="K1002" s="9" t="n"/>
      <c r="L1002">
        <f>IF($A1002="","",IF($P1002="Yes","Disputed / Review",IF($I1002&lt;&gt;"Yes","Not Reimbursable",IF($M1002&lt;=0.004,"Pending",IF($N1002&lt;=0.004,"Reimbursed","Partially Reimbursed")))))</f>
        <v/>
      </c>
      <c r="M1002" s="12">
        <f>IF($A1002="",0,SUMIF('Family Contributions'!$I$4:$I$1003,$A1002,'Family Contributions'!$G$4:$G$1003))</f>
        <v/>
      </c>
      <c r="N1002" s="12">
        <f>IF($A1002="",0,IF($I1002="Yes",IF(ISNUMBER($G1002),$G1002,0)-$M1002,0))</f>
        <v/>
      </c>
      <c r="O1002" s="9" t="n"/>
      <c r="P1002" s="9" t="n"/>
    </row>
    <row r="1003">
      <c r="A1003" s="9" t="n"/>
      <c r="B1003" s="19" t="n"/>
      <c r="C1003" s="9" t="n"/>
      <c r="D1003" s="9" t="n"/>
      <c r="E1003" s="9" t="n"/>
      <c r="F1003" s="9" t="n"/>
      <c r="G1003" s="10" t="n"/>
      <c r="H1003" s="9" t="n"/>
      <c r="I1003" s="9" t="n"/>
      <c r="J1003" s="9" t="n"/>
      <c r="K1003" s="9" t="n"/>
      <c r="L1003">
        <f>IF($A1003="","",IF($P1003="Yes","Disputed / Review",IF($I1003&lt;&gt;"Yes","Not Reimbursable",IF($M1003&lt;=0.004,"Pending",IF($N1003&lt;=0.004,"Reimbursed","Partially Reimbursed")))))</f>
        <v/>
      </c>
      <c r="M1003" s="12">
        <f>IF($A1003="",0,SUMIF('Family Contributions'!$I$4:$I$1003,$A1003,'Family Contributions'!$G$4:$G$1003))</f>
        <v/>
      </c>
      <c r="N1003" s="12">
        <f>IF($A1003="",0,IF($I1003="Yes",IF(ISNUMBER($G1003),$G1003,0)-$M1003,0))</f>
        <v/>
      </c>
      <c r="O1003" s="9" t="n"/>
      <c r="P1003" s="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L4:L1003">
    <cfRule type="cellIs" priority="1" operator="equal" dxfId="1">
      <formula>"Pending"</formula>
    </cfRule>
    <cfRule type="cellIs" priority="2" operator="equal" dxfId="1">
      <formula>"Partially Reimbursed"</formula>
    </cfRule>
    <cfRule type="cellIs" priority="3" operator="equal" dxfId="0">
      <formula>"Disputed / Review"</formula>
    </cfRule>
  </conditionalFormatting>
  <conditionalFormatting sqref="N4:N1003">
    <cfRule type="cellIs" priority="4" operator="lessThan" dxfId="2">
      <formula>0</formula>
    </cfRule>
  </conditionalFormatting>
  <dataValidations count="6">
    <dataValidation sqref="C4:C1003" showDropDown="0" showInputMessage="0" showErrorMessage="0" allowBlank="1" type="list">
      <formula1>"Home Repair,Pharmacy,Medical,Care Services,Transportation,Groceries,Utilities,Insurance,Other"</formula1>
    </dataValidation>
    <dataValidation sqref="E4:E1003" showDropDown="0" showInputMessage="0" showErrorMessage="0" allowBlank="1" type="list">
      <formula1>='Parent &amp; Family Setup'!$B$13:$B$62</formula1>
    </dataValidation>
    <dataValidation sqref="H4:H1003" showDropDown="0" showInputMessage="0" showErrorMessage="0" allowBlank="1" type="list">
      <formula1>"Yes,No"</formula1>
    </dataValidation>
    <dataValidation sqref="I4:I1003" showDropDown="0" showInputMessage="0" showErrorMessage="0" allowBlank="1" type="list">
      <formula1>"Yes,No"</formula1>
    </dataValidation>
    <dataValidation sqref="J4:J1003" showDropDown="0" showInputMessage="0" showErrorMessage="0" allowBlank="1" type="list">
      <formula1>"Yes,No"</formula1>
    </dataValidation>
    <dataValidation sqref="P4:P1003" showDropDown="0" showInputMessage="0" showErrorMessage="0" allowBlank="1" type="list">
      <formula1>"Yes,No"</formula1>
    </dataValidation>
  </dataValidations>
  <printOptions gridLines="1"/>
  <pageMargins left="0.75" right="0.75" top="1" bottom="1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00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6" customWidth="1" min="4" max="4"/>
    <col width="32" customWidth="1" min="5" max="5"/>
    <col width="12" customWidth="1" min="6" max="6"/>
    <col width="25" customWidth="1" min="7" max="7"/>
    <col width="28" customWidth="1" min="8" max="8"/>
    <col width="21" customWidth="1" min="9" max="9"/>
    <col width="26" customWidth="1" min="10" max="10"/>
  </cols>
  <sheetData>
    <row r="1">
      <c r="A1" s="8" t="inlineStr">
        <is>
          <t>FAMILY CONTRIBUTIONS &amp; COST SHARING</t>
        </is>
      </c>
    </row>
    <row r="2">
      <c r="A2" s="2" t="inlineStr">
        <is>
          <t>This is where WHO PAID? / WHO OWES? / HOW MUCH? / FOR WHAT? gets answered. One row per reimbursement payment. Leave Related Expense ID blank for an unapplied family-pool contribution not yet tied to a specific expense.</t>
        </is>
      </c>
    </row>
    <row r="3">
      <c r="A3" s="20" t="inlineStr">
        <is>
          <t>Contribution ID</t>
        </is>
      </c>
      <c r="B3" s="20" t="inlineStr">
        <is>
          <t>Date</t>
        </is>
      </c>
      <c r="C3" s="20" t="inlineStr">
        <is>
          <t>Contributor</t>
        </is>
      </c>
      <c r="D3" s="20" t="inlineStr">
        <is>
          <t>Intended For</t>
        </is>
      </c>
      <c r="E3" s="20" t="inlineStr">
        <is>
          <t>Category</t>
        </is>
      </c>
      <c r="F3" s="20" t="inlineStr">
        <is>
          <t>Amount</t>
        </is>
      </c>
      <c r="G3" s="20" t="inlineStr">
        <is>
          <t>Applied Amount (auto)</t>
        </is>
      </c>
      <c r="H3" s="20" t="inlineStr">
        <is>
          <t>Remaining Available (auto)</t>
        </is>
      </c>
      <c r="I3" s="20" t="inlineStr">
        <is>
          <t>Related Expense ID</t>
        </is>
      </c>
      <c r="J3" s="20" t="inlineStr">
        <is>
          <t>Notes</t>
        </is>
      </c>
    </row>
    <row r="4">
      <c r="A4" s="9" t="inlineStr">
        <is>
          <t>C1</t>
        </is>
      </c>
      <c r="B4" s="19" t="n">
        <v>46270</v>
      </c>
      <c r="C4" s="9" t="inlineStr">
        <is>
          <t>Parent Account</t>
        </is>
      </c>
      <c r="D4" s="9" t="inlineStr">
        <is>
          <t>Sarah Chen</t>
        </is>
      </c>
      <c r="E4" s="9" t="inlineStr">
        <is>
          <t>Reimbursement</t>
        </is>
      </c>
      <c r="F4" s="10" t="n">
        <v>300</v>
      </c>
      <c r="G4" s="12">
        <f>IF($A4="",0,IF($I4="",0,$F4))</f>
        <v/>
      </c>
      <c r="H4" s="12">
        <f>IF($A4="","",$F4-$G4)</f>
        <v/>
      </c>
      <c r="I4" s="9" t="inlineStr">
        <is>
          <t>E1</t>
        </is>
      </c>
      <c r="J4" s="9" t="n"/>
    </row>
    <row r="5">
      <c r="A5" s="9" t="inlineStr">
        <is>
          <t>C2</t>
        </is>
      </c>
      <c r="B5" s="19" t="n">
        <v>46271</v>
      </c>
      <c r="C5" s="9" t="inlineStr">
        <is>
          <t>Michael Brooks</t>
        </is>
      </c>
      <c r="D5" s="9" t="inlineStr">
        <is>
          <t>Sarah Chen</t>
        </is>
      </c>
      <c r="E5" s="9" t="inlineStr">
        <is>
          <t>Reimbursement</t>
        </is>
      </c>
      <c r="F5" s="10" t="n">
        <v>100</v>
      </c>
      <c r="G5" s="12">
        <f>IF($A5="",0,IF($I5="",0,$F5))</f>
        <v/>
      </c>
      <c r="H5" s="12">
        <f>IF($A5="","",$F5-$G5)</f>
        <v/>
      </c>
      <c r="I5" s="9" t="inlineStr">
        <is>
          <t>E1</t>
        </is>
      </c>
      <c r="J5" s="9" t="n"/>
    </row>
    <row r="6">
      <c r="A6" s="9" t="inlineStr">
        <is>
          <t>C3</t>
        </is>
      </c>
      <c r="B6" s="19" t="n">
        <v>46272</v>
      </c>
      <c r="C6" s="9" t="inlineStr">
        <is>
          <t>Rachel Brooks</t>
        </is>
      </c>
      <c r="D6" s="9" t="inlineStr">
        <is>
          <t>Sarah Chen</t>
        </is>
      </c>
      <c r="E6" s="9" t="inlineStr">
        <is>
          <t>Reimbursement</t>
        </is>
      </c>
      <c r="F6" s="10" t="n">
        <v>150</v>
      </c>
      <c r="G6" s="12">
        <f>IF($A6="",0,IF($I6="",0,$F6))</f>
        <v/>
      </c>
      <c r="H6" s="12">
        <f>IF($A6="","",$F6-$G6)</f>
        <v/>
      </c>
      <c r="I6" s="9" t="inlineStr">
        <is>
          <t>E1</t>
        </is>
      </c>
      <c r="J6" s="9" t="n"/>
    </row>
    <row r="7">
      <c r="A7" s="9" t="inlineStr">
        <is>
          <t>C4</t>
        </is>
      </c>
      <c r="B7" s="19" t="n">
        <v>46276</v>
      </c>
      <c r="C7" s="9" t="inlineStr">
        <is>
          <t>Michael Brooks</t>
        </is>
      </c>
      <c r="D7" s="9" t="inlineStr">
        <is>
          <t>Sarah Chen</t>
        </is>
      </c>
      <c r="E7" s="9" t="inlineStr">
        <is>
          <t>Reimbursement</t>
        </is>
      </c>
      <c r="F7" s="10" t="n">
        <v>90</v>
      </c>
      <c r="G7" s="12">
        <f>IF($A7="",0,IF($I7="",0,$F7))</f>
        <v/>
      </c>
      <c r="H7" s="12">
        <f>IF($A7="","",$F7-$G7)</f>
        <v/>
      </c>
      <c r="I7" s="9" t="inlineStr">
        <is>
          <t>E2</t>
        </is>
      </c>
      <c r="J7" s="9" t="n"/>
    </row>
    <row r="8">
      <c r="A8" s="9" t="inlineStr">
        <is>
          <t>C5</t>
        </is>
      </c>
      <c r="B8" s="19" t="n">
        <v>46278</v>
      </c>
      <c r="C8" s="9" t="inlineStr">
        <is>
          <t>Parent Account</t>
        </is>
      </c>
      <c r="D8" s="9" t="inlineStr">
        <is>
          <t>Sarah Chen</t>
        </is>
      </c>
      <c r="E8" s="9" t="inlineStr">
        <is>
          <t>Reimbursement</t>
        </is>
      </c>
      <c r="F8" s="10" t="n">
        <v>50</v>
      </c>
      <c r="G8" s="12">
        <f>IF($A8="",0,IF($I8="",0,$F8))</f>
        <v/>
      </c>
      <c r="H8" s="12">
        <f>IF($A8="","",$F8-$G8)</f>
        <v/>
      </c>
      <c r="I8" s="9" t="inlineStr">
        <is>
          <t>E2</t>
        </is>
      </c>
      <c r="J8" s="9" t="n"/>
    </row>
    <row r="9">
      <c r="A9" s="9" t="inlineStr">
        <is>
          <t>C6</t>
        </is>
      </c>
      <c r="B9" s="19" t="n">
        <v>46280</v>
      </c>
      <c r="C9" s="9" t="inlineStr">
        <is>
          <t>Parent Account</t>
        </is>
      </c>
      <c r="D9" s="9" t="inlineStr">
        <is>
          <t>Rachel Brooks</t>
        </is>
      </c>
      <c r="E9" s="9" t="inlineStr">
        <is>
          <t>Reimbursement</t>
        </is>
      </c>
      <c r="F9" s="10" t="n">
        <v>60</v>
      </c>
      <c r="G9" s="12">
        <f>IF($A9="",0,IF($I9="",0,$F9))</f>
        <v/>
      </c>
      <c r="H9" s="12">
        <f>IF($A9="","",$F9-$G9)</f>
        <v/>
      </c>
      <c r="I9" s="9" t="inlineStr">
        <is>
          <t>E3</t>
        </is>
      </c>
      <c r="J9" s="9" t="n"/>
    </row>
    <row r="10">
      <c r="A10" s="9" t="n"/>
      <c r="B10" s="19" t="n"/>
      <c r="C10" s="9" t="n"/>
      <c r="D10" s="9" t="n"/>
      <c r="E10" s="9" t="n"/>
      <c r="F10" s="10" t="n"/>
      <c r="G10" s="12">
        <f>IF($A10="",0,IF($I10="",0,$F10))</f>
        <v/>
      </c>
      <c r="H10" s="12">
        <f>IF($A10="","",$F10-$G10)</f>
        <v/>
      </c>
      <c r="I10" s="9" t="n"/>
      <c r="J10" s="9" t="n"/>
    </row>
    <row r="11">
      <c r="A11" s="9" t="inlineStr">
        <is>
          <t>C8</t>
        </is>
      </c>
      <c r="B11" s="19" t="n">
        <v>46246</v>
      </c>
      <c r="C11" s="9" t="inlineStr">
        <is>
          <t>Robert Brooks</t>
        </is>
      </c>
      <c r="D11" s="9" t="inlineStr">
        <is>
          <t>Sarah Chen</t>
        </is>
      </c>
      <c r="E11" s="9" t="inlineStr">
        <is>
          <t>One-time gift toward parent costs</t>
        </is>
      </c>
      <c r="F11" s="10" t="n">
        <v>75</v>
      </c>
      <c r="G11" s="12">
        <f>IF($A11="",0,IF($I11="",0,$F11))</f>
        <v/>
      </c>
      <c r="H11" s="12">
        <f>IF($A11="","",$F11-$G11)</f>
        <v/>
      </c>
      <c r="I11" s="9" t="inlineStr"/>
      <c r="J11" s="9" t="n"/>
    </row>
    <row r="12">
      <c r="A12" s="9" t="n"/>
      <c r="B12" s="19" t="n"/>
      <c r="C12" s="9" t="n"/>
      <c r="D12" s="9" t="n"/>
      <c r="E12" s="9" t="n"/>
      <c r="F12" s="10" t="n"/>
      <c r="G12" s="12">
        <f>IF($A12="",0,IF($I12="",0,$F12))</f>
        <v/>
      </c>
      <c r="H12" s="12">
        <f>IF($A12="","",$F12-$G12)</f>
        <v/>
      </c>
      <c r="I12" s="9" t="n"/>
      <c r="J12" s="9" t="n"/>
    </row>
    <row r="13">
      <c r="A13" s="9" t="n"/>
      <c r="B13" s="19" t="n"/>
      <c r="C13" s="9" t="n"/>
      <c r="D13" s="9" t="n"/>
      <c r="E13" s="9" t="n"/>
      <c r="F13" s="10" t="n"/>
      <c r="G13" s="12">
        <f>IF($A13="",0,IF($I13="",0,$F13))</f>
        <v/>
      </c>
      <c r="H13" s="12">
        <f>IF($A13="","",$F13-$G13)</f>
        <v/>
      </c>
      <c r="I13" s="9" t="n"/>
      <c r="J13" s="9" t="n"/>
    </row>
    <row r="14">
      <c r="A14" s="9" t="n"/>
      <c r="B14" s="19" t="n"/>
      <c r="C14" s="9" t="n"/>
      <c r="D14" s="9" t="n"/>
      <c r="E14" s="9" t="n"/>
      <c r="F14" s="10" t="n"/>
      <c r="G14" s="12">
        <f>IF($A14="",0,IF($I14="",0,$F14))</f>
        <v/>
      </c>
      <c r="H14" s="12">
        <f>IF($A14="","",$F14-$G14)</f>
        <v/>
      </c>
      <c r="I14" s="9" t="n"/>
      <c r="J14" s="9" t="n"/>
    </row>
    <row r="15">
      <c r="A15" s="9" t="n"/>
      <c r="B15" s="19" t="n"/>
      <c r="C15" s="9" t="n"/>
      <c r="D15" s="9" t="n"/>
      <c r="E15" s="9" t="n"/>
      <c r="F15" s="10" t="n"/>
      <c r="G15" s="12">
        <f>IF($A15="",0,IF($I15="",0,$F15))</f>
        <v/>
      </c>
      <c r="H15" s="12">
        <f>IF($A15="","",$F15-$G15)</f>
        <v/>
      </c>
      <c r="I15" s="9" t="n"/>
      <c r="J15" s="9" t="n"/>
    </row>
    <row r="16">
      <c r="A16" s="9" t="n"/>
      <c r="B16" s="19" t="n"/>
      <c r="C16" s="9" t="n"/>
      <c r="D16" s="9" t="n"/>
      <c r="E16" s="9" t="n"/>
      <c r="F16" s="10" t="n"/>
      <c r="G16" s="12">
        <f>IF($A16="",0,IF($I16="",0,$F16))</f>
        <v/>
      </c>
      <c r="H16" s="12">
        <f>IF($A16="","",$F16-$G16)</f>
        <v/>
      </c>
      <c r="I16" s="9" t="n"/>
      <c r="J16" s="9" t="n"/>
    </row>
    <row r="17">
      <c r="A17" s="9" t="n"/>
      <c r="B17" s="19" t="n"/>
      <c r="C17" s="9" t="n"/>
      <c r="D17" s="9" t="n"/>
      <c r="E17" s="9" t="n"/>
      <c r="F17" s="10" t="n"/>
      <c r="G17" s="12">
        <f>IF($A17="",0,IF($I17="",0,$F17))</f>
        <v/>
      </c>
      <c r="H17" s="12">
        <f>IF($A17="","",$F17-$G17)</f>
        <v/>
      </c>
      <c r="I17" s="9" t="n"/>
      <c r="J17" s="9" t="n"/>
    </row>
    <row r="18">
      <c r="A18" s="9" t="n"/>
      <c r="B18" s="19" t="n"/>
      <c r="C18" s="9" t="n"/>
      <c r="D18" s="9" t="n"/>
      <c r="E18" s="9" t="n"/>
      <c r="F18" s="10" t="n"/>
      <c r="G18" s="12">
        <f>IF($A18="",0,IF($I18="",0,$F18))</f>
        <v/>
      </c>
      <c r="H18" s="12">
        <f>IF($A18="","",$F18-$G18)</f>
        <v/>
      </c>
      <c r="I18" s="9" t="n"/>
      <c r="J18" s="9" t="n"/>
    </row>
    <row r="19">
      <c r="A19" s="9" t="n"/>
      <c r="B19" s="19" t="n"/>
      <c r="C19" s="9" t="n"/>
      <c r="D19" s="9" t="n"/>
      <c r="E19" s="9" t="n"/>
      <c r="F19" s="10" t="n"/>
      <c r="G19" s="12">
        <f>IF($A19="",0,IF($I19="",0,$F19))</f>
        <v/>
      </c>
      <c r="H19" s="12">
        <f>IF($A19="","",$F19-$G19)</f>
        <v/>
      </c>
      <c r="I19" s="9" t="n"/>
      <c r="J19" s="9" t="n"/>
    </row>
    <row r="20">
      <c r="A20" s="9" t="n"/>
      <c r="B20" s="19" t="n"/>
      <c r="C20" s="9" t="n"/>
      <c r="D20" s="9" t="n"/>
      <c r="E20" s="9" t="n"/>
      <c r="F20" s="10" t="n"/>
      <c r="G20" s="12">
        <f>IF($A20="",0,IF($I20="",0,$F20))</f>
        <v/>
      </c>
      <c r="H20" s="12">
        <f>IF($A20="","",$F20-$G20)</f>
        <v/>
      </c>
      <c r="I20" s="9" t="n"/>
      <c r="J20" s="9" t="n"/>
    </row>
    <row r="21">
      <c r="A21" s="9" t="n"/>
      <c r="B21" s="19" t="n"/>
      <c r="C21" s="9" t="n"/>
      <c r="D21" s="9" t="n"/>
      <c r="E21" s="9" t="n"/>
      <c r="F21" s="10" t="n"/>
      <c r="G21" s="12">
        <f>IF($A21="",0,IF($I21="",0,$F21))</f>
        <v/>
      </c>
      <c r="H21" s="12">
        <f>IF($A21="","",$F21-$G21)</f>
        <v/>
      </c>
      <c r="I21" s="9" t="n"/>
      <c r="J21" s="9" t="n"/>
    </row>
    <row r="22">
      <c r="A22" s="9" t="n"/>
      <c r="B22" s="19" t="n"/>
      <c r="C22" s="9" t="n"/>
      <c r="D22" s="9" t="n"/>
      <c r="E22" s="9" t="n"/>
      <c r="F22" s="10" t="n"/>
      <c r="G22" s="12">
        <f>IF($A22="",0,IF($I22="",0,$F22))</f>
        <v/>
      </c>
      <c r="H22" s="12">
        <f>IF($A22="","",$F22-$G22)</f>
        <v/>
      </c>
      <c r="I22" s="9" t="n"/>
      <c r="J22" s="9" t="n"/>
    </row>
    <row r="23">
      <c r="A23" s="9" t="n"/>
      <c r="B23" s="19" t="n"/>
      <c r="C23" s="9" t="n"/>
      <c r="D23" s="9" t="n"/>
      <c r="E23" s="9" t="n"/>
      <c r="F23" s="10" t="n"/>
      <c r="G23" s="12">
        <f>IF($A23="",0,IF($I23="",0,$F23))</f>
        <v/>
      </c>
      <c r="H23" s="12">
        <f>IF($A23="","",$F23-$G23)</f>
        <v/>
      </c>
      <c r="I23" s="9" t="n"/>
      <c r="J23" s="9" t="n"/>
    </row>
    <row r="24">
      <c r="A24" s="9" t="n"/>
      <c r="B24" s="19" t="n"/>
      <c r="C24" s="9" t="n"/>
      <c r="D24" s="9" t="n"/>
      <c r="E24" s="9" t="n"/>
      <c r="F24" s="10" t="n"/>
      <c r="G24" s="12">
        <f>IF($A24="",0,IF($I24="",0,$F24))</f>
        <v/>
      </c>
      <c r="H24" s="12">
        <f>IF($A24="","",$F24-$G24)</f>
        <v/>
      </c>
      <c r="I24" s="9" t="n"/>
      <c r="J24" s="9" t="n"/>
    </row>
    <row r="25">
      <c r="A25" s="9" t="n"/>
      <c r="B25" s="19" t="n"/>
      <c r="C25" s="9" t="n"/>
      <c r="D25" s="9" t="n"/>
      <c r="E25" s="9" t="n"/>
      <c r="F25" s="10" t="n"/>
      <c r="G25" s="12">
        <f>IF($A25="",0,IF($I25="",0,$F25))</f>
        <v/>
      </c>
      <c r="H25" s="12">
        <f>IF($A25="","",$F25-$G25)</f>
        <v/>
      </c>
      <c r="I25" s="9" t="n"/>
      <c r="J25" s="9" t="n"/>
    </row>
    <row r="26">
      <c r="A26" s="9" t="n"/>
      <c r="B26" s="19" t="n"/>
      <c r="C26" s="9" t="n"/>
      <c r="D26" s="9" t="n"/>
      <c r="E26" s="9" t="n"/>
      <c r="F26" s="10" t="n"/>
      <c r="G26" s="12">
        <f>IF($A26="",0,IF($I26="",0,$F26))</f>
        <v/>
      </c>
      <c r="H26" s="12">
        <f>IF($A26="","",$F26-$G26)</f>
        <v/>
      </c>
      <c r="I26" s="9" t="n"/>
      <c r="J26" s="9" t="n"/>
    </row>
    <row r="27">
      <c r="A27" s="9" t="n"/>
      <c r="B27" s="19" t="n"/>
      <c r="C27" s="9" t="n"/>
      <c r="D27" s="9" t="n"/>
      <c r="E27" s="9" t="n"/>
      <c r="F27" s="10" t="n"/>
      <c r="G27" s="12">
        <f>IF($A27="",0,IF($I27="",0,$F27))</f>
        <v/>
      </c>
      <c r="H27" s="12">
        <f>IF($A27="","",$F27-$G27)</f>
        <v/>
      </c>
      <c r="I27" s="9" t="n"/>
      <c r="J27" s="9" t="n"/>
    </row>
    <row r="28">
      <c r="A28" s="9" t="n"/>
      <c r="B28" s="19" t="n"/>
      <c r="C28" s="9" t="n"/>
      <c r="D28" s="9" t="n"/>
      <c r="E28" s="9" t="n"/>
      <c r="F28" s="10" t="n"/>
      <c r="G28" s="12">
        <f>IF($A28="",0,IF($I28="",0,$F28))</f>
        <v/>
      </c>
      <c r="H28" s="12">
        <f>IF($A28="","",$F28-$G28)</f>
        <v/>
      </c>
      <c r="I28" s="9" t="n"/>
      <c r="J28" s="9" t="n"/>
    </row>
    <row r="29">
      <c r="A29" s="9" t="n"/>
      <c r="B29" s="19" t="n"/>
      <c r="C29" s="9" t="n"/>
      <c r="D29" s="9" t="n"/>
      <c r="E29" s="9" t="n"/>
      <c r="F29" s="10" t="n"/>
      <c r="G29" s="12">
        <f>IF($A29="",0,IF($I29="",0,$F29))</f>
        <v/>
      </c>
      <c r="H29" s="12">
        <f>IF($A29="","",$F29-$G29)</f>
        <v/>
      </c>
      <c r="I29" s="9" t="n"/>
      <c r="J29" s="9" t="n"/>
    </row>
    <row r="30">
      <c r="A30" s="9" t="n"/>
      <c r="B30" s="19" t="n"/>
      <c r="C30" s="9" t="n"/>
      <c r="D30" s="9" t="n"/>
      <c r="E30" s="9" t="n"/>
      <c r="F30" s="10" t="n"/>
      <c r="G30" s="12">
        <f>IF($A30="",0,IF($I30="",0,$F30))</f>
        <v/>
      </c>
      <c r="H30" s="12">
        <f>IF($A30="","",$F30-$G30)</f>
        <v/>
      </c>
      <c r="I30" s="9" t="n"/>
      <c r="J30" s="9" t="n"/>
    </row>
    <row r="31">
      <c r="A31" s="9" t="n"/>
      <c r="B31" s="19" t="n"/>
      <c r="C31" s="9" t="n"/>
      <c r="D31" s="9" t="n"/>
      <c r="E31" s="9" t="n"/>
      <c r="F31" s="10" t="n"/>
      <c r="G31" s="12">
        <f>IF($A31="",0,IF($I31="",0,$F31))</f>
        <v/>
      </c>
      <c r="H31" s="12">
        <f>IF($A31="","",$F31-$G31)</f>
        <v/>
      </c>
      <c r="I31" s="9" t="n"/>
      <c r="J31" s="9" t="n"/>
    </row>
    <row r="32">
      <c r="A32" s="9" t="n"/>
      <c r="B32" s="19" t="n"/>
      <c r="C32" s="9" t="n"/>
      <c r="D32" s="9" t="n"/>
      <c r="E32" s="9" t="n"/>
      <c r="F32" s="10" t="n"/>
      <c r="G32" s="12">
        <f>IF($A32="",0,IF($I32="",0,$F32))</f>
        <v/>
      </c>
      <c r="H32" s="12">
        <f>IF($A32="","",$F32-$G32)</f>
        <v/>
      </c>
      <c r="I32" s="9" t="n"/>
      <c r="J32" s="9" t="n"/>
    </row>
    <row r="33">
      <c r="A33" s="9" t="n"/>
      <c r="B33" s="19" t="n"/>
      <c r="C33" s="9" t="n"/>
      <c r="D33" s="9" t="n"/>
      <c r="E33" s="9" t="n"/>
      <c r="F33" s="10" t="n"/>
      <c r="G33" s="12">
        <f>IF($A33="",0,IF($I33="",0,$F33))</f>
        <v/>
      </c>
      <c r="H33" s="12">
        <f>IF($A33="","",$F33-$G33)</f>
        <v/>
      </c>
      <c r="I33" s="9" t="n"/>
      <c r="J33" s="9" t="n"/>
    </row>
    <row r="34">
      <c r="A34" s="9" t="n"/>
      <c r="B34" s="19" t="n"/>
      <c r="C34" s="9" t="n"/>
      <c r="D34" s="9" t="n"/>
      <c r="E34" s="9" t="n"/>
      <c r="F34" s="10" t="n"/>
      <c r="G34" s="12">
        <f>IF($A34="",0,IF($I34="",0,$F34))</f>
        <v/>
      </c>
      <c r="H34" s="12">
        <f>IF($A34="","",$F34-$G34)</f>
        <v/>
      </c>
      <c r="I34" s="9" t="n"/>
      <c r="J34" s="9" t="n"/>
    </row>
    <row r="35">
      <c r="A35" s="9" t="n"/>
      <c r="B35" s="19" t="n"/>
      <c r="C35" s="9" t="n"/>
      <c r="D35" s="9" t="n"/>
      <c r="E35" s="9" t="n"/>
      <c r="F35" s="10" t="n"/>
      <c r="G35" s="12">
        <f>IF($A35="",0,IF($I35="",0,$F35))</f>
        <v/>
      </c>
      <c r="H35" s="12">
        <f>IF($A35="","",$F35-$G35)</f>
        <v/>
      </c>
      <c r="I35" s="9" t="n"/>
      <c r="J35" s="9" t="n"/>
    </row>
    <row r="36">
      <c r="A36" s="9" t="n"/>
      <c r="B36" s="19" t="n"/>
      <c r="C36" s="9" t="n"/>
      <c r="D36" s="9" t="n"/>
      <c r="E36" s="9" t="n"/>
      <c r="F36" s="10" t="n"/>
      <c r="G36" s="12">
        <f>IF($A36="",0,IF($I36="",0,$F36))</f>
        <v/>
      </c>
      <c r="H36" s="12">
        <f>IF($A36="","",$F36-$G36)</f>
        <v/>
      </c>
      <c r="I36" s="9" t="n"/>
      <c r="J36" s="9" t="n"/>
    </row>
    <row r="37">
      <c r="A37" s="9" t="n"/>
      <c r="B37" s="19" t="n"/>
      <c r="C37" s="9" t="n"/>
      <c r="D37" s="9" t="n"/>
      <c r="E37" s="9" t="n"/>
      <c r="F37" s="10" t="n"/>
      <c r="G37" s="12">
        <f>IF($A37="",0,IF($I37="",0,$F37))</f>
        <v/>
      </c>
      <c r="H37" s="12">
        <f>IF($A37="","",$F37-$G37)</f>
        <v/>
      </c>
      <c r="I37" s="9" t="n"/>
      <c r="J37" s="9" t="n"/>
    </row>
    <row r="38">
      <c r="A38" s="9" t="n"/>
      <c r="B38" s="19" t="n"/>
      <c r="C38" s="9" t="n"/>
      <c r="D38" s="9" t="n"/>
      <c r="E38" s="9" t="n"/>
      <c r="F38" s="10" t="n"/>
      <c r="G38" s="12">
        <f>IF($A38="",0,IF($I38="",0,$F38))</f>
        <v/>
      </c>
      <c r="H38" s="12">
        <f>IF($A38="","",$F38-$G38)</f>
        <v/>
      </c>
      <c r="I38" s="9" t="n"/>
      <c r="J38" s="9" t="n"/>
    </row>
    <row r="39">
      <c r="A39" s="9" t="n"/>
      <c r="B39" s="19" t="n"/>
      <c r="C39" s="9" t="n"/>
      <c r="D39" s="9" t="n"/>
      <c r="E39" s="9" t="n"/>
      <c r="F39" s="10" t="n"/>
      <c r="G39" s="12">
        <f>IF($A39="",0,IF($I39="",0,$F39))</f>
        <v/>
      </c>
      <c r="H39" s="12">
        <f>IF($A39="","",$F39-$G39)</f>
        <v/>
      </c>
      <c r="I39" s="9" t="n"/>
      <c r="J39" s="9" t="n"/>
    </row>
    <row r="40">
      <c r="A40" s="9" t="n"/>
      <c r="B40" s="19" t="n"/>
      <c r="C40" s="9" t="n"/>
      <c r="D40" s="9" t="n"/>
      <c r="E40" s="9" t="n"/>
      <c r="F40" s="10" t="n"/>
      <c r="G40" s="12">
        <f>IF($A40="",0,IF($I40="",0,$F40))</f>
        <v/>
      </c>
      <c r="H40" s="12">
        <f>IF($A40="","",$F40-$G40)</f>
        <v/>
      </c>
      <c r="I40" s="9" t="n"/>
      <c r="J40" s="9" t="n"/>
    </row>
    <row r="41">
      <c r="A41" s="9" t="n"/>
      <c r="B41" s="19" t="n"/>
      <c r="C41" s="9" t="n"/>
      <c r="D41" s="9" t="n"/>
      <c r="E41" s="9" t="n"/>
      <c r="F41" s="10" t="n"/>
      <c r="G41" s="12">
        <f>IF($A41="",0,IF($I41="",0,$F41))</f>
        <v/>
      </c>
      <c r="H41" s="12">
        <f>IF($A41="","",$F41-$G41)</f>
        <v/>
      </c>
      <c r="I41" s="9" t="n"/>
      <c r="J41" s="9" t="n"/>
    </row>
    <row r="42">
      <c r="A42" s="9" t="n"/>
      <c r="B42" s="19" t="n"/>
      <c r="C42" s="9" t="n"/>
      <c r="D42" s="9" t="n"/>
      <c r="E42" s="9" t="n"/>
      <c r="F42" s="10" t="n"/>
      <c r="G42" s="12">
        <f>IF($A42="",0,IF($I42="",0,$F42))</f>
        <v/>
      </c>
      <c r="H42" s="12">
        <f>IF($A42="","",$F42-$G42)</f>
        <v/>
      </c>
      <c r="I42" s="9" t="n"/>
      <c r="J42" s="9" t="n"/>
    </row>
    <row r="43">
      <c r="A43" s="9" t="n"/>
      <c r="B43" s="19" t="n"/>
      <c r="C43" s="9" t="n"/>
      <c r="D43" s="9" t="n"/>
      <c r="E43" s="9" t="n"/>
      <c r="F43" s="10" t="n"/>
      <c r="G43" s="12">
        <f>IF($A43="",0,IF($I43="",0,$F43))</f>
        <v/>
      </c>
      <c r="H43" s="12">
        <f>IF($A43="","",$F43-$G43)</f>
        <v/>
      </c>
      <c r="I43" s="9" t="n"/>
      <c r="J43" s="9" t="n"/>
    </row>
    <row r="44">
      <c r="A44" s="9" t="n"/>
      <c r="B44" s="19" t="n"/>
      <c r="C44" s="9" t="n"/>
      <c r="D44" s="9" t="n"/>
      <c r="E44" s="9" t="n"/>
      <c r="F44" s="10" t="n"/>
      <c r="G44" s="12">
        <f>IF($A44="",0,IF($I44="",0,$F44))</f>
        <v/>
      </c>
      <c r="H44" s="12">
        <f>IF($A44="","",$F44-$G44)</f>
        <v/>
      </c>
      <c r="I44" s="9" t="n"/>
      <c r="J44" s="9" t="n"/>
    </row>
    <row r="45">
      <c r="A45" s="9" t="n"/>
      <c r="B45" s="19" t="n"/>
      <c r="C45" s="9" t="n"/>
      <c r="D45" s="9" t="n"/>
      <c r="E45" s="9" t="n"/>
      <c r="F45" s="10" t="n"/>
      <c r="G45" s="12">
        <f>IF($A45="",0,IF($I45="",0,$F45))</f>
        <v/>
      </c>
      <c r="H45" s="12">
        <f>IF($A45="","",$F45-$G45)</f>
        <v/>
      </c>
      <c r="I45" s="9" t="n"/>
      <c r="J45" s="9" t="n"/>
    </row>
    <row r="46">
      <c r="A46" s="9" t="n"/>
      <c r="B46" s="19" t="n"/>
      <c r="C46" s="9" t="n"/>
      <c r="D46" s="9" t="n"/>
      <c r="E46" s="9" t="n"/>
      <c r="F46" s="10" t="n"/>
      <c r="G46" s="12">
        <f>IF($A46="",0,IF($I46="",0,$F46))</f>
        <v/>
      </c>
      <c r="H46" s="12">
        <f>IF($A46="","",$F46-$G46)</f>
        <v/>
      </c>
      <c r="I46" s="9" t="n"/>
      <c r="J46" s="9" t="n"/>
    </row>
    <row r="47">
      <c r="A47" s="9" t="n"/>
      <c r="B47" s="19" t="n"/>
      <c r="C47" s="9" t="n"/>
      <c r="D47" s="9" t="n"/>
      <c r="E47" s="9" t="n"/>
      <c r="F47" s="10" t="n"/>
      <c r="G47" s="12">
        <f>IF($A47="",0,IF($I47="",0,$F47))</f>
        <v/>
      </c>
      <c r="H47" s="12">
        <f>IF($A47="","",$F47-$G47)</f>
        <v/>
      </c>
      <c r="I47" s="9" t="n"/>
      <c r="J47" s="9" t="n"/>
    </row>
    <row r="48">
      <c r="A48" s="9" t="n"/>
      <c r="B48" s="19" t="n"/>
      <c r="C48" s="9" t="n"/>
      <c r="D48" s="9" t="n"/>
      <c r="E48" s="9" t="n"/>
      <c r="F48" s="10" t="n"/>
      <c r="G48" s="12">
        <f>IF($A48="",0,IF($I48="",0,$F48))</f>
        <v/>
      </c>
      <c r="H48" s="12">
        <f>IF($A48="","",$F48-$G48)</f>
        <v/>
      </c>
      <c r="I48" s="9" t="n"/>
      <c r="J48" s="9" t="n"/>
    </row>
    <row r="49">
      <c r="A49" s="9" t="n"/>
      <c r="B49" s="19" t="n"/>
      <c r="C49" s="9" t="n"/>
      <c r="D49" s="9" t="n"/>
      <c r="E49" s="9" t="n"/>
      <c r="F49" s="10" t="n"/>
      <c r="G49" s="12">
        <f>IF($A49="",0,IF($I49="",0,$F49))</f>
        <v/>
      </c>
      <c r="H49" s="12">
        <f>IF($A49="","",$F49-$G49)</f>
        <v/>
      </c>
      <c r="I49" s="9" t="n"/>
      <c r="J49" s="9" t="n"/>
    </row>
    <row r="50">
      <c r="A50" s="9" t="n"/>
      <c r="B50" s="19" t="n"/>
      <c r="C50" s="9" t="n"/>
      <c r="D50" s="9" t="n"/>
      <c r="E50" s="9" t="n"/>
      <c r="F50" s="10" t="n"/>
      <c r="G50" s="12">
        <f>IF($A50="",0,IF($I50="",0,$F50))</f>
        <v/>
      </c>
      <c r="H50" s="12">
        <f>IF($A50="","",$F50-$G50)</f>
        <v/>
      </c>
      <c r="I50" s="9" t="n"/>
      <c r="J50" s="9" t="n"/>
    </row>
    <row r="51">
      <c r="A51" s="9" t="n"/>
      <c r="B51" s="19" t="n"/>
      <c r="C51" s="9" t="n"/>
      <c r="D51" s="9" t="n"/>
      <c r="E51" s="9" t="n"/>
      <c r="F51" s="10" t="n"/>
      <c r="G51" s="12">
        <f>IF($A51="",0,IF($I51="",0,$F51))</f>
        <v/>
      </c>
      <c r="H51" s="12">
        <f>IF($A51="","",$F51-$G51)</f>
        <v/>
      </c>
      <c r="I51" s="9" t="n"/>
      <c r="J51" s="9" t="n"/>
    </row>
    <row r="52">
      <c r="A52" s="9" t="n"/>
      <c r="B52" s="19" t="n"/>
      <c r="C52" s="9" t="n"/>
      <c r="D52" s="9" t="n"/>
      <c r="E52" s="9" t="n"/>
      <c r="F52" s="10" t="n"/>
      <c r="G52" s="12">
        <f>IF($A52="",0,IF($I52="",0,$F52))</f>
        <v/>
      </c>
      <c r="H52" s="12">
        <f>IF($A52="","",$F52-$G52)</f>
        <v/>
      </c>
      <c r="I52" s="9" t="n"/>
      <c r="J52" s="9" t="n"/>
    </row>
    <row r="53">
      <c r="A53" s="9" t="n"/>
      <c r="B53" s="19" t="n"/>
      <c r="C53" s="9" t="n"/>
      <c r="D53" s="9" t="n"/>
      <c r="E53" s="9" t="n"/>
      <c r="F53" s="10" t="n"/>
      <c r="G53" s="12">
        <f>IF($A53="",0,IF($I53="",0,$F53))</f>
        <v/>
      </c>
      <c r="H53" s="12">
        <f>IF($A53="","",$F53-$G53)</f>
        <v/>
      </c>
      <c r="I53" s="9" t="n"/>
      <c r="J53" s="9" t="n"/>
    </row>
    <row r="54">
      <c r="A54" s="9" t="n"/>
      <c r="B54" s="19" t="n"/>
      <c r="C54" s="9" t="n"/>
      <c r="D54" s="9" t="n"/>
      <c r="E54" s="9" t="n"/>
      <c r="F54" s="10" t="n"/>
      <c r="G54" s="12">
        <f>IF($A54="",0,IF($I54="",0,$F54))</f>
        <v/>
      </c>
      <c r="H54" s="12">
        <f>IF($A54="","",$F54-$G54)</f>
        <v/>
      </c>
      <c r="I54" s="9" t="n"/>
      <c r="J54" s="9" t="n"/>
    </row>
    <row r="55">
      <c r="A55" s="9" t="n"/>
      <c r="B55" s="19" t="n"/>
      <c r="C55" s="9" t="n"/>
      <c r="D55" s="9" t="n"/>
      <c r="E55" s="9" t="n"/>
      <c r="F55" s="10" t="n"/>
      <c r="G55" s="12">
        <f>IF($A55="",0,IF($I55="",0,$F55))</f>
        <v/>
      </c>
      <c r="H55" s="12">
        <f>IF($A55="","",$F55-$G55)</f>
        <v/>
      </c>
      <c r="I55" s="9" t="n"/>
      <c r="J55" s="9" t="n"/>
    </row>
    <row r="56">
      <c r="A56" s="9" t="n"/>
      <c r="B56" s="19" t="n"/>
      <c r="C56" s="9" t="n"/>
      <c r="D56" s="9" t="n"/>
      <c r="E56" s="9" t="n"/>
      <c r="F56" s="10" t="n"/>
      <c r="G56" s="12">
        <f>IF($A56="",0,IF($I56="",0,$F56))</f>
        <v/>
      </c>
      <c r="H56" s="12">
        <f>IF($A56="","",$F56-$G56)</f>
        <v/>
      </c>
      <c r="I56" s="9" t="n"/>
      <c r="J56" s="9" t="n"/>
    </row>
    <row r="57">
      <c r="A57" s="9" t="n"/>
      <c r="B57" s="19" t="n"/>
      <c r="C57" s="9" t="n"/>
      <c r="D57" s="9" t="n"/>
      <c r="E57" s="9" t="n"/>
      <c r="F57" s="10" t="n"/>
      <c r="G57" s="12">
        <f>IF($A57="",0,IF($I57="",0,$F57))</f>
        <v/>
      </c>
      <c r="H57" s="12">
        <f>IF($A57="","",$F57-$G57)</f>
        <v/>
      </c>
      <c r="I57" s="9" t="n"/>
      <c r="J57" s="9" t="n"/>
    </row>
    <row r="58">
      <c r="A58" s="9" t="n"/>
      <c r="B58" s="19" t="n"/>
      <c r="C58" s="9" t="n"/>
      <c r="D58" s="9" t="n"/>
      <c r="E58" s="9" t="n"/>
      <c r="F58" s="10" t="n"/>
      <c r="G58" s="12">
        <f>IF($A58="",0,IF($I58="",0,$F58))</f>
        <v/>
      </c>
      <c r="H58" s="12">
        <f>IF($A58="","",$F58-$G58)</f>
        <v/>
      </c>
      <c r="I58" s="9" t="n"/>
      <c r="J58" s="9" t="n"/>
    </row>
    <row r="59">
      <c r="A59" s="9" t="n"/>
      <c r="B59" s="19" t="n"/>
      <c r="C59" s="9" t="n"/>
      <c r="D59" s="9" t="n"/>
      <c r="E59" s="9" t="n"/>
      <c r="F59" s="10" t="n"/>
      <c r="G59" s="12">
        <f>IF($A59="",0,IF($I59="",0,$F59))</f>
        <v/>
      </c>
      <c r="H59" s="12">
        <f>IF($A59="","",$F59-$G59)</f>
        <v/>
      </c>
      <c r="I59" s="9" t="n"/>
      <c r="J59" s="9" t="n"/>
    </row>
    <row r="60">
      <c r="A60" s="9" t="n"/>
      <c r="B60" s="19" t="n"/>
      <c r="C60" s="9" t="n"/>
      <c r="D60" s="9" t="n"/>
      <c r="E60" s="9" t="n"/>
      <c r="F60" s="10" t="n"/>
      <c r="G60" s="12">
        <f>IF($A60="",0,IF($I60="",0,$F60))</f>
        <v/>
      </c>
      <c r="H60" s="12">
        <f>IF($A60="","",$F60-$G60)</f>
        <v/>
      </c>
      <c r="I60" s="9" t="n"/>
      <c r="J60" s="9" t="n"/>
    </row>
    <row r="61">
      <c r="A61" s="9" t="n"/>
      <c r="B61" s="19" t="n"/>
      <c r="C61" s="9" t="n"/>
      <c r="D61" s="9" t="n"/>
      <c r="E61" s="9" t="n"/>
      <c r="F61" s="10" t="n"/>
      <c r="G61" s="12">
        <f>IF($A61="",0,IF($I61="",0,$F61))</f>
        <v/>
      </c>
      <c r="H61" s="12">
        <f>IF($A61="","",$F61-$G61)</f>
        <v/>
      </c>
      <c r="I61" s="9" t="n"/>
      <c r="J61" s="9" t="n"/>
    </row>
    <row r="62">
      <c r="A62" s="9" t="n"/>
      <c r="B62" s="19" t="n"/>
      <c r="C62" s="9" t="n"/>
      <c r="D62" s="9" t="n"/>
      <c r="E62" s="9" t="n"/>
      <c r="F62" s="10" t="n"/>
      <c r="G62" s="12">
        <f>IF($A62="",0,IF($I62="",0,$F62))</f>
        <v/>
      </c>
      <c r="H62" s="12">
        <f>IF($A62="","",$F62-$G62)</f>
        <v/>
      </c>
      <c r="I62" s="9" t="n"/>
      <c r="J62" s="9" t="n"/>
    </row>
    <row r="63">
      <c r="A63" s="9" t="n"/>
      <c r="B63" s="19" t="n"/>
      <c r="C63" s="9" t="n"/>
      <c r="D63" s="9" t="n"/>
      <c r="E63" s="9" t="n"/>
      <c r="F63" s="10" t="n"/>
      <c r="G63" s="12">
        <f>IF($A63="",0,IF($I63="",0,$F63))</f>
        <v/>
      </c>
      <c r="H63" s="12">
        <f>IF($A63="","",$F63-$G63)</f>
        <v/>
      </c>
      <c r="I63" s="9" t="n"/>
      <c r="J63" s="9" t="n"/>
    </row>
    <row r="64">
      <c r="A64" s="9" t="n"/>
      <c r="B64" s="19" t="n"/>
      <c r="C64" s="9" t="n"/>
      <c r="D64" s="9" t="n"/>
      <c r="E64" s="9" t="n"/>
      <c r="F64" s="10" t="n"/>
      <c r="G64" s="12">
        <f>IF($A64="",0,IF($I64="",0,$F64))</f>
        <v/>
      </c>
      <c r="H64" s="12">
        <f>IF($A64="","",$F64-$G64)</f>
        <v/>
      </c>
      <c r="I64" s="9" t="n"/>
      <c r="J64" s="9" t="n"/>
    </row>
    <row r="65">
      <c r="A65" s="9" t="n"/>
      <c r="B65" s="19" t="n"/>
      <c r="C65" s="9" t="n"/>
      <c r="D65" s="9" t="n"/>
      <c r="E65" s="9" t="n"/>
      <c r="F65" s="10" t="n"/>
      <c r="G65" s="12">
        <f>IF($A65="",0,IF($I65="",0,$F65))</f>
        <v/>
      </c>
      <c r="H65" s="12">
        <f>IF($A65="","",$F65-$G65)</f>
        <v/>
      </c>
      <c r="I65" s="9" t="n"/>
      <c r="J65" s="9" t="n"/>
    </row>
    <row r="66">
      <c r="A66" s="9" t="n"/>
      <c r="B66" s="19" t="n"/>
      <c r="C66" s="9" t="n"/>
      <c r="D66" s="9" t="n"/>
      <c r="E66" s="9" t="n"/>
      <c r="F66" s="10" t="n"/>
      <c r="G66" s="12">
        <f>IF($A66="",0,IF($I66="",0,$F66))</f>
        <v/>
      </c>
      <c r="H66" s="12">
        <f>IF($A66="","",$F66-$G66)</f>
        <v/>
      </c>
      <c r="I66" s="9" t="n"/>
      <c r="J66" s="9" t="n"/>
    </row>
    <row r="67">
      <c r="A67" s="9" t="n"/>
      <c r="B67" s="19" t="n"/>
      <c r="C67" s="9" t="n"/>
      <c r="D67" s="9" t="n"/>
      <c r="E67" s="9" t="n"/>
      <c r="F67" s="10" t="n"/>
      <c r="G67" s="12">
        <f>IF($A67="",0,IF($I67="",0,$F67))</f>
        <v/>
      </c>
      <c r="H67" s="12">
        <f>IF($A67="","",$F67-$G67)</f>
        <v/>
      </c>
      <c r="I67" s="9" t="n"/>
      <c r="J67" s="9" t="n"/>
    </row>
    <row r="68">
      <c r="A68" s="9" t="n"/>
      <c r="B68" s="19" t="n"/>
      <c r="C68" s="9" t="n"/>
      <c r="D68" s="9" t="n"/>
      <c r="E68" s="9" t="n"/>
      <c r="F68" s="10" t="n"/>
      <c r="G68" s="12">
        <f>IF($A68="",0,IF($I68="",0,$F68))</f>
        <v/>
      </c>
      <c r="H68" s="12">
        <f>IF($A68="","",$F68-$G68)</f>
        <v/>
      </c>
      <c r="I68" s="9" t="n"/>
      <c r="J68" s="9" t="n"/>
    </row>
    <row r="69">
      <c r="A69" s="9" t="n"/>
      <c r="B69" s="19" t="n"/>
      <c r="C69" s="9" t="n"/>
      <c r="D69" s="9" t="n"/>
      <c r="E69" s="9" t="n"/>
      <c r="F69" s="10" t="n"/>
      <c r="G69" s="12">
        <f>IF($A69="",0,IF($I69="",0,$F69))</f>
        <v/>
      </c>
      <c r="H69" s="12">
        <f>IF($A69="","",$F69-$G69)</f>
        <v/>
      </c>
      <c r="I69" s="9" t="n"/>
      <c r="J69" s="9" t="n"/>
    </row>
    <row r="70">
      <c r="A70" s="9" t="n"/>
      <c r="B70" s="19" t="n"/>
      <c r="C70" s="9" t="n"/>
      <c r="D70" s="9" t="n"/>
      <c r="E70" s="9" t="n"/>
      <c r="F70" s="10" t="n"/>
      <c r="G70" s="12">
        <f>IF($A70="",0,IF($I70="",0,$F70))</f>
        <v/>
      </c>
      <c r="H70" s="12">
        <f>IF($A70="","",$F70-$G70)</f>
        <v/>
      </c>
      <c r="I70" s="9" t="n"/>
      <c r="J70" s="9" t="n"/>
    </row>
    <row r="71">
      <c r="A71" s="9" t="n"/>
      <c r="B71" s="19" t="n"/>
      <c r="C71" s="9" t="n"/>
      <c r="D71" s="9" t="n"/>
      <c r="E71" s="9" t="n"/>
      <c r="F71" s="10" t="n"/>
      <c r="G71" s="12">
        <f>IF($A71="",0,IF($I71="",0,$F71))</f>
        <v/>
      </c>
      <c r="H71" s="12">
        <f>IF($A71="","",$F71-$G71)</f>
        <v/>
      </c>
      <c r="I71" s="9" t="n"/>
      <c r="J71" s="9" t="n"/>
    </row>
    <row r="72">
      <c r="A72" s="9" t="n"/>
      <c r="B72" s="19" t="n"/>
      <c r="C72" s="9" t="n"/>
      <c r="D72" s="9" t="n"/>
      <c r="E72" s="9" t="n"/>
      <c r="F72" s="10" t="n"/>
      <c r="G72" s="12">
        <f>IF($A72="",0,IF($I72="",0,$F72))</f>
        <v/>
      </c>
      <c r="H72" s="12">
        <f>IF($A72="","",$F72-$G72)</f>
        <v/>
      </c>
      <c r="I72" s="9" t="n"/>
      <c r="J72" s="9" t="n"/>
    </row>
    <row r="73">
      <c r="A73" s="9" t="n"/>
      <c r="B73" s="19" t="n"/>
      <c r="C73" s="9" t="n"/>
      <c r="D73" s="9" t="n"/>
      <c r="E73" s="9" t="n"/>
      <c r="F73" s="10" t="n"/>
      <c r="G73" s="12">
        <f>IF($A73="",0,IF($I73="",0,$F73))</f>
        <v/>
      </c>
      <c r="H73" s="12">
        <f>IF($A73="","",$F73-$G73)</f>
        <v/>
      </c>
      <c r="I73" s="9" t="n"/>
      <c r="J73" s="9" t="n"/>
    </row>
    <row r="74">
      <c r="A74" s="9" t="n"/>
      <c r="B74" s="19" t="n"/>
      <c r="C74" s="9" t="n"/>
      <c r="D74" s="9" t="n"/>
      <c r="E74" s="9" t="n"/>
      <c r="F74" s="10" t="n"/>
      <c r="G74" s="12">
        <f>IF($A74="",0,IF($I74="",0,$F74))</f>
        <v/>
      </c>
      <c r="H74" s="12">
        <f>IF($A74="","",$F74-$G74)</f>
        <v/>
      </c>
      <c r="I74" s="9" t="n"/>
      <c r="J74" s="9" t="n"/>
    </row>
    <row r="75">
      <c r="A75" s="9" t="n"/>
      <c r="B75" s="19" t="n"/>
      <c r="C75" s="9" t="n"/>
      <c r="D75" s="9" t="n"/>
      <c r="E75" s="9" t="n"/>
      <c r="F75" s="10" t="n"/>
      <c r="G75" s="12">
        <f>IF($A75="",0,IF($I75="",0,$F75))</f>
        <v/>
      </c>
      <c r="H75" s="12">
        <f>IF($A75="","",$F75-$G75)</f>
        <v/>
      </c>
      <c r="I75" s="9" t="n"/>
      <c r="J75" s="9" t="n"/>
    </row>
    <row r="76">
      <c r="A76" s="9" t="n"/>
      <c r="B76" s="19" t="n"/>
      <c r="C76" s="9" t="n"/>
      <c r="D76" s="9" t="n"/>
      <c r="E76" s="9" t="n"/>
      <c r="F76" s="10" t="n"/>
      <c r="G76" s="12">
        <f>IF($A76="",0,IF($I76="",0,$F76))</f>
        <v/>
      </c>
      <c r="H76" s="12">
        <f>IF($A76="","",$F76-$G76)</f>
        <v/>
      </c>
      <c r="I76" s="9" t="n"/>
      <c r="J76" s="9" t="n"/>
    </row>
    <row r="77">
      <c r="A77" s="9" t="n"/>
      <c r="B77" s="19" t="n"/>
      <c r="C77" s="9" t="n"/>
      <c r="D77" s="9" t="n"/>
      <c r="E77" s="9" t="n"/>
      <c r="F77" s="10" t="n"/>
      <c r="G77" s="12">
        <f>IF($A77="",0,IF($I77="",0,$F77))</f>
        <v/>
      </c>
      <c r="H77" s="12">
        <f>IF($A77="","",$F77-$G77)</f>
        <v/>
      </c>
      <c r="I77" s="9" t="n"/>
      <c r="J77" s="9" t="n"/>
    </row>
    <row r="78">
      <c r="A78" s="9" t="n"/>
      <c r="B78" s="19" t="n"/>
      <c r="C78" s="9" t="n"/>
      <c r="D78" s="9" t="n"/>
      <c r="E78" s="9" t="n"/>
      <c r="F78" s="10" t="n"/>
      <c r="G78" s="12">
        <f>IF($A78="",0,IF($I78="",0,$F78))</f>
        <v/>
      </c>
      <c r="H78" s="12">
        <f>IF($A78="","",$F78-$G78)</f>
        <v/>
      </c>
      <c r="I78" s="9" t="n"/>
      <c r="J78" s="9" t="n"/>
    </row>
    <row r="79">
      <c r="A79" s="9" t="n"/>
      <c r="B79" s="19" t="n"/>
      <c r="C79" s="9" t="n"/>
      <c r="D79" s="9" t="n"/>
      <c r="E79" s="9" t="n"/>
      <c r="F79" s="10" t="n"/>
      <c r="G79" s="12">
        <f>IF($A79="",0,IF($I79="",0,$F79))</f>
        <v/>
      </c>
      <c r="H79" s="12">
        <f>IF($A79="","",$F79-$G79)</f>
        <v/>
      </c>
      <c r="I79" s="9" t="n"/>
      <c r="J79" s="9" t="n"/>
    </row>
    <row r="80">
      <c r="A80" s="9" t="n"/>
      <c r="B80" s="19" t="n"/>
      <c r="C80" s="9" t="n"/>
      <c r="D80" s="9" t="n"/>
      <c r="E80" s="9" t="n"/>
      <c r="F80" s="10" t="n"/>
      <c r="G80" s="12">
        <f>IF($A80="",0,IF($I80="",0,$F80))</f>
        <v/>
      </c>
      <c r="H80" s="12">
        <f>IF($A80="","",$F80-$G80)</f>
        <v/>
      </c>
      <c r="I80" s="9" t="n"/>
      <c r="J80" s="9" t="n"/>
    </row>
    <row r="81">
      <c r="A81" s="9" t="n"/>
      <c r="B81" s="19" t="n"/>
      <c r="C81" s="9" t="n"/>
      <c r="D81" s="9" t="n"/>
      <c r="E81" s="9" t="n"/>
      <c r="F81" s="10" t="n"/>
      <c r="G81" s="12">
        <f>IF($A81="",0,IF($I81="",0,$F81))</f>
        <v/>
      </c>
      <c r="H81" s="12">
        <f>IF($A81="","",$F81-$G81)</f>
        <v/>
      </c>
      <c r="I81" s="9" t="n"/>
      <c r="J81" s="9" t="n"/>
    </row>
    <row r="82">
      <c r="A82" s="9" t="n"/>
      <c r="B82" s="19" t="n"/>
      <c r="C82" s="9" t="n"/>
      <c r="D82" s="9" t="n"/>
      <c r="E82" s="9" t="n"/>
      <c r="F82" s="10" t="n"/>
      <c r="G82" s="12">
        <f>IF($A82="",0,IF($I82="",0,$F82))</f>
        <v/>
      </c>
      <c r="H82" s="12">
        <f>IF($A82="","",$F82-$G82)</f>
        <v/>
      </c>
      <c r="I82" s="9" t="n"/>
      <c r="J82" s="9" t="n"/>
    </row>
    <row r="83">
      <c r="A83" s="9" t="n"/>
      <c r="B83" s="19" t="n"/>
      <c r="C83" s="9" t="n"/>
      <c r="D83" s="9" t="n"/>
      <c r="E83" s="9" t="n"/>
      <c r="F83" s="10" t="n"/>
      <c r="G83" s="12">
        <f>IF($A83="",0,IF($I83="",0,$F83))</f>
        <v/>
      </c>
      <c r="H83" s="12">
        <f>IF($A83="","",$F83-$G83)</f>
        <v/>
      </c>
      <c r="I83" s="9" t="n"/>
      <c r="J83" s="9" t="n"/>
    </row>
    <row r="84">
      <c r="A84" s="9" t="n"/>
      <c r="B84" s="19" t="n"/>
      <c r="C84" s="9" t="n"/>
      <c r="D84" s="9" t="n"/>
      <c r="E84" s="9" t="n"/>
      <c r="F84" s="10" t="n"/>
      <c r="G84" s="12">
        <f>IF($A84="",0,IF($I84="",0,$F84))</f>
        <v/>
      </c>
      <c r="H84" s="12">
        <f>IF($A84="","",$F84-$G84)</f>
        <v/>
      </c>
      <c r="I84" s="9" t="n"/>
      <c r="J84" s="9" t="n"/>
    </row>
    <row r="85">
      <c r="A85" s="9" t="n"/>
      <c r="B85" s="19" t="n"/>
      <c r="C85" s="9" t="n"/>
      <c r="D85" s="9" t="n"/>
      <c r="E85" s="9" t="n"/>
      <c r="F85" s="10" t="n"/>
      <c r="G85" s="12">
        <f>IF($A85="",0,IF($I85="",0,$F85))</f>
        <v/>
      </c>
      <c r="H85" s="12">
        <f>IF($A85="","",$F85-$G85)</f>
        <v/>
      </c>
      <c r="I85" s="9" t="n"/>
      <c r="J85" s="9" t="n"/>
    </row>
    <row r="86">
      <c r="A86" s="9" t="n"/>
      <c r="B86" s="19" t="n"/>
      <c r="C86" s="9" t="n"/>
      <c r="D86" s="9" t="n"/>
      <c r="E86" s="9" t="n"/>
      <c r="F86" s="10" t="n"/>
      <c r="G86" s="12">
        <f>IF($A86="",0,IF($I86="",0,$F86))</f>
        <v/>
      </c>
      <c r="H86" s="12">
        <f>IF($A86="","",$F86-$G86)</f>
        <v/>
      </c>
      <c r="I86" s="9" t="n"/>
      <c r="J86" s="9" t="n"/>
    </row>
    <row r="87">
      <c r="A87" s="9" t="n"/>
      <c r="B87" s="19" t="n"/>
      <c r="C87" s="9" t="n"/>
      <c r="D87" s="9" t="n"/>
      <c r="E87" s="9" t="n"/>
      <c r="F87" s="10" t="n"/>
      <c r="G87" s="12">
        <f>IF($A87="",0,IF($I87="",0,$F87))</f>
        <v/>
      </c>
      <c r="H87" s="12">
        <f>IF($A87="","",$F87-$G87)</f>
        <v/>
      </c>
      <c r="I87" s="9" t="n"/>
      <c r="J87" s="9" t="n"/>
    </row>
    <row r="88">
      <c r="A88" s="9" t="n"/>
      <c r="B88" s="19" t="n"/>
      <c r="C88" s="9" t="n"/>
      <c r="D88" s="9" t="n"/>
      <c r="E88" s="9" t="n"/>
      <c r="F88" s="10" t="n"/>
      <c r="G88" s="12">
        <f>IF($A88="",0,IF($I88="",0,$F88))</f>
        <v/>
      </c>
      <c r="H88" s="12">
        <f>IF($A88="","",$F88-$G88)</f>
        <v/>
      </c>
      <c r="I88" s="9" t="n"/>
      <c r="J88" s="9" t="n"/>
    </row>
    <row r="89">
      <c r="A89" s="9" t="n"/>
      <c r="B89" s="19" t="n"/>
      <c r="C89" s="9" t="n"/>
      <c r="D89" s="9" t="n"/>
      <c r="E89" s="9" t="n"/>
      <c r="F89" s="10" t="n"/>
      <c r="G89" s="12">
        <f>IF($A89="",0,IF($I89="",0,$F89))</f>
        <v/>
      </c>
      <c r="H89" s="12">
        <f>IF($A89="","",$F89-$G89)</f>
        <v/>
      </c>
      <c r="I89" s="9" t="n"/>
      <c r="J89" s="9" t="n"/>
    </row>
    <row r="90">
      <c r="A90" s="9" t="n"/>
      <c r="B90" s="19" t="n"/>
      <c r="C90" s="9" t="n"/>
      <c r="D90" s="9" t="n"/>
      <c r="E90" s="9" t="n"/>
      <c r="F90" s="10" t="n"/>
      <c r="G90" s="12">
        <f>IF($A90="",0,IF($I90="",0,$F90))</f>
        <v/>
      </c>
      <c r="H90" s="12">
        <f>IF($A90="","",$F90-$G90)</f>
        <v/>
      </c>
      <c r="I90" s="9" t="n"/>
      <c r="J90" s="9" t="n"/>
    </row>
    <row r="91">
      <c r="A91" s="9" t="n"/>
      <c r="B91" s="19" t="n"/>
      <c r="C91" s="9" t="n"/>
      <c r="D91" s="9" t="n"/>
      <c r="E91" s="9" t="n"/>
      <c r="F91" s="10" t="n"/>
      <c r="G91" s="12">
        <f>IF($A91="",0,IF($I91="",0,$F91))</f>
        <v/>
      </c>
      <c r="H91" s="12">
        <f>IF($A91="","",$F91-$G91)</f>
        <v/>
      </c>
      <c r="I91" s="9" t="n"/>
      <c r="J91" s="9" t="n"/>
    </row>
    <row r="92">
      <c r="A92" s="9" t="n"/>
      <c r="B92" s="19" t="n"/>
      <c r="C92" s="9" t="n"/>
      <c r="D92" s="9" t="n"/>
      <c r="E92" s="9" t="n"/>
      <c r="F92" s="10" t="n"/>
      <c r="G92" s="12">
        <f>IF($A92="",0,IF($I92="",0,$F92))</f>
        <v/>
      </c>
      <c r="H92" s="12">
        <f>IF($A92="","",$F92-$G92)</f>
        <v/>
      </c>
      <c r="I92" s="9" t="n"/>
      <c r="J92" s="9" t="n"/>
    </row>
    <row r="93">
      <c r="A93" s="9" t="n"/>
      <c r="B93" s="19" t="n"/>
      <c r="C93" s="9" t="n"/>
      <c r="D93" s="9" t="n"/>
      <c r="E93" s="9" t="n"/>
      <c r="F93" s="10" t="n"/>
      <c r="G93" s="12">
        <f>IF($A93="",0,IF($I93="",0,$F93))</f>
        <v/>
      </c>
      <c r="H93" s="12">
        <f>IF($A93="","",$F93-$G93)</f>
        <v/>
      </c>
      <c r="I93" s="9" t="n"/>
      <c r="J93" s="9" t="n"/>
    </row>
    <row r="94">
      <c r="A94" s="9" t="n"/>
      <c r="B94" s="19" t="n"/>
      <c r="C94" s="9" t="n"/>
      <c r="D94" s="9" t="n"/>
      <c r="E94" s="9" t="n"/>
      <c r="F94" s="10" t="n"/>
      <c r="G94" s="12">
        <f>IF($A94="",0,IF($I94="",0,$F94))</f>
        <v/>
      </c>
      <c r="H94" s="12">
        <f>IF($A94="","",$F94-$G94)</f>
        <v/>
      </c>
      <c r="I94" s="9" t="n"/>
      <c r="J94" s="9" t="n"/>
    </row>
    <row r="95">
      <c r="A95" s="9" t="n"/>
      <c r="B95" s="19" t="n"/>
      <c r="C95" s="9" t="n"/>
      <c r="D95" s="9" t="n"/>
      <c r="E95" s="9" t="n"/>
      <c r="F95" s="10" t="n"/>
      <c r="G95" s="12">
        <f>IF($A95="",0,IF($I95="",0,$F95))</f>
        <v/>
      </c>
      <c r="H95" s="12">
        <f>IF($A95="","",$F95-$G95)</f>
        <v/>
      </c>
      <c r="I95" s="9" t="n"/>
      <c r="J95" s="9" t="n"/>
    </row>
    <row r="96">
      <c r="A96" s="9" t="n"/>
      <c r="B96" s="19" t="n"/>
      <c r="C96" s="9" t="n"/>
      <c r="D96" s="9" t="n"/>
      <c r="E96" s="9" t="n"/>
      <c r="F96" s="10" t="n"/>
      <c r="G96" s="12">
        <f>IF($A96="",0,IF($I96="",0,$F96))</f>
        <v/>
      </c>
      <c r="H96" s="12">
        <f>IF($A96="","",$F96-$G96)</f>
        <v/>
      </c>
      <c r="I96" s="9" t="n"/>
      <c r="J96" s="9" t="n"/>
    </row>
    <row r="97">
      <c r="A97" s="9" t="n"/>
      <c r="B97" s="19" t="n"/>
      <c r="C97" s="9" t="n"/>
      <c r="D97" s="9" t="n"/>
      <c r="E97" s="9" t="n"/>
      <c r="F97" s="10" t="n"/>
      <c r="G97" s="12">
        <f>IF($A97="",0,IF($I97="",0,$F97))</f>
        <v/>
      </c>
      <c r="H97" s="12">
        <f>IF($A97="","",$F97-$G97)</f>
        <v/>
      </c>
      <c r="I97" s="9" t="n"/>
      <c r="J97" s="9" t="n"/>
    </row>
    <row r="98">
      <c r="A98" s="9" t="n"/>
      <c r="B98" s="19" t="n"/>
      <c r="C98" s="9" t="n"/>
      <c r="D98" s="9" t="n"/>
      <c r="E98" s="9" t="n"/>
      <c r="F98" s="10" t="n"/>
      <c r="G98" s="12">
        <f>IF($A98="",0,IF($I98="",0,$F98))</f>
        <v/>
      </c>
      <c r="H98" s="12">
        <f>IF($A98="","",$F98-$G98)</f>
        <v/>
      </c>
      <c r="I98" s="9" t="n"/>
      <c r="J98" s="9" t="n"/>
    </row>
    <row r="99">
      <c r="A99" s="9" t="n"/>
      <c r="B99" s="19" t="n"/>
      <c r="C99" s="9" t="n"/>
      <c r="D99" s="9" t="n"/>
      <c r="E99" s="9" t="n"/>
      <c r="F99" s="10" t="n"/>
      <c r="G99" s="12">
        <f>IF($A99="",0,IF($I99="",0,$F99))</f>
        <v/>
      </c>
      <c r="H99" s="12">
        <f>IF($A99="","",$F99-$G99)</f>
        <v/>
      </c>
      <c r="I99" s="9" t="n"/>
      <c r="J99" s="9" t="n"/>
    </row>
    <row r="100">
      <c r="A100" s="9" t="n"/>
      <c r="B100" s="19" t="n"/>
      <c r="C100" s="9" t="n"/>
      <c r="D100" s="9" t="n"/>
      <c r="E100" s="9" t="n"/>
      <c r="F100" s="10" t="n"/>
      <c r="G100" s="12">
        <f>IF($A100="",0,IF($I100="",0,$F100))</f>
        <v/>
      </c>
      <c r="H100" s="12">
        <f>IF($A100="","",$F100-$G100)</f>
        <v/>
      </c>
      <c r="I100" s="9" t="n"/>
      <c r="J100" s="9" t="n"/>
    </row>
    <row r="101">
      <c r="A101" s="9" t="n"/>
      <c r="B101" s="19" t="n"/>
      <c r="C101" s="9" t="n"/>
      <c r="D101" s="9" t="n"/>
      <c r="E101" s="9" t="n"/>
      <c r="F101" s="10" t="n"/>
      <c r="G101" s="12">
        <f>IF($A101="",0,IF($I101="",0,$F101))</f>
        <v/>
      </c>
      <c r="H101" s="12">
        <f>IF($A101="","",$F101-$G101)</f>
        <v/>
      </c>
      <c r="I101" s="9" t="n"/>
      <c r="J101" s="9" t="n"/>
    </row>
    <row r="102">
      <c r="A102" s="9" t="n"/>
      <c r="B102" s="19" t="n"/>
      <c r="C102" s="9" t="n"/>
      <c r="D102" s="9" t="n"/>
      <c r="E102" s="9" t="n"/>
      <c r="F102" s="10" t="n"/>
      <c r="G102" s="12">
        <f>IF($A102="",0,IF($I102="",0,$F102))</f>
        <v/>
      </c>
      <c r="H102" s="12">
        <f>IF($A102="","",$F102-$G102)</f>
        <v/>
      </c>
      <c r="I102" s="9" t="n"/>
      <c r="J102" s="9" t="n"/>
    </row>
    <row r="103">
      <c r="A103" s="9" t="n"/>
      <c r="B103" s="19" t="n"/>
      <c r="C103" s="9" t="n"/>
      <c r="D103" s="9" t="n"/>
      <c r="E103" s="9" t="n"/>
      <c r="F103" s="10" t="n"/>
      <c r="G103" s="12">
        <f>IF($A103="",0,IF($I103="",0,$F103))</f>
        <v/>
      </c>
      <c r="H103" s="12">
        <f>IF($A103="","",$F103-$G103)</f>
        <v/>
      </c>
      <c r="I103" s="9" t="n"/>
      <c r="J103" s="9" t="n"/>
    </row>
    <row r="104">
      <c r="A104" s="9" t="n"/>
      <c r="B104" s="19" t="n"/>
      <c r="C104" s="9" t="n"/>
      <c r="D104" s="9" t="n"/>
      <c r="E104" s="9" t="n"/>
      <c r="F104" s="10" t="n"/>
      <c r="G104" s="12">
        <f>IF($A104="",0,IF($I104="",0,$F104))</f>
        <v/>
      </c>
      <c r="H104" s="12">
        <f>IF($A104="","",$F104-$G104)</f>
        <v/>
      </c>
      <c r="I104" s="9" t="n"/>
      <c r="J104" s="9" t="n"/>
    </row>
    <row r="105">
      <c r="A105" s="9" t="n"/>
      <c r="B105" s="19" t="n"/>
      <c r="C105" s="9" t="n"/>
      <c r="D105" s="9" t="n"/>
      <c r="E105" s="9" t="n"/>
      <c r="F105" s="10" t="n"/>
      <c r="G105" s="12">
        <f>IF($A105="",0,IF($I105="",0,$F105))</f>
        <v/>
      </c>
      <c r="H105" s="12">
        <f>IF($A105="","",$F105-$G105)</f>
        <v/>
      </c>
      <c r="I105" s="9" t="n"/>
      <c r="J105" s="9" t="n"/>
    </row>
    <row r="106">
      <c r="A106" s="9" t="n"/>
      <c r="B106" s="19" t="n"/>
      <c r="C106" s="9" t="n"/>
      <c r="D106" s="9" t="n"/>
      <c r="E106" s="9" t="n"/>
      <c r="F106" s="10" t="n"/>
      <c r="G106" s="12">
        <f>IF($A106="",0,IF($I106="",0,$F106))</f>
        <v/>
      </c>
      <c r="H106" s="12">
        <f>IF($A106="","",$F106-$G106)</f>
        <v/>
      </c>
      <c r="I106" s="9" t="n"/>
      <c r="J106" s="9" t="n"/>
    </row>
    <row r="107">
      <c r="A107" s="9" t="n"/>
      <c r="B107" s="19" t="n"/>
      <c r="C107" s="9" t="n"/>
      <c r="D107" s="9" t="n"/>
      <c r="E107" s="9" t="n"/>
      <c r="F107" s="10" t="n"/>
      <c r="G107" s="12">
        <f>IF($A107="",0,IF($I107="",0,$F107))</f>
        <v/>
      </c>
      <c r="H107" s="12">
        <f>IF($A107="","",$F107-$G107)</f>
        <v/>
      </c>
      <c r="I107" s="9" t="n"/>
      <c r="J107" s="9" t="n"/>
    </row>
    <row r="108">
      <c r="A108" s="9" t="n"/>
      <c r="B108" s="19" t="n"/>
      <c r="C108" s="9" t="n"/>
      <c r="D108" s="9" t="n"/>
      <c r="E108" s="9" t="n"/>
      <c r="F108" s="10" t="n"/>
      <c r="G108" s="12">
        <f>IF($A108="",0,IF($I108="",0,$F108))</f>
        <v/>
      </c>
      <c r="H108" s="12">
        <f>IF($A108="","",$F108-$G108)</f>
        <v/>
      </c>
      <c r="I108" s="9" t="n"/>
      <c r="J108" s="9" t="n"/>
    </row>
    <row r="109">
      <c r="A109" s="9" t="n"/>
      <c r="B109" s="19" t="n"/>
      <c r="C109" s="9" t="n"/>
      <c r="D109" s="9" t="n"/>
      <c r="E109" s="9" t="n"/>
      <c r="F109" s="10" t="n"/>
      <c r="G109" s="12">
        <f>IF($A109="",0,IF($I109="",0,$F109))</f>
        <v/>
      </c>
      <c r="H109" s="12">
        <f>IF($A109="","",$F109-$G109)</f>
        <v/>
      </c>
      <c r="I109" s="9" t="n"/>
      <c r="J109" s="9" t="n"/>
    </row>
    <row r="110">
      <c r="A110" s="9" t="n"/>
      <c r="B110" s="19" t="n"/>
      <c r="C110" s="9" t="n"/>
      <c r="D110" s="9" t="n"/>
      <c r="E110" s="9" t="n"/>
      <c r="F110" s="10" t="n"/>
      <c r="G110" s="12">
        <f>IF($A110="",0,IF($I110="",0,$F110))</f>
        <v/>
      </c>
      <c r="H110" s="12">
        <f>IF($A110="","",$F110-$G110)</f>
        <v/>
      </c>
      <c r="I110" s="9" t="n"/>
      <c r="J110" s="9" t="n"/>
    </row>
    <row r="111">
      <c r="A111" s="9" t="n"/>
      <c r="B111" s="19" t="n"/>
      <c r="C111" s="9" t="n"/>
      <c r="D111" s="9" t="n"/>
      <c r="E111" s="9" t="n"/>
      <c r="F111" s="10" t="n"/>
      <c r="G111" s="12">
        <f>IF($A111="",0,IF($I111="",0,$F111))</f>
        <v/>
      </c>
      <c r="H111" s="12">
        <f>IF($A111="","",$F111-$G111)</f>
        <v/>
      </c>
      <c r="I111" s="9" t="n"/>
      <c r="J111" s="9" t="n"/>
    </row>
    <row r="112">
      <c r="A112" s="9" t="n"/>
      <c r="B112" s="19" t="n"/>
      <c r="C112" s="9" t="n"/>
      <c r="D112" s="9" t="n"/>
      <c r="E112" s="9" t="n"/>
      <c r="F112" s="10" t="n"/>
      <c r="G112" s="12">
        <f>IF($A112="",0,IF($I112="",0,$F112))</f>
        <v/>
      </c>
      <c r="H112" s="12">
        <f>IF($A112="","",$F112-$G112)</f>
        <v/>
      </c>
      <c r="I112" s="9" t="n"/>
      <c r="J112" s="9" t="n"/>
    </row>
    <row r="113">
      <c r="A113" s="9" t="n"/>
      <c r="B113" s="19" t="n"/>
      <c r="C113" s="9" t="n"/>
      <c r="D113" s="9" t="n"/>
      <c r="E113" s="9" t="n"/>
      <c r="F113" s="10" t="n"/>
      <c r="G113" s="12">
        <f>IF($A113="",0,IF($I113="",0,$F113))</f>
        <v/>
      </c>
      <c r="H113" s="12">
        <f>IF($A113="","",$F113-$G113)</f>
        <v/>
      </c>
      <c r="I113" s="9" t="n"/>
      <c r="J113" s="9" t="n"/>
    </row>
    <row r="114">
      <c r="A114" s="9" t="n"/>
      <c r="B114" s="19" t="n"/>
      <c r="C114" s="9" t="n"/>
      <c r="D114" s="9" t="n"/>
      <c r="E114" s="9" t="n"/>
      <c r="F114" s="10" t="n"/>
      <c r="G114" s="12">
        <f>IF($A114="",0,IF($I114="",0,$F114))</f>
        <v/>
      </c>
      <c r="H114" s="12">
        <f>IF($A114="","",$F114-$G114)</f>
        <v/>
      </c>
      <c r="I114" s="9" t="n"/>
      <c r="J114" s="9" t="n"/>
    </row>
    <row r="115">
      <c r="A115" s="9" t="n"/>
      <c r="B115" s="19" t="n"/>
      <c r="C115" s="9" t="n"/>
      <c r="D115" s="9" t="n"/>
      <c r="E115" s="9" t="n"/>
      <c r="F115" s="10" t="n"/>
      <c r="G115" s="12">
        <f>IF($A115="",0,IF($I115="",0,$F115))</f>
        <v/>
      </c>
      <c r="H115" s="12">
        <f>IF($A115="","",$F115-$G115)</f>
        <v/>
      </c>
      <c r="I115" s="9" t="n"/>
      <c r="J115" s="9" t="n"/>
    </row>
    <row r="116">
      <c r="A116" s="9" t="n"/>
      <c r="B116" s="19" t="n"/>
      <c r="C116" s="9" t="n"/>
      <c r="D116" s="9" t="n"/>
      <c r="E116" s="9" t="n"/>
      <c r="F116" s="10" t="n"/>
      <c r="G116" s="12">
        <f>IF($A116="",0,IF($I116="",0,$F116))</f>
        <v/>
      </c>
      <c r="H116" s="12">
        <f>IF($A116="","",$F116-$G116)</f>
        <v/>
      </c>
      <c r="I116" s="9" t="n"/>
      <c r="J116" s="9" t="n"/>
    </row>
    <row r="117">
      <c r="A117" s="9" t="n"/>
      <c r="B117" s="19" t="n"/>
      <c r="C117" s="9" t="n"/>
      <c r="D117" s="9" t="n"/>
      <c r="E117" s="9" t="n"/>
      <c r="F117" s="10" t="n"/>
      <c r="G117" s="12">
        <f>IF($A117="",0,IF($I117="",0,$F117))</f>
        <v/>
      </c>
      <c r="H117" s="12">
        <f>IF($A117="","",$F117-$G117)</f>
        <v/>
      </c>
      <c r="I117" s="9" t="n"/>
      <c r="J117" s="9" t="n"/>
    </row>
    <row r="118">
      <c r="A118" s="9" t="n"/>
      <c r="B118" s="19" t="n"/>
      <c r="C118" s="9" t="n"/>
      <c r="D118" s="9" t="n"/>
      <c r="E118" s="9" t="n"/>
      <c r="F118" s="10" t="n"/>
      <c r="G118" s="12">
        <f>IF($A118="",0,IF($I118="",0,$F118))</f>
        <v/>
      </c>
      <c r="H118" s="12">
        <f>IF($A118="","",$F118-$G118)</f>
        <v/>
      </c>
      <c r="I118" s="9" t="n"/>
      <c r="J118" s="9" t="n"/>
    </row>
    <row r="119">
      <c r="A119" s="9" t="n"/>
      <c r="B119" s="19" t="n"/>
      <c r="C119" s="9" t="n"/>
      <c r="D119" s="9" t="n"/>
      <c r="E119" s="9" t="n"/>
      <c r="F119" s="10" t="n"/>
      <c r="G119" s="12">
        <f>IF($A119="",0,IF($I119="",0,$F119))</f>
        <v/>
      </c>
      <c r="H119" s="12">
        <f>IF($A119="","",$F119-$G119)</f>
        <v/>
      </c>
      <c r="I119" s="9" t="n"/>
      <c r="J119" s="9" t="n"/>
    </row>
    <row r="120">
      <c r="A120" s="9" t="n"/>
      <c r="B120" s="19" t="n"/>
      <c r="C120" s="9" t="n"/>
      <c r="D120" s="9" t="n"/>
      <c r="E120" s="9" t="n"/>
      <c r="F120" s="10" t="n"/>
      <c r="G120" s="12">
        <f>IF($A120="",0,IF($I120="",0,$F120))</f>
        <v/>
      </c>
      <c r="H120" s="12">
        <f>IF($A120="","",$F120-$G120)</f>
        <v/>
      </c>
      <c r="I120" s="9" t="n"/>
      <c r="J120" s="9" t="n"/>
    </row>
    <row r="121">
      <c r="A121" s="9" t="n"/>
      <c r="B121" s="19" t="n"/>
      <c r="C121" s="9" t="n"/>
      <c r="D121" s="9" t="n"/>
      <c r="E121" s="9" t="n"/>
      <c r="F121" s="10" t="n"/>
      <c r="G121" s="12">
        <f>IF($A121="",0,IF($I121="",0,$F121))</f>
        <v/>
      </c>
      <c r="H121" s="12">
        <f>IF($A121="","",$F121-$G121)</f>
        <v/>
      </c>
      <c r="I121" s="9" t="n"/>
      <c r="J121" s="9" t="n"/>
    </row>
    <row r="122">
      <c r="A122" s="9" t="n"/>
      <c r="B122" s="19" t="n"/>
      <c r="C122" s="9" t="n"/>
      <c r="D122" s="9" t="n"/>
      <c r="E122" s="9" t="n"/>
      <c r="F122" s="10" t="n"/>
      <c r="G122" s="12">
        <f>IF($A122="",0,IF($I122="",0,$F122))</f>
        <v/>
      </c>
      <c r="H122" s="12">
        <f>IF($A122="","",$F122-$G122)</f>
        <v/>
      </c>
      <c r="I122" s="9" t="n"/>
      <c r="J122" s="9" t="n"/>
    </row>
    <row r="123">
      <c r="A123" s="9" t="n"/>
      <c r="B123" s="19" t="n"/>
      <c r="C123" s="9" t="n"/>
      <c r="D123" s="9" t="n"/>
      <c r="E123" s="9" t="n"/>
      <c r="F123" s="10" t="n"/>
      <c r="G123" s="12">
        <f>IF($A123="",0,IF($I123="",0,$F123))</f>
        <v/>
      </c>
      <c r="H123" s="12">
        <f>IF($A123="","",$F123-$G123)</f>
        <v/>
      </c>
      <c r="I123" s="9" t="n"/>
      <c r="J123" s="9" t="n"/>
    </row>
    <row r="124">
      <c r="A124" s="9" t="n"/>
      <c r="B124" s="19" t="n"/>
      <c r="C124" s="9" t="n"/>
      <c r="D124" s="9" t="n"/>
      <c r="E124" s="9" t="n"/>
      <c r="F124" s="10" t="n"/>
      <c r="G124" s="12">
        <f>IF($A124="",0,IF($I124="",0,$F124))</f>
        <v/>
      </c>
      <c r="H124" s="12">
        <f>IF($A124="","",$F124-$G124)</f>
        <v/>
      </c>
      <c r="I124" s="9" t="n"/>
      <c r="J124" s="9" t="n"/>
    </row>
    <row r="125">
      <c r="A125" s="9" t="n"/>
      <c r="B125" s="19" t="n"/>
      <c r="C125" s="9" t="n"/>
      <c r="D125" s="9" t="n"/>
      <c r="E125" s="9" t="n"/>
      <c r="F125" s="10" t="n"/>
      <c r="G125" s="12">
        <f>IF($A125="",0,IF($I125="",0,$F125))</f>
        <v/>
      </c>
      <c r="H125" s="12">
        <f>IF($A125="","",$F125-$G125)</f>
        <v/>
      </c>
      <c r="I125" s="9" t="n"/>
      <c r="J125" s="9" t="n"/>
    </row>
    <row r="126">
      <c r="A126" s="9" t="n"/>
      <c r="B126" s="19" t="n"/>
      <c r="C126" s="9" t="n"/>
      <c r="D126" s="9" t="n"/>
      <c r="E126" s="9" t="n"/>
      <c r="F126" s="10" t="n"/>
      <c r="G126" s="12">
        <f>IF($A126="",0,IF($I126="",0,$F126))</f>
        <v/>
      </c>
      <c r="H126" s="12">
        <f>IF($A126="","",$F126-$G126)</f>
        <v/>
      </c>
      <c r="I126" s="9" t="n"/>
      <c r="J126" s="9" t="n"/>
    </row>
    <row r="127">
      <c r="A127" s="9" t="n"/>
      <c r="B127" s="19" t="n"/>
      <c r="C127" s="9" t="n"/>
      <c r="D127" s="9" t="n"/>
      <c r="E127" s="9" t="n"/>
      <c r="F127" s="10" t="n"/>
      <c r="G127" s="12">
        <f>IF($A127="",0,IF($I127="",0,$F127))</f>
        <v/>
      </c>
      <c r="H127" s="12">
        <f>IF($A127="","",$F127-$G127)</f>
        <v/>
      </c>
      <c r="I127" s="9" t="n"/>
      <c r="J127" s="9" t="n"/>
    </row>
    <row r="128">
      <c r="A128" s="9" t="n"/>
      <c r="B128" s="19" t="n"/>
      <c r="C128" s="9" t="n"/>
      <c r="D128" s="9" t="n"/>
      <c r="E128" s="9" t="n"/>
      <c r="F128" s="10" t="n"/>
      <c r="G128" s="12">
        <f>IF($A128="",0,IF($I128="",0,$F128))</f>
        <v/>
      </c>
      <c r="H128" s="12">
        <f>IF($A128="","",$F128-$G128)</f>
        <v/>
      </c>
      <c r="I128" s="9" t="n"/>
      <c r="J128" s="9" t="n"/>
    </row>
    <row r="129">
      <c r="A129" s="9" t="n"/>
      <c r="B129" s="19" t="n"/>
      <c r="C129" s="9" t="n"/>
      <c r="D129" s="9" t="n"/>
      <c r="E129" s="9" t="n"/>
      <c r="F129" s="10" t="n"/>
      <c r="G129" s="12">
        <f>IF($A129="",0,IF($I129="",0,$F129))</f>
        <v/>
      </c>
      <c r="H129" s="12">
        <f>IF($A129="","",$F129-$G129)</f>
        <v/>
      </c>
      <c r="I129" s="9" t="n"/>
      <c r="J129" s="9" t="n"/>
    </row>
    <row r="130">
      <c r="A130" s="9" t="n"/>
      <c r="B130" s="19" t="n"/>
      <c r="C130" s="9" t="n"/>
      <c r="D130" s="9" t="n"/>
      <c r="E130" s="9" t="n"/>
      <c r="F130" s="10" t="n"/>
      <c r="G130" s="12">
        <f>IF($A130="",0,IF($I130="",0,$F130))</f>
        <v/>
      </c>
      <c r="H130" s="12">
        <f>IF($A130="","",$F130-$G130)</f>
        <v/>
      </c>
      <c r="I130" s="9" t="n"/>
      <c r="J130" s="9" t="n"/>
    </row>
    <row r="131">
      <c r="A131" s="9" t="n"/>
      <c r="B131" s="19" t="n"/>
      <c r="C131" s="9" t="n"/>
      <c r="D131" s="9" t="n"/>
      <c r="E131" s="9" t="n"/>
      <c r="F131" s="10" t="n"/>
      <c r="G131" s="12">
        <f>IF($A131="",0,IF($I131="",0,$F131))</f>
        <v/>
      </c>
      <c r="H131" s="12">
        <f>IF($A131="","",$F131-$G131)</f>
        <v/>
      </c>
      <c r="I131" s="9" t="n"/>
      <c r="J131" s="9" t="n"/>
    </row>
    <row r="132">
      <c r="A132" s="9" t="n"/>
      <c r="B132" s="19" t="n"/>
      <c r="C132" s="9" t="n"/>
      <c r="D132" s="9" t="n"/>
      <c r="E132" s="9" t="n"/>
      <c r="F132" s="10" t="n"/>
      <c r="G132" s="12">
        <f>IF($A132="",0,IF($I132="",0,$F132))</f>
        <v/>
      </c>
      <c r="H132" s="12">
        <f>IF($A132="","",$F132-$G132)</f>
        <v/>
      </c>
      <c r="I132" s="9" t="n"/>
      <c r="J132" s="9" t="n"/>
    </row>
    <row r="133">
      <c r="A133" s="9" t="n"/>
      <c r="B133" s="19" t="n"/>
      <c r="C133" s="9" t="n"/>
      <c r="D133" s="9" t="n"/>
      <c r="E133" s="9" t="n"/>
      <c r="F133" s="10" t="n"/>
      <c r="G133" s="12">
        <f>IF($A133="",0,IF($I133="",0,$F133))</f>
        <v/>
      </c>
      <c r="H133" s="12">
        <f>IF($A133="","",$F133-$G133)</f>
        <v/>
      </c>
      <c r="I133" s="9" t="n"/>
      <c r="J133" s="9" t="n"/>
    </row>
    <row r="134">
      <c r="A134" s="9" t="n"/>
      <c r="B134" s="19" t="n"/>
      <c r="C134" s="9" t="n"/>
      <c r="D134" s="9" t="n"/>
      <c r="E134" s="9" t="n"/>
      <c r="F134" s="10" t="n"/>
      <c r="G134" s="12">
        <f>IF($A134="",0,IF($I134="",0,$F134))</f>
        <v/>
      </c>
      <c r="H134" s="12">
        <f>IF($A134="","",$F134-$G134)</f>
        <v/>
      </c>
      <c r="I134" s="9" t="n"/>
      <c r="J134" s="9" t="n"/>
    </row>
    <row r="135">
      <c r="A135" s="9" t="n"/>
      <c r="B135" s="19" t="n"/>
      <c r="C135" s="9" t="n"/>
      <c r="D135" s="9" t="n"/>
      <c r="E135" s="9" t="n"/>
      <c r="F135" s="10" t="n"/>
      <c r="G135" s="12">
        <f>IF($A135="",0,IF($I135="",0,$F135))</f>
        <v/>
      </c>
      <c r="H135" s="12">
        <f>IF($A135="","",$F135-$G135)</f>
        <v/>
      </c>
      <c r="I135" s="9" t="n"/>
      <c r="J135" s="9" t="n"/>
    </row>
    <row r="136">
      <c r="A136" s="9" t="n"/>
      <c r="B136" s="19" t="n"/>
      <c r="C136" s="9" t="n"/>
      <c r="D136" s="9" t="n"/>
      <c r="E136" s="9" t="n"/>
      <c r="F136" s="10" t="n"/>
      <c r="G136" s="12">
        <f>IF($A136="",0,IF($I136="",0,$F136))</f>
        <v/>
      </c>
      <c r="H136" s="12">
        <f>IF($A136="","",$F136-$G136)</f>
        <v/>
      </c>
      <c r="I136" s="9" t="n"/>
      <c r="J136" s="9" t="n"/>
    </row>
    <row r="137">
      <c r="A137" s="9" t="n"/>
      <c r="B137" s="19" t="n"/>
      <c r="C137" s="9" t="n"/>
      <c r="D137" s="9" t="n"/>
      <c r="E137" s="9" t="n"/>
      <c r="F137" s="10" t="n"/>
      <c r="G137" s="12">
        <f>IF($A137="",0,IF($I137="",0,$F137))</f>
        <v/>
      </c>
      <c r="H137" s="12">
        <f>IF($A137="","",$F137-$G137)</f>
        <v/>
      </c>
      <c r="I137" s="9" t="n"/>
      <c r="J137" s="9" t="n"/>
    </row>
    <row r="138">
      <c r="A138" s="9" t="n"/>
      <c r="B138" s="19" t="n"/>
      <c r="C138" s="9" t="n"/>
      <c r="D138" s="9" t="n"/>
      <c r="E138" s="9" t="n"/>
      <c r="F138" s="10" t="n"/>
      <c r="G138" s="12">
        <f>IF($A138="",0,IF($I138="",0,$F138))</f>
        <v/>
      </c>
      <c r="H138" s="12">
        <f>IF($A138="","",$F138-$G138)</f>
        <v/>
      </c>
      <c r="I138" s="9" t="n"/>
      <c r="J138" s="9" t="n"/>
    </row>
    <row r="139">
      <c r="A139" s="9" t="n"/>
      <c r="B139" s="19" t="n"/>
      <c r="C139" s="9" t="n"/>
      <c r="D139" s="9" t="n"/>
      <c r="E139" s="9" t="n"/>
      <c r="F139" s="10" t="n"/>
      <c r="G139" s="12">
        <f>IF($A139="",0,IF($I139="",0,$F139))</f>
        <v/>
      </c>
      <c r="H139" s="12">
        <f>IF($A139="","",$F139-$G139)</f>
        <v/>
      </c>
      <c r="I139" s="9" t="n"/>
      <c r="J139" s="9" t="n"/>
    </row>
    <row r="140">
      <c r="A140" s="9" t="n"/>
      <c r="B140" s="19" t="n"/>
      <c r="C140" s="9" t="n"/>
      <c r="D140" s="9" t="n"/>
      <c r="E140" s="9" t="n"/>
      <c r="F140" s="10" t="n"/>
      <c r="G140" s="12">
        <f>IF($A140="",0,IF($I140="",0,$F140))</f>
        <v/>
      </c>
      <c r="H140" s="12">
        <f>IF($A140="","",$F140-$G140)</f>
        <v/>
      </c>
      <c r="I140" s="9" t="n"/>
      <c r="J140" s="9" t="n"/>
    </row>
    <row r="141">
      <c r="A141" s="9" t="n"/>
      <c r="B141" s="19" t="n"/>
      <c r="C141" s="9" t="n"/>
      <c r="D141" s="9" t="n"/>
      <c r="E141" s="9" t="n"/>
      <c r="F141" s="10" t="n"/>
      <c r="G141" s="12">
        <f>IF($A141="",0,IF($I141="",0,$F141))</f>
        <v/>
      </c>
      <c r="H141" s="12">
        <f>IF($A141="","",$F141-$G141)</f>
        <v/>
      </c>
      <c r="I141" s="9" t="n"/>
      <c r="J141" s="9" t="n"/>
    </row>
    <row r="142">
      <c r="A142" s="9" t="n"/>
      <c r="B142" s="19" t="n"/>
      <c r="C142" s="9" t="n"/>
      <c r="D142" s="9" t="n"/>
      <c r="E142" s="9" t="n"/>
      <c r="F142" s="10" t="n"/>
      <c r="G142" s="12">
        <f>IF($A142="",0,IF($I142="",0,$F142))</f>
        <v/>
      </c>
      <c r="H142" s="12">
        <f>IF($A142="","",$F142-$G142)</f>
        <v/>
      </c>
      <c r="I142" s="9" t="n"/>
      <c r="J142" s="9" t="n"/>
    </row>
    <row r="143">
      <c r="A143" s="9" t="n"/>
      <c r="B143" s="19" t="n"/>
      <c r="C143" s="9" t="n"/>
      <c r="D143" s="9" t="n"/>
      <c r="E143" s="9" t="n"/>
      <c r="F143" s="10" t="n"/>
      <c r="G143" s="12">
        <f>IF($A143="",0,IF($I143="",0,$F143))</f>
        <v/>
      </c>
      <c r="H143" s="12">
        <f>IF($A143="","",$F143-$G143)</f>
        <v/>
      </c>
      <c r="I143" s="9" t="n"/>
      <c r="J143" s="9" t="n"/>
    </row>
    <row r="144">
      <c r="A144" s="9" t="n"/>
      <c r="B144" s="19" t="n"/>
      <c r="C144" s="9" t="n"/>
      <c r="D144" s="9" t="n"/>
      <c r="E144" s="9" t="n"/>
      <c r="F144" s="10" t="n"/>
      <c r="G144" s="12">
        <f>IF($A144="",0,IF($I144="",0,$F144))</f>
        <v/>
      </c>
      <c r="H144" s="12">
        <f>IF($A144="","",$F144-$G144)</f>
        <v/>
      </c>
      <c r="I144" s="9" t="n"/>
      <c r="J144" s="9" t="n"/>
    </row>
    <row r="145">
      <c r="A145" s="9" t="n"/>
      <c r="B145" s="19" t="n"/>
      <c r="C145" s="9" t="n"/>
      <c r="D145" s="9" t="n"/>
      <c r="E145" s="9" t="n"/>
      <c r="F145" s="10" t="n"/>
      <c r="G145" s="12">
        <f>IF($A145="",0,IF($I145="",0,$F145))</f>
        <v/>
      </c>
      <c r="H145" s="12">
        <f>IF($A145="","",$F145-$G145)</f>
        <v/>
      </c>
      <c r="I145" s="9" t="n"/>
      <c r="J145" s="9" t="n"/>
    </row>
    <row r="146">
      <c r="A146" s="9" t="n"/>
      <c r="B146" s="19" t="n"/>
      <c r="C146" s="9" t="n"/>
      <c r="D146" s="9" t="n"/>
      <c r="E146" s="9" t="n"/>
      <c r="F146" s="10" t="n"/>
      <c r="G146" s="12">
        <f>IF($A146="",0,IF($I146="",0,$F146))</f>
        <v/>
      </c>
      <c r="H146" s="12">
        <f>IF($A146="","",$F146-$G146)</f>
        <v/>
      </c>
      <c r="I146" s="9" t="n"/>
      <c r="J146" s="9" t="n"/>
    </row>
    <row r="147">
      <c r="A147" s="9" t="n"/>
      <c r="B147" s="19" t="n"/>
      <c r="C147" s="9" t="n"/>
      <c r="D147" s="9" t="n"/>
      <c r="E147" s="9" t="n"/>
      <c r="F147" s="10" t="n"/>
      <c r="G147" s="12">
        <f>IF($A147="",0,IF($I147="",0,$F147))</f>
        <v/>
      </c>
      <c r="H147" s="12">
        <f>IF($A147="","",$F147-$G147)</f>
        <v/>
      </c>
      <c r="I147" s="9" t="n"/>
      <c r="J147" s="9" t="n"/>
    </row>
    <row r="148">
      <c r="A148" s="9" t="n"/>
      <c r="B148" s="19" t="n"/>
      <c r="C148" s="9" t="n"/>
      <c r="D148" s="9" t="n"/>
      <c r="E148" s="9" t="n"/>
      <c r="F148" s="10" t="n"/>
      <c r="G148" s="12">
        <f>IF($A148="",0,IF($I148="",0,$F148))</f>
        <v/>
      </c>
      <c r="H148" s="12">
        <f>IF($A148="","",$F148-$G148)</f>
        <v/>
      </c>
      <c r="I148" s="9" t="n"/>
      <c r="J148" s="9" t="n"/>
    </row>
    <row r="149">
      <c r="A149" s="9" t="n"/>
      <c r="B149" s="19" t="n"/>
      <c r="C149" s="9" t="n"/>
      <c r="D149" s="9" t="n"/>
      <c r="E149" s="9" t="n"/>
      <c r="F149" s="10" t="n"/>
      <c r="G149" s="12">
        <f>IF($A149="",0,IF($I149="",0,$F149))</f>
        <v/>
      </c>
      <c r="H149" s="12">
        <f>IF($A149="","",$F149-$G149)</f>
        <v/>
      </c>
      <c r="I149" s="9" t="n"/>
      <c r="J149" s="9" t="n"/>
    </row>
    <row r="150">
      <c r="A150" s="9" t="n"/>
      <c r="B150" s="19" t="n"/>
      <c r="C150" s="9" t="n"/>
      <c r="D150" s="9" t="n"/>
      <c r="E150" s="9" t="n"/>
      <c r="F150" s="10" t="n"/>
      <c r="G150" s="12">
        <f>IF($A150="",0,IF($I150="",0,$F150))</f>
        <v/>
      </c>
      <c r="H150" s="12">
        <f>IF($A150="","",$F150-$G150)</f>
        <v/>
      </c>
      <c r="I150" s="9" t="n"/>
      <c r="J150" s="9" t="n"/>
    </row>
    <row r="151">
      <c r="A151" s="9" t="n"/>
      <c r="B151" s="19" t="n"/>
      <c r="C151" s="9" t="n"/>
      <c r="D151" s="9" t="n"/>
      <c r="E151" s="9" t="n"/>
      <c r="F151" s="10" t="n"/>
      <c r="G151" s="12">
        <f>IF($A151="",0,IF($I151="",0,$F151))</f>
        <v/>
      </c>
      <c r="H151" s="12">
        <f>IF($A151="","",$F151-$G151)</f>
        <v/>
      </c>
      <c r="I151" s="9" t="n"/>
      <c r="J151" s="9" t="n"/>
    </row>
    <row r="152">
      <c r="A152" s="9" t="n"/>
      <c r="B152" s="19" t="n"/>
      <c r="C152" s="9" t="n"/>
      <c r="D152" s="9" t="n"/>
      <c r="E152" s="9" t="n"/>
      <c r="F152" s="10" t="n"/>
      <c r="G152" s="12">
        <f>IF($A152="",0,IF($I152="",0,$F152))</f>
        <v/>
      </c>
      <c r="H152" s="12">
        <f>IF($A152="","",$F152-$G152)</f>
        <v/>
      </c>
      <c r="I152" s="9" t="n"/>
      <c r="J152" s="9" t="n"/>
    </row>
    <row r="153">
      <c r="A153" s="9" t="n"/>
      <c r="B153" s="19" t="n"/>
      <c r="C153" s="9" t="n"/>
      <c r="D153" s="9" t="n"/>
      <c r="E153" s="9" t="n"/>
      <c r="F153" s="10" t="n"/>
      <c r="G153" s="12">
        <f>IF($A153="",0,IF($I153="",0,$F153))</f>
        <v/>
      </c>
      <c r="H153" s="12">
        <f>IF($A153="","",$F153-$G153)</f>
        <v/>
      </c>
      <c r="I153" s="9" t="n"/>
      <c r="J153" s="9" t="n"/>
    </row>
    <row r="154">
      <c r="A154" s="9" t="n"/>
      <c r="B154" s="19" t="n"/>
      <c r="C154" s="9" t="n"/>
      <c r="D154" s="9" t="n"/>
      <c r="E154" s="9" t="n"/>
      <c r="F154" s="10" t="n"/>
      <c r="G154" s="12">
        <f>IF($A154="",0,IF($I154="",0,$F154))</f>
        <v/>
      </c>
      <c r="H154" s="12">
        <f>IF($A154="","",$F154-$G154)</f>
        <v/>
      </c>
      <c r="I154" s="9" t="n"/>
      <c r="J154" s="9" t="n"/>
    </row>
    <row r="155">
      <c r="A155" s="9" t="n"/>
      <c r="B155" s="19" t="n"/>
      <c r="C155" s="9" t="n"/>
      <c r="D155" s="9" t="n"/>
      <c r="E155" s="9" t="n"/>
      <c r="F155" s="10" t="n"/>
      <c r="G155" s="12">
        <f>IF($A155="",0,IF($I155="",0,$F155))</f>
        <v/>
      </c>
      <c r="H155" s="12">
        <f>IF($A155="","",$F155-$G155)</f>
        <v/>
      </c>
      <c r="I155" s="9" t="n"/>
      <c r="J155" s="9" t="n"/>
    </row>
    <row r="156">
      <c r="A156" s="9" t="n"/>
      <c r="B156" s="19" t="n"/>
      <c r="C156" s="9" t="n"/>
      <c r="D156" s="9" t="n"/>
      <c r="E156" s="9" t="n"/>
      <c r="F156" s="10" t="n"/>
      <c r="G156" s="12">
        <f>IF($A156="",0,IF($I156="",0,$F156))</f>
        <v/>
      </c>
      <c r="H156" s="12">
        <f>IF($A156="","",$F156-$G156)</f>
        <v/>
      </c>
      <c r="I156" s="9" t="n"/>
      <c r="J156" s="9" t="n"/>
    </row>
    <row r="157">
      <c r="A157" s="9" t="n"/>
      <c r="B157" s="19" t="n"/>
      <c r="C157" s="9" t="n"/>
      <c r="D157" s="9" t="n"/>
      <c r="E157" s="9" t="n"/>
      <c r="F157" s="10" t="n"/>
      <c r="G157" s="12">
        <f>IF($A157="",0,IF($I157="",0,$F157))</f>
        <v/>
      </c>
      <c r="H157" s="12">
        <f>IF($A157="","",$F157-$G157)</f>
        <v/>
      </c>
      <c r="I157" s="9" t="n"/>
      <c r="J157" s="9" t="n"/>
    </row>
    <row r="158">
      <c r="A158" s="9" t="n"/>
      <c r="B158" s="19" t="n"/>
      <c r="C158" s="9" t="n"/>
      <c r="D158" s="9" t="n"/>
      <c r="E158" s="9" t="n"/>
      <c r="F158" s="10" t="n"/>
      <c r="G158" s="12">
        <f>IF($A158="",0,IF($I158="",0,$F158))</f>
        <v/>
      </c>
      <c r="H158" s="12">
        <f>IF($A158="","",$F158-$G158)</f>
        <v/>
      </c>
      <c r="I158" s="9" t="n"/>
      <c r="J158" s="9" t="n"/>
    </row>
    <row r="159">
      <c r="A159" s="9" t="n"/>
      <c r="B159" s="19" t="n"/>
      <c r="C159" s="9" t="n"/>
      <c r="D159" s="9" t="n"/>
      <c r="E159" s="9" t="n"/>
      <c r="F159" s="10" t="n"/>
      <c r="G159" s="12">
        <f>IF($A159="",0,IF($I159="",0,$F159))</f>
        <v/>
      </c>
      <c r="H159" s="12">
        <f>IF($A159="","",$F159-$G159)</f>
        <v/>
      </c>
      <c r="I159" s="9" t="n"/>
      <c r="J159" s="9" t="n"/>
    </row>
    <row r="160">
      <c r="A160" s="9" t="n"/>
      <c r="B160" s="19" t="n"/>
      <c r="C160" s="9" t="n"/>
      <c r="D160" s="9" t="n"/>
      <c r="E160" s="9" t="n"/>
      <c r="F160" s="10" t="n"/>
      <c r="G160" s="12">
        <f>IF($A160="",0,IF($I160="",0,$F160))</f>
        <v/>
      </c>
      <c r="H160" s="12">
        <f>IF($A160="","",$F160-$G160)</f>
        <v/>
      </c>
      <c r="I160" s="9" t="n"/>
      <c r="J160" s="9" t="n"/>
    </row>
    <row r="161">
      <c r="A161" s="9" t="n"/>
      <c r="B161" s="19" t="n"/>
      <c r="C161" s="9" t="n"/>
      <c r="D161" s="9" t="n"/>
      <c r="E161" s="9" t="n"/>
      <c r="F161" s="10" t="n"/>
      <c r="G161" s="12">
        <f>IF($A161="",0,IF($I161="",0,$F161))</f>
        <v/>
      </c>
      <c r="H161" s="12">
        <f>IF($A161="","",$F161-$G161)</f>
        <v/>
      </c>
      <c r="I161" s="9" t="n"/>
      <c r="J161" s="9" t="n"/>
    </row>
    <row r="162">
      <c r="A162" s="9" t="n"/>
      <c r="B162" s="19" t="n"/>
      <c r="C162" s="9" t="n"/>
      <c r="D162" s="9" t="n"/>
      <c r="E162" s="9" t="n"/>
      <c r="F162" s="10" t="n"/>
      <c r="G162" s="12">
        <f>IF($A162="",0,IF($I162="",0,$F162))</f>
        <v/>
      </c>
      <c r="H162" s="12">
        <f>IF($A162="","",$F162-$G162)</f>
        <v/>
      </c>
      <c r="I162" s="9" t="n"/>
      <c r="J162" s="9" t="n"/>
    </row>
    <row r="163">
      <c r="A163" s="9" t="n"/>
      <c r="B163" s="19" t="n"/>
      <c r="C163" s="9" t="n"/>
      <c r="D163" s="9" t="n"/>
      <c r="E163" s="9" t="n"/>
      <c r="F163" s="10" t="n"/>
      <c r="G163" s="12">
        <f>IF($A163="",0,IF($I163="",0,$F163))</f>
        <v/>
      </c>
      <c r="H163" s="12">
        <f>IF($A163="","",$F163-$G163)</f>
        <v/>
      </c>
      <c r="I163" s="9" t="n"/>
      <c r="J163" s="9" t="n"/>
    </row>
    <row r="164">
      <c r="A164" s="9" t="n"/>
      <c r="B164" s="19" t="n"/>
      <c r="C164" s="9" t="n"/>
      <c r="D164" s="9" t="n"/>
      <c r="E164" s="9" t="n"/>
      <c r="F164" s="10" t="n"/>
      <c r="G164" s="12">
        <f>IF($A164="",0,IF($I164="",0,$F164))</f>
        <v/>
      </c>
      <c r="H164" s="12">
        <f>IF($A164="","",$F164-$G164)</f>
        <v/>
      </c>
      <c r="I164" s="9" t="n"/>
      <c r="J164" s="9" t="n"/>
    </row>
    <row r="165">
      <c r="A165" s="9" t="n"/>
      <c r="B165" s="19" t="n"/>
      <c r="C165" s="9" t="n"/>
      <c r="D165" s="9" t="n"/>
      <c r="E165" s="9" t="n"/>
      <c r="F165" s="10" t="n"/>
      <c r="G165" s="12">
        <f>IF($A165="",0,IF($I165="",0,$F165))</f>
        <v/>
      </c>
      <c r="H165" s="12">
        <f>IF($A165="","",$F165-$G165)</f>
        <v/>
      </c>
      <c r="I165" s="9" t="n"/>
      <c r="J165" s="9" t="n"/>
    </row>
    <row r="166">
      <c r="A166" s="9" t="n"/>
      <c r="B166" s="19" t="n"/>
      <c r="C166" s="9" t="n"/>
      <c r="D166" s="9" t="n"/>
      <c r="E166" s="9" t="n"/>
      <c r="F166" s="10" t="n"/>
      <c r="G166" s="12">
        <f>IF($A166="",0,IF($I166="",0,$F166))</f>
        <v/>
      </c>
      <c r="H166" s="12">
        <f>IF($A166="","",$F166-$G166)</f>
        <v/>
      </c>
      <c r="I166" s="9" t="n"/>
      <c r="J166" s="9" t="n"/>
    </row>
    <row r="167">
      <c r="A167" s="9" t="n"/>
      <c r="B167" s="19" t="n"/>
      <c r="C167" s="9" t="n"/>
      <c r="D167" s="9" t="n"/>
      <c r="E167" s="9" t="n"/>
      <c r="F167" s="10" t="n"/>
      <c r="G167" s="12">
        <f>IF($A167="",0,IF($I167="",0,$F167))</f>
        <v/>
      </c>
      <c r="H167" s="12">
        <f>IF($A167="","",$F167-$G167)</f>
        <v/>
      </c>
      <c r="I167" s="9" t="n"/>
      <c r="J167" s="9" t="n"/>
    </row>
    <row r="168">
      <c r="A168" s="9" t="n"/>
      <c r="B168" s="19" t="n"/>
      <c r="C168" s="9" t="n"/>
      <c r="D168" s="9" t="n"/>
      <c r="E168" s="9" t="n"/>
      <c r="F168" s="10" t="n"/>
      <c r="G168" s="12">
        <f>IF($A168="",0,IF($I168="",0,$F168))</f>
        <v/>
      </c>
      <c r="H168" s="12">
        <f>IF($A168="","",$F168-$G168)</f>
        <v/>
      </c>
      <c r="I168" s="9" t="n"/>
      <c r="J168" s="9" t="n"/>
    </row>
    <row r="169">
      <c r="A169" s="9" t="n"/>
      <c r="B169" s="19" t="n"/>
      <c r="C169" s="9" t="n"/>
      <c r="D169" s="9" t="n"/>
      <c r="E169" s="9" t="n"/>
      <c r="F169" s="10" t="n"/>
      <c r="G169" s="12">
        <f>IF($A169="",0,IF($I169="",0,$F169))</f>
        <v/>
      </c>
      <c r="H169" s="12">
        <f>IF($A169="","",$F169-$G169)</f>
        <v/>
      </c>
      <c r="I169" s="9" t="n"/>
      <c r="J169" s="9" t="n"/>
    </row>
    <row r="170">
      <c r="A170" s="9" t="n"/>
      <c r="B170" s="19" t="n"/>
      <c r="C170" s="9" t="n"/>
      <c r="D170" s="9" t="n"/>
      <c r="E170" s="9" t="n"/>
      <c r="F170" s="10" t="n"/>
      <c r="G170" s="12">
        <f>IF($A170="",0,IF($I170="",0,$F170))</f>
        <v/>
      </c>
      <c r="H170" s="12">
        <f>IF($A170="","",$F170-$G170)</f>
        <v/>
      </c>
      <c r="I170" s="9" t="n"/>
      <c r="J170" s="9" t="n"/>
    </row>
    <row r="171">
      <c r="A171" s="9" t="n"/>
      <c r="B171" s="19" t="n"/>
      <c r="C171" s="9" t="n"/>
      <c r="D171" s="9" t="n"/>
      <c r="E171" s="9" t="n"/>
      <c r="F171" s="10" t="n"/>
      <c r="G171" s="12">
        <f>IF($A171="",0,IF($I171="",0,$F171))</f>
        <v/>
      </c>
      <c r="H171" s="12">
        <f>IF($A171="","",$F171-$G171)</f>
        <v/>
      </c>
      <c r="I171" s="9" t="n"/>
      <c r="J171" s="9" t="n"/>
    </row>
    <row r="172">
      <c r="A172" s="9" t="n"/>
      <c r="B172" s="19" t="n"/>
      <c r="C172" s="9" t="n"/>
      <c r="D172" s="9" t="n"/>
      <c r="E172" s="9" t="n"/>
      <c r="F172" s="10" t="n"/>
      <c r="G172" s="12">
        <f>IF($A172="",0,IF($I172="",0,$F172))</f>
        <v/>
      </c>
      <c r="H172" s="12">
        <f>IF($A172="","",$F172-$G172)</f>
        <v/>
      </c>
      <c r="I172" s="9" t="n"/>
      <c r="J172" s="9" t="n"/>
    </row>
    <row r="173">
      <c r="A173" s="9" t="n"/>
      <c r="B173" s="19" t="n"/>
      <c r="C173" s="9" t="n"/>
      <c r="D173" s="9" t="n"/>
      <c r="E173" s="9" t="n"/>
      <c r="F173" s="10" t="n"/>
      <c r="G173" s="12">
        <f>IF($A173="",0,IF($I173="",0,$F173))</f>
        <v/>
      </c>
      <c r="H173" s="12">
        <f>IF($A173="","",$F173-$G173)</f>
        <v/>
      </c>
      <c r="I173" s="9" t="n"/>
      <c r="J173" s="9" t="n"/>
    </row>
    <row r="174">
      <c r="A174" s="9" t="n"/>
      <c r="B174" s="19" t="n"/>
      <c r="C174" s="9" t="n"/>
      <c r="D174" s="9" t="n"/>
      <c r="E174" s="9" t="n"/>
      <c r="F174" s="10" t="n"/>
      <c r="G174" s="12">
        <f>IF($A174="",0,IF($I174="",0,$F174))</f>
        <v/>
      </c>
      <c r="H174" s="12">
        <f>IF($A174="","",$F174-$G174)</f>
        <v/>
      </c>
      <c r="I174" s="9" t="n"/>
      <c r="J174" s="9" t="n"/>
    </row>
    <row r="175">
      <c r="A175" s="9" t="n"/>
      <c r="B175" s="19" t="n"/>
      <c r="C175" s="9" t="n"/>
      <c r="D175" s="9" t="n"/>
      <c r="E175" s="9" t="n"/>
      <c r="F175" s="10" t="n"/>
      <c r="G175" s="12">
        <f>IF($A175="",0,IF($I175="",0,$F175))</f>
        <v/>
      </c>
      <c r="H175" s="12">
        <f>IF($A175="","",$F175-$G175)</f>
        <v/>
      </c>
      <c r="I175" s="9" t="n"/>
      <c r="J175" s="9" t="n"/>
    </row>
    <row r="176">
      <c r="A176" s="9" t="n"/>
      <c r="B176" s="19" t="n"/>
      <c r="C176" s="9" t="n"/>
      <c r="D176" s="9" t="n"/>
      <c r="E176" s="9" t="n"/>
      <c r="F176" s="10" t="n"/>
      <c r="G176" s="12">
        <f>IF($A176="",0,IF($I176="",0,$F176))</f>
        <v/>
      </c>
      <c r="H176" s="12">
        <f>IF($A176="","",$F176-$G176)</f>
        <v/>
      </c>
      <c r="I176" s="9" t="n"/>
      <c r="J176" s="9" t="n"/>
    </row>
    <row r="177">
      <c r="A177" s="9" t="n"/>
      <c r="B177" s="19" t="n"/>
      <c r="C177" s="9" t="n"/>
      <c r="D177" s="9" t="n"/>
      <c r="E177" s="9" t="n"/>
      <c r="F177" s="10" t="n"/>
      <c r="G177" s="12">
        <f>IF($A177="",0,IF($I177="",0,$F177))</f>
        <v/>
      </c>
      <c r="H177" s="12">
        <f>IF($A177="","",$F177-$G177)</f>
        <v/>
      </c>
      <c r="I177" s="9" t="n"/>
      <c r="J177" s="9" t="n"/>
    </row>
    <row r="178">
      <c r="A178" s="9" t="n"/>
      <c r="B178" s="19" t="n"/>
      <c r="C178" s="9" t="n"/>
      <c r="D178" s="9" t="n"/>
      <c r="E178" s="9" t="n"/>
      <c r="F178" s="10" t="n"/>
      <c r="G178" s="12">
        <f>IF($A178="",0,IF($I178="",0,$F178))</f>
        <v/>
      </c>
      <c r="H178" s="12">
        <f>IF($A178="","",$F178-$G178)</f>
        <v/>
      </c>
      <c r="I178" s="9" t="n"/>
      <c r="J178" s="9" t="n"/>
    </row>
    <row r="179">
      <c r="A179" s="9" t="n"/>
      <c r="B179" s="19" t="n"/>
      <c r="C179" s="9" t="n"/>
      <c r="D179" s="9" t="n"/>
      <c r="E179" s="9" t="n"/>
      <c r="F179" s="10" t="n"/>
      <c r="G179" s="12">
        <f>IF($A179="",0,IF($I179="",0,$F179))</f>
        <v/>
      </c>
      <c r="H179" s="12">
        <f>IF($A179="","",$F179-$G179)</f>
        <v/>
      </c>
      <c r="I179" s="9" t="n"/>
      <c r="J179" s="9" t="n"/>
    </row>
    <row r="180">
      <c r="A180" s="9" t="n"/>
      <c r="B180" s="19" t="n"/>
      <c r="C180" s="9" t="n"/>
      <c r="D180" s="9" t="n"/>
      <c r="E180" s="9" t="n"/>
      <c r="F180" s="10" t="n"/>
      <c r="G180" s="12">
        <f>IF($A180="",0,IF($I180="",0,$F180))</f>
        <v/>
      </c>
      <c r="H180" s="12">
        <f>IF($A180="","",$F180-$G180)</f>
        <v/>
      </c>
      <c r="I180" s="9" t="n"/>
      <c r="J180" s="9" t="n"/>
    </row>
    <row r="181">
      <c r="A181" s="9" t="n"/>
      <c r="B181" s="19" t="n"/>
      <c r="C181" s="9" t="n"/>
      <c r="D181" s="9" t="n"/>
      <c r="E181" s="9" t="n"/>
      <c r="F181" s="10" t="n"/>
      <c r="G181" s="12">
        <f>IF($A181="",0,IF($I181="",0,$F181))</f>
        <v/>
      </c>
      <c r="H181" s="12">
        <f>IF($A181="","",$F181-$G181)</f>
        <v/>
      </c>
      <c r="I181" s="9" t="n"/>
      <c r="J181" s="9" t="n"/>
    </row>
    <row r="182">
      <c r="A182" s="9" t="n"/>
      <c r="B182" s="19" t="n"/>
      <c r="C182" s="9" t="n"/>
      <c r="D182" s="9" t="n"/>
      <c r="E182" s="9" t="n"/>
      <c r="F182" s="10" t="n"/>
      <c r="G182" s="12">
        <f>IF($A182="",0,IF($I182="",0,$F182))</f>
        <v/>
      </c>
      <c r="H182" s="12">
        <f>IF($A182="","",$F182-$G182)</f>
        <v/>
      </c>
      <c r="I182" s="9" t="n"/>
      <c r="J182" s="9" t="n"/>
    </row>
    <row r="183">
      <c r="A183" s="9" t="n"/>
      <c r="B183" s="19" t="n"/>
      <c r="C183" s="9" t="n"/>
      <c r="D183" s="9" t="n"/>
      <c r="E183" s="9" t="n"/>
      <c r="F183" s="10" t="n"/>
      <c r="G183" s="12">
        <f>IF($A183="",0,IF($I183="",0,$F183))</f>
        <v/>
      </c>
      <c r="H183" s="12">
        <f>IF($A183="","",$F183-$G183)</f>
        <v/>
      </c>
      <c r="I183" s="9" t="n"/>
      <c r="J183" s="9" t="n"/>
    </row>
    <row r="184">
      <c r="A184" s="9" t="n"/>
      <c r="B184" s="19" t="n"/>
      <c r="C184" s="9" t="n"/>
      <c r="D184" s="9" t="n"/>
      <c r="E184" s="9" t="n"/>
      <c r="F184" s="10" t="n"/>
      <c r="G184" s="12">
        <f>IF($A184="",0,IF($I184="",0,$F184))</f>
        <v/>
      </c>
      <c r="H184" s="12">
        <f>IF($A184="","",$F184-$G184)</f>
        <v/>
      </c>
      <c r="I184" s="9" t="n"/>
      <c r="J184" s="9" t="n"/>
    </row>
    <row r="185">
      <c r="A185" s="9" t="n"/>
      <c r="B185" s="19" t="n"/>
      <c r="C185" s="9" t="n"/>
      <c r="D185" s="9" t="n"/>
      <c r="E185" s="9" t="n"/>
      <c r="F185" s="10" t="n"/>
      <c r="G185" s="12">
        <f>IF($A185="",0,IF($I185="",0,$F185))</f>
        <v/>
      </c>
      <c r="H185" s="12">
        <f>IF($A185="","",$F185-$G185)</f>
        <v/>
      </c>
      <c r="I185" s="9" t="n"/>
      <c r="J185" s="9" t="n"/>
    </row>
    <row r="186">
      <c r="A186" s="9" t="n"/>
      <c r="B186" s="19" t="n"/>
      <c r="C186" s="9" t="n"/>
      <c r="D186" s="9" t="n"/>
      <c r="E186" s="9" t="n"/>
      <c r="F186" s="10" t="n"/>
      <c r="G186" s="12">
        <f>IF($A186="",0,IF($I186="",0,$F186))</f>
        <v/>
      </c>
      <c r="H186" s="12">
        <f>IF($A186="","",$F186-$G186)</f>
        <v/>
      </c>
      <c r="I186" s="9" t="n"/>
      <c r="J186" s="9" t="n"/>
    </row>
    <row r="187">
      <c r="A187" s="9" t="n"/>
      <c r="B187" s="19" t="n"/>
      <c r="C187" s="9" t="n"/>
      <c r="D187" s="9" t="n"/>
      <c r="E187" s="9" t="n"/>
      <c r="F187" s="10" t="n"/>
      <c r="G187" s="12">
        <f>IF($A187="",0,IF($I187="",0,$F187))</f>
        <v/>
      </c>
      <c r="H187" s="12">
        <f>IF($A187="","",$F187-$G187)</f>
        <v/>
      </c>
      <c r="I187" s="9" t="n"/>
      <c r="J187" s="9" t="n"/>
    </row>
    <row r="188">
      <c r="A188" s="9" t="n"/>
      <c r="B188" s="19" t="n"/>
      <c r="C188" s="9" t="n"/>
      <c r="D188" s="9" t="n"/>
      <c r="E188" s="9" t="n"/>
      <c r="F188" s="10" t="n"/>
      <c r="G188" s="12">
        <f>IF($A188="",0,IF($I188="",0,$F188))</f>
        <v/>
      </c>
      <c r="H188" s="12">
        <f>IF($A188="","",$F188-$G188)</f>
        <v/>
      </c>
      <c r="I188" s="9" t="n"/>
      <c r="J188" s="9" t="n"/>
    </row>
    <row r="189">
      <c r="A189" s="9" t="n"/>
      <c r="B189" s="19" t="n"/>
      <c r="C189" s="9" t="n"/>
      <c r="D189" s="9" t="n"/>
      <c r="E189" s="9" t="n"/>
      <c r="F189" s="10" t="n"/>
      <c r="G189" s="12">
        <f>IF($A189="",0,IF($I189="",0,$F189))</f>
        <v/>
      </c>
      <c r="H189" s="12">
        <f>IF($A189="","",$F189-$G189)</f>
        <v/>
      </c>
      <c r="I189" s="9" t="n"/>
      <c r="J189" s="9" t="n"/>
    </row>
    <row r="190">
      <c r="A190" s="9" t="n"/>
      <c r="B190" s="19" t="n"/>
      <c r="C190" s="9" t="n"/>
      <c r="D190" s="9" t="n"/>
      <c r="E190" s="9" t="n"/>
      <c r="F190" s="10" t="n"/>
      <c r="G190" s="12">
        <f>IF($A190="",0,IF($I190="",0,$F190))</f>
        <v/>
      </c>
      <c r="H190" s="12">
        <f>IF($A190="","",$F190-$G190)</f>
        <v/>
      </c>
      <c r="I190" s="9" t="n"/>
      <c r="J190" s="9" t="n"/>
    </row>
    <row r="191">
      <c r="A191" s="9" t="n"/>
      <c r="B191" s="19" t="n"/>
      <c r="C191" s="9" t="n"/>
      <c r="D191" s="9" t="n"/>
      <c r="E191" s="9" t="n"/>
      <c r="F191" s="10" t="n"/>
      <c r="G191" s="12">
        <f>IF($A191="",0,IF($I191="",0,$F191))</f>
        <v/>
      </c>
      <c r="H191" s="12">
        <f>IF($A191="","",$F191-$G191)</f>
        <v/>
      </c>
      <c r="I191" s="9" t="n"/>
      <c r="J191" s="9" t="n"/>
    </row>
    <row r="192">
      <c r="A192" s="9" t="n"/>
      <c r="B192" s="19" t="n"/>
      <c r="C192" s="9" t="n"/>
      <c r="D192" s="9" t="n"/>
      <c r="E192" s="9" t="n"/>
      <c r="F192" s="10" t="n"/>
      <c r="G192" s="12">
        <f>IF($A192="",0,IF($I192="",0,$F192))</f>
        <v/>
      </c>
      <c r="H192" s="12">
        <f>IF($A192="","",$F192-$G192)</f>
        <v/>
      </c>
      <c r="I192" s="9" t="n"/>
      <c r="J192" s="9" t="n"/>
    </row>
    <row r="193">
      <c r="A193" s="9" t="n"/>
      <c r="B193" s="19" t="n"/>
      <c r="C193" s="9" t="n"/>
      <c r="D193" s="9" t="n"/>
      <c r="E193" s="9" t="n"/>
      <c r="F193" s="10" t="n"/>
      <c r="G193" s="12">
        <f>IF($A193="",0,IF($I193="",0,$F193))</f>
        <v/>
      </c>
      <c r="H193" s="12">
        <f>IF($A193="","",$F193-$G193)</f>
        <v/>
      </c>
      <c r="I193" s="9" t="n"/>
      <c r="J193" s="9" t="n"/>
    </row>
    <row r="194">
      <c r="A194" s="9" t="n"/>
      <c r="B194" s="19" t="n"/>
      <c r="C194" s="9" t="n"/>
      <c r="D194" s="9" t="n"/>
      <c r="E194" s="9" t="n"/>
      <c r="F194" s="10" t="n"/>
      <c r="G194" s="12">
        <f>IF($A194="",0,IF($I194="",0,$F194))</f>
        <v/>
      </c>
      <c r="H194" s="12">
        <f>IF($A194="","",$F194-$G194)</f>
        <v/>
      </c>
      <c r="I194" s="9" t="n"/>
      <c r="J194" s="9" t="n"/>
    </row>
    <row r="195">
      <c r="A195" s="9" t="n"/>
      <c r="B195" s="19" t="n"/>
      <c r="C195" s="9" t="n"/>
      <c r="D195" s="9" t="n"/>
      <c r="E195" s="9" t="n"/>
      <c r="F195" s="10" t="n"/>
      <c r="G195" s="12">
        <f>IF($A195="",0,IF($I195="",0,$F195))</f>
        <v/>
      </c>
      <c r="H195" s="12">
        <f>IF($A195="","",$F195-$G195)</f>
        <v/>
      </c>
      <c r="I195" s="9" t="n"/>
      <c r="J195" s="9" t="n"/>
    </row>
    <row r="196">
      <c r="A196" s="9" t="n"/>
      <c r="B196" s="19" t="n"/>
      <c r="C196" s="9" t="n"/>
      <c r="D196" s="9" t="n"/>
      <c r="E196" s="9" t="n"/>
      <c r="F196" s="10" t="n"/>
      <c r="G196" s="12">
        <f>IF($A196="",0,IF($I196="",0,$F196))</f>
        <v/>
      </c>
      <c r="H196" s="12">
        <f>IF($A196="","",$F196-$G196)</f>
        <v/>
      </c>
      <c r="I196" s="9" t="n"/>
      <c r="J196" s="9" t="n"/>
    </row>
    <row r="197">
      <c r="A197" s="9" t="n"/>
      <c r="B197" s="19" t="n"/>
      <c r="C197" s="9" t="n"/>
      <c r="D197" s="9" t="n"/>
      <c r="E197" s="9" t="n"/>
      <c r="F197" s="10" t="n"/>
      <c r="G197" s="12">
        <f>IF($A197="",0,IF($I197="",0,$F197))</f>
        <v/>
      </c>
      <c r="H197" s="12">
        <f>IF($A197="","",$F197-$G197)</f>
        <v/>
      </c>
      <c r="I197" s="9" t="n"/>
      <c r="J197" s="9" t="n"/>
    </row>
    <row r="198">
      <c r="A198" s="9" t="n"/>
      <c r="B198" s="19" t="n"/>
      <c r="C198" s="9" t="n"/>
      <c r="D198" s="9" t="n"/>
      <c r="E198" s="9" t="n"/>
      <c r="F198" s="10" t="n"/>
      <c r="G198" s="12">
        <f>IF($A198="",0,IF($I198="",0,$F198))</f>
        <v/>
      </c>
      <c r="H198" s="12">
        <f>IF($A198="","",$F198-$G198)</f>
        <v/>
      </c>
      <c r="I198" s="9" t="n"/>
      <c r="J198" s="9" t="n"/>
    </row>
    <row r="199">
      <c r="A199" s="9" t="n"/>
      <c r="B199" s="19" t="n"/>
      <c r="C199" s="9" t="n"/>
      <c r="D199" s="9" t="n"/>
      <c r="E199" s="9" t="n"/>
      <c r="F199" s="10" t="n"/>
      <c r="G199" s="12">
        <f>IF($A199="",0,IF($I199="",0,$F199))</f>
        <v/>
      </c>
      <c r="H199" s="12">
        <f>IF($A199="","",$F199-$G199)</f>
        <v/>
      </c>
      <c r="I199" s="9" t="n"/>
      <c r="J199" s="9" t="n"/>
    </row>
    <row r="200">
      <c r="A200" s="9" t="n"/>
      <c r="B200" s="19" t="n"/>
      <c r="C200" s="9" t="n"/>
      <c r="D200" s="9" t="n"/>
      <c r="E200" s="9" t="n"/>
      <c r="F200" s="10" t="n"/>
      <c r="G200" s="12">
        <f>IF($A200="",0,IF($I200="",0,$F200))</f>
        <v/>
      </c>
      <c r="H200" s="12">
        <f>IF($A200="","",$F200-$G200)</f>
        <v/>
      </c>
      <c r="I200" s="9" t="n"/>
      <c r="J200" s="9" t="n"/>
    </row>
    <row r="201">
      <c r="A201" s="9" t="n"/>
      <c r="B201" s="19" t="n"/>
      <c r="C201" s="9" t="n"/>
      <c r="D201" s="9" t="n"/>
      <c r="E201" s="9" t="n"/>
      <c r="F201" s="10" t="n"/>
      <c r="G201" s="12">
        <f>IF($A201="",0,IF($I201="",0,$F201))</f>
        <v/>
      </c>
      <c r="H201" s="12">
        <f>IF($A201="","",$F201-$G201)</f>
        <v/>
      </c>
      <c r="I201" s="9" t="n"/>
      <c r="J201" s="9" t="n"/>
    </row>
    <row r="202">
      <c r="A202" s="9" t="n"/>
      <c r="B202" s="19" t="n"/>
      <c r="C202" s="9" t="n"/>
      <c r="D202" s="9" t="n"/>
      <c r="E202" s="9" t="n"/>
      <c r="F202" s="10" t="n"/>
      <c r="G202" s="12">
        <f>IF($A202="",0,IF($I202="",0,$F202))</f>
        <v/>
      </c>
      <c r="H202" s="12">
        <f>IF($A202="","",$F202-$G202)</f>
        <v/>
      </c>
      <c r="I202" s="9" t="n"/>
      <c r="J202" s="9" t="n"/>
    </row>
    <row r="203">
      <c r="A203" s="9" t="n"/>
      <c r="B203" s="19" t="n"/>
      <c r="C203" s="9" t="n"/>
      <c r="D203" s="9" t="n"/>
      <c r="E203" s="9" t="n"/>
      <c r="F203" s="10" t="n"/>
      <c r="G203" s="12">
        <f>IF($A203="",0,IF($I203="",0,$F203))</f>
        <v/>
      </c>
      <c r="H203" s="12">
        <f>IF($A203="","",$F203-$G203)</f>
        <v/>
      </c>
      <c r="I203" s="9" t="n"/>
      <c r="J203" s="9" t="n"/>
    </row>
    <row r="204">
      <c r="A204" s="9" t="n"/>
      <c r="B204" s="19" t="n"/>
      <c r="C204" s="9" t="n"/>
      <c r="D204" s="9" t="n"/>
      <c r="E204" s="9" t="n"/>
      <c r="F204" s="10" t="n"/>
      <c r="G204" s="12">
        <f>IF($A204="",0,IF($I204="",0,$F204))</f>
        <v/>
      </c>
      <c r="H204" s="12">
        <f>IF($A204="","",$F204-$G204)</f>
        <v/>
      </c>
      <c r="I204" s="9" t="n"/>
      <c r="J204" s="9" t="n"/>
    </row>
    <row r="205">
      <c r="A205" s="9" t="n"/>
      <c r="B205" s="19" t="n"/>
      <c r="C205" s="9" t="n"/>
      <c r="D205" s="9" t="n"/>
      <c r="E205" s="9" t="n"/>
      <c r="F205" s="10" t="n"/>
      <c r="G205" s="12">
        <f>IF($A205="",0,IF($I205="",0,$F205))</f>
        <v/>
      </c>
      <c r="H205" s="12">
        <f>IF($A205="","",$F205-$G205)</f>
        <v/>
      </c>
      <c r="I205" s="9" t="n"/>
      <c r="J205" s="9" t="n"/>
    </row>
    <row r="206">
      <c r="A206" s="9" t="n"/>
      <c r="B206" s="19" t="n"/>
      <c r="C206" s="9" t="n"/>
      <c r="D206" s="9" t="n"/>
      <c r="E206" s="9" t="n"/>
      <c r="F206" s="10" t="n"/>
      <c r="G206" s="12">
        <f>IF($A206="",0,IF($I206="",0,$F206))</f>
        <v/>
      </c>
      <c r="H206" s="12">
        <f>IF($A206="","",$F206-$G206)</f>
        <v/>
      </c>
      <c r="I206" s="9" t="n"/>
      <c r="J206" s="9" t="n"/>
    </row>
    <row r="207">
      <c r="A207" s="9" t="n"/>
      <c r="B207" s="19" t="n"/>
      <c r="C207" s="9" t="n"/>
      <c r="D207" s="9" t="n"/>
      <c r="E207" s="9" t="n"/>
      <c r="F207" s="10" t="n"/>
      <c r="G207" s="12">
        <f>IF($A207="",0,IF($I207="",0,$F207))</f>
        <v/>
      </c>
      <c r="H207" s="12">
        <f>IF($A207="","",$F207-$G207)</f>
        <v/>
      </c>
      <c r="I207" s="9" t="n"/>
      <c r="J207" s="9" t="n"/>
    </row>
    <row r="208">
      <c r="A208" s="9" t="n"/>
      <c r="B208" s="19" t="n"/>
      <c r="C208" s="9" t="n"/>
      <c r="D208" s="9" t="n"/>
      <c r="E208" s="9" t="n"/>
      <c r="F208" s="10" t="n"/>
      <c r="G208" s="12">
        <f>IF($A208="",0,IF($I208="",0,$F208))</f>
        <v/>
      </c>
      <c r="H208" s="12">
        <f>IF($A208="","",$F208-$G208)</f>
        <v/>
      </c>
      <c r="I208" s="9" t="n"/>
      <c r="J208" s="9" t="n"/>
    </row>
    <row r="209">
      <c r="A209" s="9" t="n"/>
      <c r="B209" s="19" t="n"/>
      <c r="C209" s="9" t="n"/>
      <c r="D209" s="9" t="n"/>
      <c r="E209" s="9" t="n"/>
      <c r="F209" s="10" t="n"/>
      <c r="G209" s="12">
        <f>IF($A209="",0,IF($I209="",0,$F209))</f>
        <v/>
      </c>
      <c r="H209" s="12">
        <f>IF($A209="","",$F209-$G209)</f>
        <v/>
      </c>
      <c r="I209" s="9" t="n"/>
      <c r="J209" s="9" t="n"/>
    </row>
    <row r="210">
      <c r="A210" s="9" t="n"/>
      <c r="B210" s="19" t="n"/>
      <c r="C210" s="9" t="n"/>
      <c r="D210" s="9" t="n"/>
      <c r="E210" s="9" t="n"/>
      <c r="F210" s="10" t="n"/>
      <c r="G210" s="12">
        <f>IF($A210="",0,IF($I210="",0,$F210))</f>
        <v/>
      </c>
      <c r="H210" s="12">
        <f>IF($A210="","",$F210-$G210)</f>
        <v/>
      </c>
      <c r="I210" s="9" t="n"/>
      <c r="J210" s="9" t="n"/>
    </row>
    <row r="211">
      <c r="A211" s="9" t="n"/>
      <c r="B211" s="19" t="n"/>
      <c r="C211" s="9" t="n"/>
      <c r="D211" s="9" t="n"/>
      <c r="E211" s="9" t="n"/>
      <c r="F211" s="10" t="n"/>
      <c r="G211" s="12">
        <f>IF($A211="",0,IF($I211="",0,$F211))</f>
        <v/>
      </c>
      <c r="H211" s="12">
        <f>IF($A211="","",$F211-$G211)</f>
        <v/>
      </c>
      <c r="I211" s="9" t="n"/>
      <c r="J211" s="9" t="n"/>
    </row>
    <row r="212">
      <c r="A212" s="9" t="n"/>
      <c r="B212" s="19" t="n"/>
      <c r="C212" s="9" t="n"/>
      <c r="D212" s="9" t="n"/>
      <c r="E212" s="9" t="n"/>
      <c r="F212" s="10" t="n"/>
      <c r="G212" s="12">
        <f>IF($A212="",0,IF($I212="",0,$F212))</f>
        <v/>
      </c>
      <c r="H212" s="12">
        <f>IF($A212="","",$F212-$G212)</f>
        <v/>
      </c>
      <c r="I212" s="9" t="n"/>
      <c r="J212" s="9" t="n"/>
    </row>
    <row r="213">
      <c r="A213" s="9" t="n"/>
      <c r="B213" s="19" t="n"/>
      <c r="C213" s="9" t="n"/>
      <c r="D213" s="9" t="n"/>
      <c r="E213" s="9" t="n"/>
      <c r="F213" s="10" t="n"/>
      <c r="G213" s="12">
        <f>IF($A213="",0,IF($I213="",0,$F213))</f>
        <v/>
      </c>
      <c r="H213" s="12">
        <f>IF($A213="","",$F213-$G213)</f>
        <v/>
      </c>
      <c r="I213" s="9" t="n"/>
      <c r="J213" s="9" t="n"/>
    </row>
    <row r="214">
      <c r="A214" s="9" t="n"/>
      <c r="B214" s="19" t="n"/>
      <c r="C214" s="9" t="n"/>
      <c r="D214" s="9" t="n"/>
      <c r="E214" s="9" t="n"/>
      <c r="F214" s="10" t="n"/>
      <c r="G214" s="12">
        <f>IF($A214="",0,IF($I214="",0,$F214))</f>
        <v/>
      </c>
      <c r="H214" s="12">
        <f>IF($A214="","",$F214-$G214)</f>
        <v/>
      </c>
      <c r="I214" s="9" t="n"/>
      <c r="J214" s="9" t="n"/>
    </row>
    <row r="215">
      <c r="A215" s="9" t="n"/>
      <c r="B215" s="19" t="n"/>
      <c r="C215" s="9" t="n"/>
      <c r="D215" s="9" t="n"/>
      <c r="E215" s="9" t="n"/>
      <c r="F215" s="10" t="n"/>
      <c r="G215" s="12">
        <f>IF($A215="",0,IF($I215="",0,$F215))</f>
        <v/>
      </c>
      <c r="H215" s="12">
        <f>IF($A215="","",$F215-$G215)</f>
        <v/>
      </c>
      <c r="I215" s="9" t="n"/>
      <c r="J215" s="9" t="n"/>
    </row>
    <row r="216">
      <c r="A216" s="9" t="n"/>
      <c r="B216" s="19" t="n"/>
      <c r="C216" s="9" t="n"/>
      <c r="D216" s="9" t="n"/>
      <c r="E216" s="9" t="n"/>
      <c r="F216" s="10" t="n"/>
      <c r="G216" s="12">
        <f>IF($A216="",0,IF($I216="",0,$F216))</f>
        <v/>
      </c>
      <c r="H216" s="12">
        <f>IF($A216="","",$F216-$G216)</f>
        <v/>
      </c>
      <c r="I216" s="9" t="n"/>
      <c r="J216" s="9" t="n"/>
    </row>
    <row r="217">
      <c r="A217" s="9" t="n"/>
      <c r="B217" s="19" t="n"/>
      <c r="C217" s="9" t="n"/>
      <c r="D217" s="9" t="n"/>
      <c r="E217" s="9" t="n"/>
      <c r="F217" s="10" t="n"/>
      <c r="G217" s="12">
        <f>IF($A217="",0,IF($I217="",0,$F217))</f>
        <v/>
      </c>
      <c r="H217" s="12">
        <f>IF($A217="","",$F217-$G217)</f>
        <v/>
      </c>
      <c r="I217" s="9" t="n"/>
      <c r="J217" s="9" t="n"/>
    </row>
    <row r="218">
      <c r="A218" s="9" t="n"/>
      <c r="B218" s="19" t="n"/>
      <c r="C218" s="9" t="n"/>
      <c r="D218" s="9" t="n"/>
      <c r="E218" s="9" t="n"/>
      <c r="F218" s="10" t="n"/>
      <c r="G218" s="12">
        <f>IF($A218="",0,IF($I218="",0,$F218))</f>
        <v/>
      </c>
      <c r="H218" s="12">
        <f>IF($A218="","",$F218-$G218)</f>
        <v/>
      </c>
      <c r="I218" s="9" t="n"/>
      <c r="J218" s="9" t="n"/>
    </row>
    <row r="219">
      <c r="A219" s="9" t="n"/>
      <c r="B219" s="19" t="n"/>
      <c r="C219" s="9" t="n"/>
      <c r="D219" s="9" t="n"/>
      <c r="E219" s="9" t="n"/>
      <c r="F219" s="10" t="n"/>
      <c r="G219" s="12">
        <f>IF($A219="",0,IF($I219="",0,$F219))</f>
        <v/>
      </c>
      <c r="H219" s="12">
        <f>IF($A219="","",$F219-$G219)</f>
        <v/>
      </c>
      <c r="I219" s="9" t="n"/>
      <c r="J219" s="9" t="n"/>
    </row>
    <row r="220">
      <c r="A220" s="9" t="n"/>
      <c r="B220" s="19" t="n"/>
      <c r="C220" s="9" t="n"/>
      <c r="D220" s="9" t="n"/>
      <c r="E220" s="9" t="n"/>
      <c r="F220" s="10" t="n"/>
      <c r="G220" s="12">
        <f>IF($A220="",0,IF($I220="",0,$F220))</f>
        <v/>
      </c>
      <c r="H220" s="12">
        <f>IF($A220="","",$F220-$G220)</f>
        <v/>
      </c>
      <c r="I220" s="9" t="n"/>
      <c r="J220" s="9" t="n"/>
    </row>
    <row r="221">
      <c r="A221" s="9" t="n"/>
      <c r="B221" s="19" t="n"/>
      <c r="C221" s="9" t="n"/>
      <c r="D221" s="9" t="n"/>
      <c r="E221" s="9" t="n"/>
      <c r="F221" s="10" t="n"/>
      <c r="G221" s="12">
        <f>IF($A221="",0,IF($I221="",0,$F221))</f>
        <v/>
      </c>
      <c r="H221" s="12">
        <f>IF($A221="","",$F221-$G221)</f>
        <v/>
      </c>
      <c r="I221" s="9" t="n"/>
      <c r="J221" s="9" t="n"/>
    </row>
    <row r="222">
      <c r="A222" s="9" t="n"/>
      <c r="B222" s="19" t="n"/>
      <c r="C222" s="9" t="n"/>
      <c r="D222" s="9" t="n"/>
      <c r="E222" s="9" t="n"/>
      <c r="F222" s="10" t="n"/>
      <c r="G222" s="12">
        <f>IF($A222="",0,IF($I222="",0,$F222))</f>
        <v/>
      </c>
      <c r="H222" s="12">
        <f>IF($A222="","",$F222-$G222)</f>
        <v/>
      </c>
      <c r="I222" s="9" t="n"/>
      <c r="J222" s="9" t="n"/>
    </row>
    <row r="223">
      <c r="A223" s="9" t="n"/>
      <c r="B223" s="19" t="n"/>
      <c r="C223" s="9" t="n"/>
      <c r="D223" s="9" t="n"/>
      <c r="E223" s="9" t="n"/>
      <c r="F223" s="10" t="n"/>
      <c r="G223" s="12">
        <f>IF($A223="",0,IF($I223="",0,$F223))</f>
        <v/>
      </c>
      <c r="H223" s="12">
        <f>IF($A223="","",$F223-$G223)</f>
        <v/>
      </c>
      <c r="I223" s="9" t="n"/>
      <c r="J223" s="9" t="n"/>
    </row>
    <row r="224">
      <c r="A224" s="9" t="n"/>
      <c r="B224" s="19" t="n"/>
      <c r="C224" s="9" t="n"/>
      <c r="D224" s="9" t="n"/>
      <c r="E224" s="9" t="n"/>
      <c r="F224" s="10" t="n"/>
      <c r="G224" s="12">
        <f>IF($A224="",0,IF($I224="",0,$F224))</f>
        <v/>
      </c>
      <c r="H224" s="12">
        <f>IF($A224="","",$F224-$G224)</f>
        <v/>
      </c>
      <c r="I224" s="9" t="n"/>
      <c r="J224" s="9" t="n"/>
    </row>
    <row r="225">
      <c r="A225" s="9" t="n"/>
      <c r="B225" s="19" t="n"/>
      <c r="C225" s="9" t="n"/>
      <c r="D225" s="9" t="n"/>
      <c r="E225" s="9" t="n"/>
      <c r="F225" s="10" t="n"/>
      <c r="G225" s="12">
        <f>IF($A225="",0,IF($I225="",0,$F225))</f>
        <v/>
      </c>
      <c r="H225" s="12">
        <f>IF($A225="","",$F225-$G225)</f>
        <v/>
      </c>
      <c r="I225" s="9" t="n"/>
      <c r="J225" s="9" t="n"/>
    </row>
    <row r="226">
      <c r="A226" s="9" t="n"/>
      <c r="B226" s="19" t="n"/>
      <c r="C226" s="9" t="n"/>
      <c r="D226" s="9" t="n"/>
      <c r="E226" s="9" t="n"/>
      <c r="F226" s="10" t="n"/>
      <c r="G226" s="12">
        <f>IF($A226="",0,IF($I226="",0,$F226))</f>
        <v/>
      </c>
      <c r="H226" s="12">
        <f>IF($A226="","",$F226-$G226)</f>
        <v/>
      </c>
      <c r="I226" s="9" t="n"/>
      <c r="J226" s="9" t="n"/>
    </row>
    <row r="227">
      <c r="A227" s="9" t="n"/>
      <c r="B227" s="19" t="n"/>
      <c r="C227" s="9" t="n"/>
      <c r="D227" s="9" t="n"/>
      <c r="E227" s="9" t="n"/>
      <c r="F227" s="10" t="n"/>
      <c r="G227" s="12">
        <f>IF($A227="",0,IF($I227="",0,$F227))</f>
        <v/>
      </c>
      <c r="H227" s="12">
        <f>IF($A227="","",$F227-$G227)</f>
        <v/>
      </c>
      <c r="I227" s="9" t="n"/>
      <c r="J227" s="9" t="n"/>
    </row>
    <row r="228">
      <c r="A228" s="9" t="n"/>
      <c r="B228" s="19" t="n"/>
      <c r="C228" s="9" t="n"/>
      <c r="D228" s="9" t="n"/>
      <c r="E228" s="9" t="n"/>
      <c r="F228" s="10" t="n"/>
      <c r="G228" s="12">
        <f>IF($A228="",0,IF($I228="",0,$F228))</f>
        <v/>
      </c>
      <c r="H228" s="12">
        <f>IF($A228="","",$F228-$G228)</f>
        <v/>
      </c>
      <c r="I228" s="9" t="n"/>
      <c r="J228" s="9" t="n"/>
    </row>
    <row r="229">
      <c r="A229" s="9" t="n"/>
      <c r="B229" s="19" t="n"/>
      <c r="C229" s="9" t="n"/>
      <c r="D229" s="9" t="n"/>
      <c r="E229" s="9" t="n"/>
      <c r="F229" s="10" t="n"/>
      <c r="G229" s="12">
        <f>IF($A229="",0,IF($I229="",0,$F229))</f>
        <v/>
      </c>
      <c r="H229" s="12">
        <f>IF($A229="","",$F229-$G229)</f>
        <v/>
      </c>
      <c r="I229" s="9" t="n"/>
      <c r="J229" s="9" t="n"/>
    </row>
    <row r="230">
      <c r="A230" s="9" t="n"/>
      <c r="B230" s="19" t="n"/>
      <c r="C230" s="9" t="n"/>
      <c r="D230" s="9" t="n"/>
      <c r="E230" s="9" t="n"/>
      <c r="F230" s="10" t="n"/>
      <c r="G230" s="12">
        <f>IF($A230="",0,IF($I230="",0,$F230))</f>
        <v/>
      </c>
      <c r="H230" s="12">
        <f>IF($A230="","",$F230-$G230)</f>
        <v/>
      </c>
      <c r="I230" s="9" t="n"/>
      <c r="J230" s="9" t="n"/>
    </row>
    <row r="231">
      <c r="A231" s="9" t="n"/>
      <c r="B231" s="19" t="n"/>
      <c r="C231" s="9" t="n"/>
      <c r="D231" s="9" t="n"/>
      <c r="E231" s="9" t="n"/>
      <c r="F231" s="10" t="n"/>
      <c r="G231" s="12">
        <f>IF($A231="",0,IF($I231="",0,$F231))</f>
        <v/>
      </c>
      <c r="H231" s="12">
        <f>IF($A231="","",$F231-$G231)</f>
        <v/>
      </c>
      <c r="I231" s="9" t="n"/>
      <c r="J231" s="9" t="n"/>
    </row>
    <row r="232">
      <c r="A232" s="9" t="n"/>
      <c r="B232" s="19" t="n"/>
      <c r="C232" s="9" t="n"/>
      <c r="D232" s="9" t="n"/>
      <c r="E232" s="9" t="n"/>
      <c r="F232" s="10" t="n"/>
      <c r="G232" s="12">
        <f>IF($A232="",0,IF($I232="",0,$F232))</f>
        <v/>
      </c>
      <c r="H232" s="12">
        <f>IF($A232="","",$F232-$G232)</f>
        <v/>
      </c>
      <c r="I232" s="9" t="n"/>
      <c r="J232" s="9" t="n"/>
    </row>
    <row r="233">
      <c r="A233" s="9" t="n"/>
      <c r="B233" s="19" t="n"/>
      <c r="C233" s="9" t="n"/>
      <c r="D233" s="9" t="n"/>
      <c r="E233" s="9" t="n"/>
      <c r="F233" s="10" t="n"/>
      <c r="G233" s="12">
        <f>IF($A233="",0,IF($I233="",0,$F233))</f>
        <v/>
      </c>
      <c r="H233" s="12">
        <f>IF($A233="","",$F233-$G233)</f>
        <v/>
      </c>
      <c r="I233" s="9" t="n"/>
      <c r="J233" s="9" t="n"/>
    </row>
    <row r="234">
      <c r="A234" s="9" t="n"/>
      <c r="B234" s="19" t="n"/>
      <c r="C234" s="9" t="n"/>
      <c r="D234" s="9" t="n"/>
      <c r="E234" s="9" t="n"/>
      <c r="F234" s="10" t="n"/>
      <c r="G234" s="12">
        <f>IF($A234="",0,IF($I234="",0,$F234))</f>
        <v/>
      </c>
      <c r="H234" s="12">
        <f>IF($A234="","",$F234-$G234)</f>
        <v/>
      </c>
      <c r="I234" s="9" t="n"/>
      <c r="J234" s="9" t="n"/>
    </row>
    <row r="235">
      <c r="A235" s="9" t="n"/>
      <c r="B235" s="19" t="n"/>
      <c r="C235" s="9" t="n"/>
      <c r="D235" s="9" t="n"/>
      <c r="E235" s="9" t="n"/>
      <c r="F235" s="10" t="n"/>
      <c r="G235" s="12">
        <f>IF($A235="",0,IF($I235="",0,$F235))</f>
        <v/>
      </c>
      <c r="H235" s="12">
        <f>IF($A235="","",$F235-$G235)</f>
        <v/>
      </c>
      <c r="I235" s="9" t="n"/>
      <c r="J235" s="9" t="n"/>
    </row>
    <row r="236">
      <c r="A236" s="9" t="n"/>
      <c r="B236" s="19" t="n"/>
      <c r="C236" s="9" t="n"/>
      <c r="D236" s="9" t="n"/>
      <c r="E236" s="9" t="n"/>
      <c r="F236" s="10" t="n"/>
      <c r="G236" s="12">
        <f>IF($A236="",0,IF($I236="",0,$F236))</f>
        <v/>
      </c>
      <c r="H236" s="12">
        <f>IF($A236="","",$F236-$G236)</f>
        <v/>
      </c>
      <c r="I236" s="9" t="n"/>
      <c r="J236" s="9" t="n"/>
    </row>
    <row r="237">
      <c r="A237" s="9" t="n"/>
      <c r="B237" s="19" t="n"/>
      <c r="C237" s="9" t="n"/>
      <c r="D237" s="9" t="n"/>
      <c r="E237" s="9" t="n"/>
      <c r="F237" s="10" t="n"/>
      <c r="G237" s="12">
        <f>IF($A237="",0,IF($I237="",0,$F237))</f>
        <v/>
      </c>
      <c r="H237" s="12">
        <f>IF($A237="","",$F237-$G237)</f>
        <v/>
      </c>
      <c r="I237" s="9" t="n"/>
      <c r="J237" s="9" t="n"/>
    </row>
    <row r="238">
      <c r="A238" s="9" t="n"/>
      <c r="B238" s="19" t="n"/>
      <c r="C238" s="9" t="n"/>
      <c r="D238" s="9" t="n"/>
      <c r="E238" s="9" t="n"/>
      <c r="F238" s="10" t="n"/>
      <c r="G238" s="12">
        <f>IF($A238="",0,IF($I238="",0,$F238))</f>
        <v/>
      </c>
      <c r="H238" s="12">
        <f>IF($A238="","",$F238-$G238)</f>
        <v/>
      </c>
      <c r="I238" s="9" t="n"/>
      <c r="J238" s="9" t="n"/>
    </row>
    <row r="239">
      <c r="A239" s="9" t="n"/>
      <c r="B239" s="19" t="n"/>
      <c r="C239" s="9" t="n"/>
      <c r="D239" s="9" t="n"/>
      <c r="E239" s="9" t="n"/>
      <c r="F239" s="10" t="n"/>
      <c r="G239" s="12">
        <f>IF($A239="",0,IF($I239="",0,$F239))</f>
        <v/>
      </c>
      <c r="H239" s="12">
        <f>IF($A239="","",$F239-$G239)</f>
        <v/>
      </c>
      <c r="I239" s="9" t="n"/>
      <c r="J239" s="9" t="n"/>
    </row>
    <row r="240">
      <c r="A240" s="9" t="n"/>
      <c r="B240" s="19" t="n"/>
      <c r="C240" s="9" t="n"/>
      <c r="D240" s="9" t="n"/>
      <c r="E240" s="9" t="n"/>
      <c r="F240" s="10" t="n"/>
      <c r="G240" s="12">
        <f>IF($A240="",0,IF($I240="",0,$F240))</f>
        <v/>
      </c>
      <c r="H240" s="12">
        <f>IF($A240="","",$F240-$G240)</f>
        <v/>
      </c>
      <c r="I240" s="9" t="n"/>
      <c r="J240" s="9" t="n"/>
    </row>
    <row r="241">
      <c r="A241" s="9" t="n"/>
      <c r="B241" s="19" t="n"/>
      <c r="C241" s="9" t="n"/>
      <c r="D241" s="9" t="n"/>
      <c r="E241" s="9" t="n"/>
      <c r="F241" s="10" t="n"/>
      <c r="G241" s="12">
        <f>IF($A241="",0,IF($I241="",0,$F241))</f>
        <v/>
      </c>
      <c r="H241" s="12">
        <f>IF($A241="","",$F241-$G241)</f>
        <v/>
      </c>
      <c r="I241" s="9" t="n"/>
      <c r="J241" s="9" t="n"/>
    </row>
    <row r="242">
      <c r="A242" s="9" t="n"/>
      <c r="B242" s="19" t="n"/>
      <c r="C242" s="9" t="n"/>
      <c r="D242" s="9" t="n"/>
      <c r="E242" s="9" t="n"/>
      <c r="F242" s="10" t="n"/>
      <c r="G242" s="12">
        <f>IF($A242="",0,IF($I242="",0,$F242))</f>
        <v/>
      </c>
      <c r="H242" s="12">
        <f>IF($A242="","",$F242-$G242)</f>
        <v/>
      </c>
      <c r="I242" s="9" t="n"/>
      <c r="J242" s="9" t="n"/>
    </row>
    <row r="243">
      <c r="A243" s="9" t="n"/>
      <c r="B243" s="19" t="n"/>
      <c r="C243" s="9" t="n"/>
      <c r="D243" s="9" t="n"/>
      <c r="E243" s="9" t="n"/>
      <c r="F243" s="10" t="n"/>
      <c r="G243" s="12">
        <f>IF($A243="",0,IF($I243="",0,$F243))</f>
        <v/>
      </c>
      <c r="H243" s="12">
        <f>IF($A243="","",$F243-$G243)</f>
        <v/>
      </c>
      <c r="I243" s="9" t="n"/>
      <c r="J243" s="9" t="n"/>
    </row>
    <row r="244">
      <c r="A244" s="9" t="n"/>
      <c r="B244" s="19" t="n"/>
      <c r="C244" s="9" t="n"/>
      <c r="D244" s="9" t="n"/>
      <c r="E244" s="9" t="n"/>
      <c r="F244" s="10" t="n"/>
      <c r="G244" s="12">
        <f>IF($A244="",0,IF($I244="",0,$F244))</f>
        <v/>
      </c>
      <c r="H244" s="12">
        <f>IF($A244="","",$F244-$G244)</f>
        <v/>
      </c>
      <c r="I244" s="9" t="n"/>
      <c r="J244" s="9" t="n"/>
    </row>
    <row r="245">
      <c r="A245" s="9" t="n"/>
      <c r="B245" s="19" t="n"/>
      <c r="C245" s="9" t="n"/>
      <c r="D245" s="9" t="n"/>
      <c r="E245" s="9" t="n"/>
      <c r="F245" s="10" t="n"/>
      <c r="G245" s="12">
        <f>IF($A245="",0,IF($I245="",0,$F245))</f>
        <v/>
      </c>
      <c r="H245" s="12">
        <f>IF($A245="","",$F245-$G245)</f>
        <v/>
      </c>
      <c r="I245" s="9" t="n"/>
      <c r="J245" s="9" t="n"/>
    </row>
    <row r="246">
      <c r="A246" s="9" t="n"/>
      <c r="B246" s="19" t="n"/>
      <c r="C246" s="9" t="n"/>
      <c r="D246" s="9" t="n"/>
      <c r="E246" s="9" t="n"/>
      <c r="F246" s="10" t="n"/>
      <c r="G246" s="12">
        <f>IF($A246="",0,IF($I246="",0,$F246))</f>
        <v/>
      </c>
      <c r="H246" s="12">
        <f>IF($A246="","",$F246-$G246)</f>
        <v/>
      </c>
      <c r="I246" s="9" t="n"/>
      <c r="J246" s="9" t="n"/>
    </row>
    <row r="247">
      <c r="A247" s="9" t="n"/>
      <c r="B247" s="19" t="n"/>
      <c r="C247" s="9" t="n"/>
      <c r="D247" s="9" t="n"/>
      <c r="E247" s="9" t="n"/>
      <c r="F247" s="10" t="n"/>
      <c r="G247" s="12">
        <f>IF($A247="",0,IF($I247="",0,$F247))</f>
        <v/>
      </c>
      <c r="H247" s="12">
        <f>IF($A247="","",$F247-$G247)</f>
        <v/>
      </c>
      <c r="I247" s="9" t="n"/>
      <c r="J247" s="9" t="n"/>
    </row>
    <row r="248">
      <c r="A248" s="9" t="n"/>
      <c r="B248" s="19" t="n"/>
      <c r="C248" s="9" t="n"/>
      <c r="D248" s="9" t="n"/>
      <c r="E248" s="9" t="n"/>
      <c r="F248" s="10" t="n"/>
      <c r="G248" s="12">
        <f>IF($A248="",0,IF($I248="",0,$F248))</f>
        <v/>
      </c>
      <c r="H248" s="12">
        <f>IF($A248="","",$F248-$G248)</f>
        <v/>
      </c>
      <c r="I248" s="9" t="n"/>
      <c r="J248" s="9" t="n"/>
    </row>
    <row r="249">
      <c r="A249" s="9" t="n"/>
      <c r="B249" s="19" t="n"/>
      <c r="C249" s="9" t="n"/>
      <c r="D249" s="9" t="n"/>
      <c r="E249" s="9" t="n"/>
      <c r="F249" s="10" t="n"/>
      <c r="G249" s="12">
        <f>IF($A249="",0,IF($I249="",0,$F249))</f>
        <v/>
      </c>
      <c r="H249" s="12">
        <f>IF($A249="","",$F249-$G249)</f>
        <v/>
      </c>
      <c r="I249" s="9" t="n"/>
      <c r="J249" s="9" t="n"/>
    </row>
    <row r="250">
      <c r="A250" s="9" t="n"/>
      <c r="B250" s="19" t="n"/>
      <c r="C250" s="9" t="n"/>
      <c r="D250" s="9" t="n"/>
      <c r="E250" s="9" t="n"/>
      <c r="F250" s="10" t="n"/>
      <c r="G250" s="12">
        <f>IF($A250="",0,IF($I250="",0,$F250))</f>
        <v/>
      </c>
      <c r="H250" s="12">
        <f>IF($A250="","",$F250-$G250)</f>
        <v/>
      </c>
      <c r="I250" s="9" t="n"/>
      <c r="J250" s="9" t="n"/>
    </row>
    <row r="251">
      <c r="A251" s="9" t="n"/>
      <c r="B251" s="19" t="n"/>
      <c r="C251" s="9" t="n"/>
      <c r="D251" s="9" t="n"/>
      <c r="E251" s="9" t="n"/>
      <c r="F251" s="10" t="n"/>
      <c r="G251" s="12">
        <f>IF($A251="",0,IF($I251="",0,$F251))</f>
        <v/>
      </c>
      <c r="H251" s="12">
        <f>IF($A251="","",$F251-$G251)</f>
        <v/>
      </c>
      <c r="I251" s="9" t="n"/>
      <c r="J251" s="9" t="n"/>
    </row>
    <row r="252">
      <c r="A252" s="9" t="n"/>
      <c r="B252" s="19" t="n"/>
      <c r="C252" s="9" t="n"/>
      <c r="D252" s="9" t="n"/>
      <c r="E252" s="9" t="n"/>
      <c r="F252" s="10" t="n"/>
      <c r="G252" s="12">
        <f>IF($A252="",0,IF($I252="",0,$F252))</f>
        <v/>
      </c>
      <c r="H252" s="12">
        <f>IF($A252="","",$F252-$G252)</f>
        <v/>
      </c>
      <c r="I252" s="9" t="n"/>
      <c r="J252" s="9" t="n"/>
    </row>
    <row r="253">
      <c r="A253" s="9" t="n"/>
      <c r="B253" s="19" t="n"/>
      <c r="C253" s="9" t="n"/>
      <c r="D253" s="9" t="n"/>
      <c r="E253" s="9" t="n"/>
      <c r="F253" s="10" t="n"/>
      <c r="G253" s="12">
        <f>IF($A253="",0,IF($I253="",0,$F253))</f>
        <v/>
      </c>
      <c r="H253" s="12">
        <f>IF($A253="","",$F253-$G253)</f>
        <v/>
      </c>
      <c r="I253" s="9" t="n"/>
      <c r="J253" s="9" t="n"/>
    </row>
    <row r="254">
      <c r="A254" s="9" t="n"/>
      <c r="B254" s="19" t="n"/>
      <c r="C254" s="9" t="n"/>
      <c r="D254" s="9" t="n"/>
      <c r="E254" s="9" t="n"/>
      <c r="F254" s="10" t="n"/>
      <c r="G254" s="12">
        <f>IF($A254="",0,IF($I254="",0,$F254))</f>
        <v/>
      </c>
      <c r="H254" s="12">
        <f>IF($A254="","",$F254-$G254)</f>
        <v/>
      </c>
      <c r="I254" s="9" t="n"/>
      <c r="J254" s="9" t="n"/>
    </row>
    <row r="255">
      <c r="A255" s="9" t="n"/>
      <c r="B255" s="19" t="n"/>
      <c r="C255" s="9" t="n"/>
      <c r="D255" s="9" t="n"/>
      <c r="E255" s="9" t="n"/>
      <c r="F255" s="10" t="n"/>
      <c r="G255" s="12">
        <f>IF($A255="",0,IF($I255="",0,$F255))</f>
        <v/>
      </c>
      <c r="H255" s="12">
        <f>IF($A255="","",$F255-$G255)</f>
        <v/>
      </c>
      <c r="I255" s="9" t="n"/>
      <c r="J255" s="9" t="n"/>
    </row>
    <row r="256">
      <c r="A256" s="9" t="n"/>
      <c r="B256" s="19" t="n"/>
      <c r="C256" s="9" t="n"/>
      <c r="D256" s="9" t="n"/>
      <c r="E256" s="9" t="n"/>
      <c r="F256" s="10" t="n"/>
      <c r="G256" s="12">
        <f>IF($A256="",0,IF($I256="",0,$F256))</f>
        <v/>
      </c>
      <c r="H256" s="12">
        <f>IF($A256="","",$F256-$G256)</f>
        <v/>
      </c>
      <c r="I256" s="9" t="n"/>
      <c r="J256" s="9" t="n"/>
    </row>
    <row r="257">
      <c r="A257" s="9" t="n"/>
      <c r="B257" s="19" t="n"/>
      <c r="C257" s="9" t="n"/>
      <c r="D257" s="9" t="n"/>
      <c r="E257" s="9" t="n"/>
      <c r="F257" s="10" t="n"/>
      <c r="G257" s="12">
        <f>IF($A257="",0,IF($I257="",0,$F257))</f>
        <v/>
      </c>
      <c r="H257" s="12">
        <f>IF($A257="","",$F257-$G257)</f>
        <v/>
      </c>
      <c r="I257" s="9" t="n"/>
      <c r="J257" s="9" t="n"/>
    </row>
    <row r="258">
      <c r="A258" s="9" t="n"/>
      <c r="B258" s="19" t="n"/>
      <c r="C258" s="9" t="n"/>
      <c r="D258" s="9" t="n"/>
      <c r="E258" s="9" t="n"/>
      <c r="F258" s="10" t="n"/>
      <c r="G258" s="12">
        <f>IF($A258="",0,IF($I258="",0,$F258))</f>
        <v/>
      </c>
      <c r="H258" s="12">
        <f>IF($A258="","",$F258-$G258)</f>
        <v/>
      </c>
      <c r="I258" s="9" t="n"/>
      <c r="J258" s="9" t="n"/>
    </row>
    <row r="259">
      <c r="A259" s="9" t="n"/>
      <c r="B259" s="19" t="n"/>
      <c r="C259" s="9" t="n"/>
      <c r="D259" s="9" t="n"/>
      <c r="E259" s="9" t="n"/>
      <c r="F259" s="10" t="n"/>
      <c r="G259" s="12">
        <f>IF($A259="",0,IF($I259="",0,$F259))</f>
        <v/>
      </c>
      <c r="H259" s="12">
        <f>IF($A259="","",$F259-$G259)</f>
        <v/>
      </c>
      <c r="I259" s="9" t="n"/>
      <c r="J259" s="9" t="n"/>
    </row>
    <row r="260">
      <c r="A260" s="9" t="n"/>
      <c r="B260" s="19" t="n"/>
      <c r="C260" s="9" t="n"/>
      <c r="D260" s="9" t="n"/>
      <c r="E260" s="9" t="n"/>
      <c r="F260" s="10" t="n"/>
      <c r="G260" s="12">
        <f>IF($A260="",0,IF($I260="",0,$F260))</f>
        <v/>
      </c>
      <c r="H260" s="12">
        <f>IF($A260="","",$F260-$G260)</f>
        <v/>
      </c>
      <c r="I260" s="9" t="n"/>
      <c r="J260" s="9" t="n"/>
    </row>
    <row r="261">
      <c r="A261" s="9" t="n"/>
      <c r="B261" s="19" t="n"/>
      <c r="C261" s="9" t="n"/>
      <c r="D261" s="9" t="n"/>
      <c r="E261" s="9" t="n"/>
      <c r="F261" s="10" t="n"/>
      <c r="G261" s="12">
        <f>IF($A261="",0,IF($I261="",0,$F261))</f>
        <v/>
      </c>
      <c r="H261" s="12">
        <f>IF($A261="","",$F261-$G261)</f>
        <v/>
      </c>
      <c r="I261" s="9" t="n"/>
      <c r="J261" s="9" t="n"/>
    </row>
    <row r="262">
      <c r="A262" s="9" t="n"/>
      <c r="B262" s="19" t="n"/>
      <c r="C262" s="9" t="n"/>
      <c r="D262" s="9" t="n"/>
      <c r="E262" s="9" t="n"/>
      <c r="F262" s="10" t="n"/>
      <c r="G262" s="12">
        <f>IF($A262="",0,IF($I262="",0,$F262))</f>
        <v/>
      </c>
      <c r="H262" s="12">
        <f>IF($A262="","",$F262-$G262)</f>
        <v/>
      </c>
      <c r="I262" s="9" t="n"/>
      <c r="J262" s="9" t="n"/>
    </row>
    <row r="263">
      <c r="A263" s="9" t="n"/>
      <c r="B263" s="19" t="n"/>
      <c r="C263" s="9" t="n"/>
      <c r="D263" s="9" t="n"/>
      <c r="E263" s="9" t="n"/>
      <c r="F263" s="10" t="n"/>
      <c r="G263" s="12">
        <f>IF($A263="",0,IF($I263="",0,$F263))</f>
        <v/>
      </c>
      <c r="H263" s="12">
        <f>IF($A263="","",$F263-$G263)</f>
        <v/>
      </c>
      <c r="I263" s="9" t="n"/>
      <c r="J263" s="9" t="n"/>
    </row>
    <row r="264">
      <c r="A264" s="9" t="n"/>
      <c r="B264" s="19" t="n"/>
      <c r="C264" s="9" t="n"/>
      <c r="D264" s="9" t="n"/>
      <c r="E264" s="9" t="n"/>
      <c r="F264" s="10" t="n"/>
      <c r="G264" s="12">
        <f>IF($A264="",0,IF($I264="",0,$F264))</f>
        <v/>
      </c>
      <c r="H264" s="12">
        <f>IF($A264="","",$F264-$G264)</f>
        <v/>
      </c>
      <c r="I264" s="9" t="n"/>
      <c r="J264" s="9" t="n"/>
    </row>
    <row r="265">
      <c r="A265" s="9" t="n"/>
      <c r="B265" s="19" t="n"/>
      <c r="C265" s="9" t="n"/>
      <c r="D265" s="9" t="n"/>
      <c r="E265" s="9" t="n"/>
      <c r="F265" s="10" t="n"/>
      <c r="G265" s="12">
        <f>IF($A265="",0,IF($I265="",0,$F265))</f>
        <v/>
      </c>
      <c r="H265" s="12">
        <f>IF($A265="","",$F265-$G265)</f>
        <v/>
      </c>
      <c r="I265" s="9" t="n"/>
      <c r="J265" s="9" t="n"/>
    </row>
    <row r="266">
      <c r="A266" s="9" t="n"/>
      <c r="B266" s="19" t="n"/>
      <c r="C266" s="9" t="n"/>
      <c r="D266" s="9" t="n"/>
      <c r="E266" s="9" t="n"/>
      <c r="F266" s="10" t="n"/>
      <c r="G266" s="12">
        <f>IF($A266="",0,IF($I266="",0,$F266))</f>
        <v/>
      </c>
      <c r="H266" s="12">
        <f>IF($A266="","",$F266-$G266)</f>
        <v/>
      </c>
      <c r="I266" s="9" t="n"/>
      <c r="J266" s="9" t="n"/>
    </row>
    <row r="267">
      <c r="A267" s="9" t="n"/>
      <c r="B267" s="19" t="n"/>
      <c r="C267" s="9" t="n"/>
      <c r="D267" s="9" t="n"/>
      <c r="E267" s="9" t="n"/>
      <c r="F267" s="10" t="n"/>
      <c r="G267" s="12">
        <f>IF($A267="",0,IF($I267="",0,$F267))</f>
        <v/>
      </c>
      <c r="H267" s="12">
        <f>IF($A267="","",$F267-$G267)</f>
        <v/>
      </c>
      <c r="I267" s="9" t="n"/>
      <c r="J267" s="9" t="n"/>
    </row>
    <row r="268">
      <c r="A268" s="9" t="n"/>
      <c r="B268" s="19" t="n"/>
      <c r="C268" s="9" t="n"/>
      <c r="D268" s="9" t="n"/>
      <c r="E268" s="9" t="n"/>
      <c r="F268" s="10" t="n"/>
      <c r="G268" s="12">
        <f>IF($A268="",0,IF($I268="",0,$F268))</f>
        <v/>
      </c>
      <c r="H268" s="12">
        <f>IF($A268="","",$F268-$G268)</f>
        <v/>
      </c>
      <c r="I268" s="9" t="n"/>
      <c r="J268" s="9" t="n"/>
    </row>
    <row r="269">
      <c r="A269" s="9" t="n"/>
      <c r="B269" s="19" t="n"/>
      <c r="C269" s="9" t="n"/>
      <c r="D269" s="9" t="n"/>
      <c r="E269" s="9" t="n"/>
      <c r="F269" s="10" t="n"/>
      <c r="G269" s="12">
        <f>IF($A269="",0,IF($I269="",0,$F269))</f>
        <v/>
      </c>
      <c r="H269" s="12">
        <f>IF($A269="","",$F269-$G269)</f>
        <v/>
      </c>
      <c r="I269" s="9" t="n"/>
      <c r="J269" s="9" t="n"/>
    </row>
    <row r="270">
      <c r="A270" s="9" t="n"/>
      <c r="B270" s="19" t="n"/>
      <c r="C270" s="9" t="n"/>
      <c r="D270" s="9" t="n"/>
      <c r="E270" s="9" t="n"/>
      <c r="F270" s="10" t="n"/>
      <c r="G270" s="12">
        <f>IF($A270="",0,IF($I270="",0,$F270))</f>
        <v/>
      </c>
      <c r="H270" s="12">
        <f>IF($A270="","",$F270-$G270)</f>
        <v/>
      </c>
      <c r="I270" s="9" t="n"/>
      <c r="J270" s="9" t="n"/>
    </row>
    <row r="271">
      <c r="A271" s="9" t="n"/>
      <c r="B271" s="19" t="n"/>
      <c r="C271" s="9" t="n"/>
      <c r="D271" s="9" t="n"/>
      <c r="E271" s="9" t="n"/>
      <c r="F271" s="10" t="n"/>
      <c r="G271" s="12">
        <f>IF($A271="",0,IF($I271="",0,$F271))</f>
        <v/>
      </c>
      <c r="H271" s="12">
        <f>IF($A271="","",$F271-$G271)</f>
        <v/>
      </c>
      <c r="I271" s="9" t="n"/>
      <c r="J271" s="9" t="n"/>
    </row>
    <row r="272">
      <c r="A272" s="9" t="n"/>
      <c r="B272" s="19" t="n"/>
      <c r="C272" s="9" t="n"/>
      <c r="D272" s="9" t="n"/>
      <c r="E272" s="9" t="n"/>
      <c r="F272" s="10" t="n"/>
      <c r="G272" s="12">
        <f>IF($A272="",0,IF($I272="",0,$F272))</f>
        <v/>
      </c>
      <c r="H272" s="12">
        <f>IF($A272="","",$F272-$G272)</f>
        <v/>
      </c>
      <c r="I272" s="9" t="n"/>
      <c r="J272" s="9" t="n"/>
    </row>
    <row r="273">
      <c r="A273" s="9" t="n"/>
      <c r="B273" s="19" t="n"/>
      <c r="C273" s="9" t="n"/>
      <c r="D273" s="9" t="n"/>
      <c r="E273" s="9" t="n"/>
      <c r="F273" s="10" t="n"/>
      <c r="G273" s="12">
        <f>IF($A273="",0,IF($I273="",0,$F273))</f>
        <v/>
      </c>
      <c r="H273" s="12">
        <f>IF($A273="","",$F273-$G273)</f>
        <v/>
      </c>
      <c r="I273" s="9" t="n"/>
      <c r="J273" s="9" t="n"/>
    </row>
    <row r="274">
      <c r="A274" s="9" t="n"/>
      <c r="B274" s="19" t="n"/>
      <c r="C274" s="9" t="n"/>
      <c r="D274" s="9" t="n"/>
      <c r="E274" s="9" t="n"/>
      <c r="F274" s="10" t="n"/>
      <c r="G274" s="12">
        <f>IF($A274="",0,IF($I274="",0,$F274))</f>
        <v/>
      </c>
      <c r="H274" s="12">
        <f>IF($A274="","",$F274-$G274)</f>
        <v/>
      </c>
      <c r="I274" s="9" t="n"/>
      <c r="J274" s="9" t="n"/>
    </row>
    <row r="275">
      <c r="A275" s="9" t="n"/>
      <c r="B275" s="19" t="n"/>
      <c r="C275" s="9" t="n"/>
      <c r="D275" s="9" t="n"/>
      <c r="E275" s="9" t="n"/>
      <c r="F275" s="10" t="n"/>
      <c r="G275" s="12">
        <f>IF($A275="",0,IF($I275="",0,$F275))</f>
        <v/>
      </c>
      <c r="H275" s="12">
        <f>IF($A275="","",$F275-$G275)</f>
        <v/>
      </c>
      <c r="I275" s="9" t="n"/>
      <c r="J275" s="9" t="n"/>
    </row>
    <row r="276">
      <c r="A276" s="9" t="n"/>
      <c r="B276" s="19" t="n"/>
      <c r="C276" s="9" t="n"/>
      <c r="D276" s="9" t="n"/>
      <c r="E276" s="9" t="n"/>
      <c r="F276" s="10" t="n"/>
      <c r="G276" s="12">
        <f>IF($A276="",0,IF($I276="",0,$F276))</f>
        <v/>
      </c>
      <c r="H276" s="12">
        <f>IF($A276="","",$F276-$G276)</f>
        <v/>
      </c>
      <c r="I276" s="9" t="n"/>
      <c r="J276" s="9" t="n"/>
    </row>
    <row r="277">
      <c r="A277" s="9" t="n"/>
      <c r="B277" s="19" t="n"/>
      <c r="C277" s="9" t="n"/>
      <c r="D277" s="9" t="n"/>
      <c r="E277" s="9" t="n"/>
      <c r="F277" s="10" t="n"/>
      <c r="G277" s="12">
        <f>IF($A277="",0,IF($I277="",0,$F277))</f>
        <v/>
      </c>
      <c r="H277" s="12">
        <f>IF($A277="","",$F277-$G277)</f>
        <v/>
      </c>
      <c r="I277" s="9" t="n"/>
      <c r="J277" s="9" t="n"/>
    </row>
    <row r="278">
      <c r="A278" s="9" t="n"/>
      <c r="B278" s="19" t="n"/>
      <c r="C278" s="9" t="n"/>
      <c r="D278" s="9" t="n"/>
      <c r="E278" s="9" t="n"/>
      <c r="F278" s="10" t="n"/>
      <c r="G278" s="12">
        <f>IF($A278="",0,IF($I278="",0,$F278))</f>
        <v/>
      </c>
      <c r="H278" s="12">
        <f>IF($A278="","",$F278-$G278)</f>
        <v/>
      </c>
      <c r="I278" s="9" t="n"/>
      <c r="J278" s="9" t="n"/>
    </row>
    <row r="279">
      <c r="A279" s="9" t="n"/>
      <c r="B279" s="19" t="n"/>
      <c r="C279" s="9" t="n"/>
      <c r="D279" s="9" t="n"/>
      <c r="E279" s="9" t="n"/>
      <c r="F279" s="10" t="n"/>
      <c r="G279" s="12">
        <f>IF($A279="",0,IF($I279="",0,$F279))</f>
        <v/>
      </c>
      <c r="H279" s="12">
        <f>IF($A279="","",$F279-$G279)</f>
        <v/>
      </c>
      <c r="I279" s="9" t="n"/>
      <c r="J279" s="9" t="n"/>
    </row>
    <row r="280">
      <c r="A280" s="9" t="n"/>
      <c r="B280" s="19" t="n"/>
      <c r="C280" s="9" t="n"/>
      <c r="D280" s="9" t="n"/>
      <c r="E280" s="9" t="n"/>
      <c r="F280" s="10" t="n"/>
      <c r="G280" s="12">
        <f>IF($A280="",0,IF($I280="",0,$F280))</f>
        <v/>
      </c>
      <c r="H280" s="12">
        <f>IF($A280="","",$F280-$G280)</f>
        <v/>
      </c>
      <c r="I280" s="9" t="n"/>
      <c r="J280" s="9" t="n"/>
    </row>
    <row r="281">
      <c r="A281" s="9" t="n"/>
      <c r="B281" s="19" t="n"/>
      <c r="C281" s="9" t="n"/>
      <c r="D281" s="9" t="n"/>
      <c r="E281" s="9" t="n"/>
      <c r="F281" s="10" t="n"/>
      <c r="G281" s="12">
        <f>IF($A281="",0,IF($I281="",0,$F281))</f>
        <v/>
      </c>
      <c r="H281" s="12">
        <f>IF($A281="","",$F281-$G281)</f>
        <v/>
      </c>
      <c r="I281" s="9" t="n"/>
      <c r="J281" s="9" t="n"/>
    </row>
    <row r="282">
      <c r="A282" s="9" t="n"/>
      <c r="B282" s="19" t="n"/>
      <c r="C282" s="9" t="n"/>
      <c r="D282" s="9" t="n"/>
      <c r="E282" s="9" t="n"/>
      <c r="F282" s="10" t="n"/>
      <c r="G282" s="12">
        <f>IF($A282="",0,IF($I282="",0,$F282))</f>
        <v/>
      </c>
      <c r="H282" s="12">
        <f>IF($A282="","",$F282-$G282)</f>
        <v/>
      </c>
      <c r="I282" s="9" t="n"/>
      <c r="J282" s="9" t="n"/>
    </row>
    <row r="283">
      <c r="A283" s="9" t="n"/>
      <c r="B283" s="19" t="n"/>
      <c r="C283" s="9" t="n"/>
      <c r="D283" s="9" t="n"/>
      <c r="E283" s="9" t="n"/>
      <c r="F283" s="10" t="n"/>
      <c r="G283" s="12">
        <f>IF($A283="",0,IF($I283="",0,$F283))</f>
        <v/>
      </c>
      <c r="H283" s="12">
        <f>IF($A283="","",$F283-$G283)</f>
        <v/>
      </c>
      <c r="I283" s="9" t="n"/>
      <c r="J283" s="9" t="n"/>
    </row>
    <row r="284">
      <c r="A284" s="9" t="n"/>
      <c r="B284" s="19" t="n"/>
      <c r="C284" s="9" t="n"/>
      <c r="D284" s="9" t="n"/>
      <c r="E284" s="9" t="n"/>
      <c r="F284" s="10" t="n"/>
      <c r="G284" s="12">
        <f>IF($A284="",0,IF($I284="",0,$F284))</f>
        <v/>
      </c>
      <c r="H284" s="12">
        <f>IF($A284="","",$F284-$G284)</f>
        <v/>
      </c>
      <c r="I284" s="9" t="n"/>
      <c r="J284" s="9" t="n"/>
    </row>
    <row r="285">
      <c r="A285" s="9" t="n"/>
      <c r="B285" s="19" t="n"/>
      <c r="C285" s="9" t="n"/>
      <c r="D285" s="9" t="n"/>
      <c r="E285" s="9" t="n"/>
      <c r="F285" s="10" t="n"/>
      <c r="G285" s="12">
        <f>IF($A285="",0,IF($I285="",0,$F285))</f>
        <v/>
      </c>
      <c r="H285" s="12">
        <f>IF($A285="","",$F285-$G285)</f>
        <v/>
      </c>
      <c r="I285" s="9" t="n"/>
      <c r="J285" s="9" t="n"/>
    </row>
    <row r="286">
      <c r="A286" s="9" t="n"/>
      <c r="B286" s="19" t="n"/>
      <c r="C286" s="9" t="n"/>
      <c r="D286" s="9" t="n"/>
      <c r="E286" s="9" t="n"/>
      <c r="F286" s="10" t="n"/>
      <c r="G286" s="12">
        <f>IF($A286="",0,IF($I286="",0,$F286))</f>
        <v/>
      </c>
      <c r="H286" s="12">
        <f>IF($A286="","",$F286-$G286)</f>
        <v/>
      </c>
      <c r="I286" s="9" t="n"/>
      <c r="J286" s="9" t="n"/>
    </row>
    <row r="287">
      <c r="A287" s="9" t="n"/>
      <c r="B287" s="19" t="n"/>
      <c r="C287" s="9" t="n"/>
      <c r="D287" s="9" t="n"/>
      <c r="E287" s="9" t="n"/>
      <c r="F287" s="10" t="n"/>
      <c r="G287" s="12">
        <f>IF($A287="",0,IF($I287="",0,$F287))</f>
        <v/>
      </c>
      <c r="H287" s="12">
        <f>IF($A287="","",$F287-$G287)</f>
        <v/>
      </c>
      <c r="I287" s="9" t="n"/>
      <c r="J287" s="9" t="n"/>
    </row>
    <row r="288">
      <c r="A288" s="9" t="n"/>
      <c r="B288" s="19" t="n"/>
      <c r="C288" s="9" t="n"/>
      <c r="D288" s="9" t="n"/>
      <c r="E288" s="9" t="n"/>
      <c r="F288" s="10" t="n"/>
      <c r="G288" s="12">
        <f>IF($A288="",0,IF($I288="",0,$F288))</f>
        <v/>
      </c>
      <c r="H288" s="12">
        <f>IF($A288="","",$F288-$G288)</f>
        <v/>
      </c>
      <c r="I288" s="9" t="n"/>
      <c r="J288" s="9" t="n"/>
    </row>
    <row r="289">
      <c r="A289" s="9" t="n"/>
      <c r="B289" s="19" t="n"/>
      <c r="C289" s="9" t="n"/>
      <c r="D289" s="9" t="n"/>
      <c r="E289" s="9" t="n"/>
      <c r="F289" s="10" t="n"/>
      <c r="G289" s="12">
        <f>IF($A289="",0,IF($I289="",0,$F289))</f>
        <v/>
      </c>
      <c r="H289" s="12">
        <f>IF($A289="","",$F289-$G289)</f>
        <v/>
      </c>
      <c r="I289" s="9" t="n"/>
      <c r="J289" s="9" t="n"/>
    </row>
    <row r="290">
      <c r="A290" s="9" t="n"/>
      <c r="B290" s="19" t="n"/>
      <c r="C290" s="9" t="n"/>
      <c r="D290" s="9" t="n"/>
      <c r="E290" s="9" t="n"/>
      <c r="F290" s="10" t="n"/>
      <c r="G290" s="12">
        <f>IF($A290="",0,IF($I290="",0,$F290))</f>
        <v/>
      </c>
      <c r="H290" s="12">
        <f>IF($A290="","",$F290-$G290)</f>
        <v/>
      </c>
      <c r="I290" s="9" t="n"/>
      <c r="J290" s="9" t="n"/>
    </row>
    <row r="291">
      <c r="A291" s="9" t="n"/>
      <c r="B291" s="19" t="n"/>
      <c r="C291" s="9" t="n"/>
      <c r="D291" s="9" t="n"/>
      <c r="E291" s="9" t="n"/>
      <c r="F291" s="10" t="n"/>
      <c r="G291" s="12">
        <f>IF($A291="",0,IF($I291="",0,$F291))</f>
        <v/>
      </c>
      <c r="H291" s="12">
        <f>IF($A291="","",$F291-$G291)</f>
        <v/>
      </c>
      <c r="I291" s="9" t="n"/>
      <c r="J291" s="9" t="n"/>
    </row>
    <row r="292">
      <c r="A292" s="9" t="n"/>
      <c r="B292" s="19" t="n"/>
      <c r="C292" s="9" t="n"/>
      <c r="D292" s="9" t="n"/>
      <c r="E292" s="9" t="n"/>
      <c r="F292" s="10" t="n"/>
      <c r="G292" s="12">
        <f>IF($A292="",0,IF($I292="",0,$F292))</f>
        <v/>
      </c>
      <c r="H292" s="12">
        <f>IF($A292="","",$F292-$G292)</f>
        <v/>
      </c>
      <c r="I292" s="9" t="n"/>
      <c r="J292" s="9" t="n"/>
    </row>
    <row r="293">
      <c r="A293" s="9" t="n"/>
      <c r="B293" s="19" t="n"/>
      <c r="C293" s="9" t="n"/>
      <c r="D293" s="9" t="n"/>
      <c r="E293" s="9" t="n"/>
      <c r="F293" s="10" t="n"/>
      <c r="G293" s="12">
        <f>IF($A293="",0,IF($I293="",0,$F293))</f>
        <v/>
      </c>
      <c r="H293" s="12">
        <f>IF($A293="","",$F293-$G293)</f>
        <v/>
      </c>
      <c r="I293" s="9" t="n"/>
      <c r="J293" s="9" t="n"/>
    </row>
    <row r="294">
      <c r="A294" s="9" t="n"/>
      <c r="B294" s="19" t="n"/>
      <c r="C294" s="9" t="n"/>
      <c r="D294" s="9" t="n"/>
      <c r="E294" s="9" t="n"/>
      <c r="F294" s="10" t="n"/>
      <c r="G294" s="12">
        <f>IF($A294="",0,IF($I294="",0,$F294))</f>
        <v/>
      </c>
      <c r="H294" s="12">
        <f>IF($A294="","",$F294-$G294)</f>
        <v/>
      </c>
      <c r="I294" s="9" t="n"/>
      <c r="J294" s="9" t="n"/>
    </row>
    <row r="295">
      <c r="A295" s="9" t="n"/>
      <c r="B295" s="19" t="n"/>
      <c r="C295" s="9" t="n"/>
      <c r="D295" s="9" t="n"/>
      <c r="E295" s="9" t="n"/>
      <c r="F295" s="10" t="n"/>
      <c r="G295" s="12">
        <f>IF($A295="",0,IF($I295="",0,$F295))</f>
        <v/>
      </c>
      <c r="H295" s="12">
        <f>IF($A295="","",$F295-$G295)</f>
        <v/>
      </c>
      <c r="I295" s="9" t="n"/>
      <c r="J295" s="9" t="n"/>
    </row>
    <row r="296">
      <c r="A296" s="9" t="n"/>
      <c r="B296" s="19" t="n"/>
      <c r="C296" s="9" t="n"/>
      <c r="D296" s="9" t="n"/>
      <c r="E296" s="9" t="n"/>
      <c r="F296" s="10" t="n"/>
      <c r="G296" s="12">
        <f>IF($A296="",0,IF($I296="",0,$F296))</f>
        <v/>
      </c>
      <c r="H296" s="12">
        <f>IF($A296="","",$F296-$G296)</f>
        <v/>
      </c>
      <c r="I296" s="9" t="n"/>
      <c r="J296" s="9" t="n"/>
    </row>
    <row r="297">
      <c r="A297" s="9" t="n"/>
      <c r="B297" s="19" t="n"/>
      <c r="C297" s="9" t="n"/>
      <c r="D297" s="9" t="n"/>
      <c r="E297" s="9" t="n"/>
      <c r="F297" s="10" t="n"/>
      <c r="G297" s="12">
        <f>IF($A297="",0,IF($I297="",0,$F297))</f>
        <v/>
      </c>
      <c r="H297" s="12">
        <f>IF($A297="","",$F297-$G297)</f>
        <v/>
      </c>
      <c r="I297" s="9" t="n"/>
      <c r="J297" s="9" t="n"/>
    </row>
    <row r="298">
      <c r="A298" s="9" t="n"/>
      <c r="B298" s="19" t="n"/>
      <c r="C298" s="9" t="n"/>
      <c r="D298" s="9" t="n"/>
      <c r="E298" s="9" t="n"/>
      <c r="F298" s="10" t="n"/>
      <c r="G298" s="12">
        <f>IF($A298="",0,IF($I298="",0,$F298))</f>
        <v/>
      </c>
      <c r="H298" s="12">
        <f>IF($A298="","",$F298-$G298)</f>
        <v/>
      </c>
      <c r="I298" s="9" t="n"/>
      <c r="J298" s="9" t="n"/>
    </row>
    <row r="299">
      <c r="A299" s="9" t="n"/>
      <c r="B299" s="19" t="n"/>
      <c r="C299" s="9" t="n"/>
      <c r="D299" s="9" t="n"/>
      <c r="E299" s="9" t="n"/>
      <c r="F299" s="10" t="n"/>
      <c r="G299" s="12">
        <f>IF($A299="",0,IF($I299="",0,$F299))</f>
        <v/>
      </c>
      <c r="H299" s="12">
        <f>IF($A299="","",$F299-$G299)</f>
        <v/>
      </c>
      <c r="I299" s="9" t="n"/>
      <c r="J299" s="9" t="n"/>
    </row>
    <row r="300">
      <c r="A300" s="9" t="n"/>
      <c r="B300" s="19" t="n"/>
      <c r="C300" s="9" t="n"/>
      <c r="D300" s="9" t="n"/>
      <c r="E300" s="9" t="n"/>
      <c r="F300" s="10" t="n"/>
      <c r="G300" s="12">
        <f>IF($A300="",0,IF($I300="",0,$F300))</f>
        <v/>
      </c>
      <c r="H300" s="12">
        <f>IF($A300="","",$F300-$G300)</f>
        <v/>
      </c>
      <c r="I300" s="9" t="n"/>
      <c r="J300" s="9" t="n"/>
    </row>
    <row r="301">
      <c r="A301" s="9" t="n"/>
      <c r="B301" s="19" t="n"/>
      <c r="C301" s="9" t="n"/>
      <c r="D301" s="9" t="n"/>
      <c r="E301" s="9" t="n"/>
      <c r="F301" s="10" t="n"/>
      <c r="G301" s="12">
        <f>IF($A301="",0,IF($I301="",0,$F301))</f>
        <v/>
      </c>
      <c r="H301" s="12">
        <f>IF($A301="","",$F301-$G301)</f>
        <v/>
      </c>
      <c r="I301" s="9" t="n"/>
      <c r="J301" s="9" t="n"/>
    </row>
    <row r="302">
      <c r="A302" s="9" t="n"/>
      <c r="B302" s="19" t="n"/>
      <c r="C302" s="9" t="n"/>
      <c r="D302" s="9" t="n"/>
      <c r="E302" s="9" t="n"/>
      <c r="F302" s="10" t="n"/>
      <c r="G302" s="12">
        <f>IF($A302="",0,IF($I302="",0,$F302))</f>
        <v/>
      </c>
      <c r="H302" s="12">
        <f>IF($A302="","",$F302-$G302)</f>
        <v/>
      </c>
      <c r="I302" s="9" t="n"/>
      <c r="J302" s="9" t="n"/>
    </row>
    <row r="303">
      <c r="A303" s="9" t="n"/>
      <c r="B303" s="19" t="n"/>
      <c r="C303" s="9" t="n"/>
      <c r="D303" s="9" t="n"/>
      <c r="E303" s="9" t="n"/>
      <c r="F303" s="10" t="n"/>
      <c r="G303" s="12">
        <f>IF($A303="",0,IF($I303="",0,$F303))</f>
        <v/>
      </c>
      <c r="H303" s="12">
        <f>IF($A303="","",$F303-$G303)</f>
        <v/>
      </c>
      <c r="I303" s="9" t="n"/>
      <c r="J303" s="9" t="n"/>
    </row>
    <row r="304">
      <c r="A304" s="9" t="n"/>
      <c r="B304" s="19" t="n"/>
      <c r="C304" s="9" t="n"/>
      <c r="D304" s="9" t="n"/>
      <c r="E304" s="9" t="n"/>
      <c r="F304" s="10" t="n"/>
      <c r="G304" s="12">
        <f>IF($A304="",0,IF($I304="",0,$F304))</f>
        <v/>
      </c>
      <c r="H304" s="12">
        <f>IF($A304="","",$F304-$G304)</f>
        <v/>
      </c>
      <c r="I304" s="9" t="n"/>
      <c r="J304" s="9" t="n"/>
    </row>
    <row r="305">
      <c r="A305" s="9" t="n"/>
      <c r="B305" s="19" t="n"/>
      <c r="C305" s="9" t="n"/>
      <c r="D305" s="9" t="n"/>
      <c r="E305" s="9" t="n"/>
      <c r="F305" s="10" t="n"/>
      <c r="G305" s="12">
        <f>IF($A305="",0,IF($I305="",0,$F305))</f>
        <v/>
      </c>
      <c r="H305" s="12">
        <f>IF($A305="","",$F305-$G305)</f>
        <v/>
      </c>
      <c r="I305" s="9" t="n"/>
      <c r="J305" s="9" t="n"/>
    </row>
    <row r="306">
      <c r="A306" s="9" t="n"/>
      <c r="B306" s="19" t="n"/>
      <c r="C306" s="9" t="n"/>
      <c r="D306" s="9" t="n"/>
      <c r="E306" s="9" t="n"/>
      <c r="F306" s="10" t="n"/>
      <c r="G306" s="12">
        <f>IF($A306="",0,IF($I306="",0,$F306))</f>
        <v/>
      </c>
      <c r="H306" s="12">
        <f>IF($A306="","",$F306-$G306)</f>
        <v/>
      </c>
      <c r="I306" s="9" t="n"/>
      <c r="J306" s="9" t="n"/>
    </row>
    <row r="307">
      <c r="A307" s="9" t="n"/>
      <c r="B307" s="19" t="n"/>
      <c r="C307" s="9" t="n"/>
      <c r="D307" s="9" t="n"/>
      <c r="E307" s="9" t="n"/>
      <c r="F307" s="10" t="n"/>
      <c r="G307" s="12">
        <f>IF($A307="",0,IF($I307="",0,$F307))</f>
        <v/>
      </c>
      <c r="H307" s="12">
        <f>IF($A307="","",$F307-$G307)</f>
        <v/>
      </c>
      <c r="I307" s="9" t="n"/>
      <c r="J307" s="9" t="n"/>
    </row>
    <row r="308">
      <c r="A308" s="9" t="n"/>
      <c r="B308" s="19" t="n"/>
      <c r="C308" s="9" t="n"/>
      <c r="D308" s="9" t="n"/>
      <c r="E308" s="9" t="n"/>
      <c r="F308" s="10" t="n"/>
      <c r="G308" s="12">
        <f>IF($A308="",0,IF($I308="",0,$F308))</f>
        <v/>
      </c>
      <c r="H308" s="12">
        <f>IF($A308="","",$F308-$G308)</f>
        <v/>
      </c>
      <c r="I308" s="9" t="n"/>
      <c r="J308" s="9" t="n"/>
    </row>
    <row r="309">
      <c r="A309" s="9" t="n"/>
      <c r="B309" s="19" t="n"/>
      <c r="C309" s="9" t="n"/>
      <c r="D309" s="9" t="n"/>
      <c r="E309" s="9" t="n"/>
      <c r="F309" s="10" t="n"/>
      <c r="G309" s="12">
        <f>IF($A309="",0,IF($I309="",0,$F309))</f>
        <v/>
      </c>
      <c r="H309" s="12">
        <f>IF($A309="","",$F309-$G309)</f>
        <v/>
      </c>
      <c r="I309" s="9" t="n"/>
      <c r="J309" s="9" t="n"/>
    </row>
    <row r="310">
      <c r="A310" s="9" t="n"/>
      <c r="B310" s="19" t="n"/>
      <c r="C310" s="9" t="n"/>
      <c r="D310" s="9" t="n"/>
      <c r="E310" s="9" t="n"/>
      <c r="F310" s="10" t="n"/>
      <c r="G310" s="12">
        <f>IF($A310="",0,IF($I310="",0,$F310))</f>
        <v/>
      </c>
      <c r="H310" s="12">
        <f>IF($A310="","",$F310-$G310)</f>
        <v/>
      </c>
      <c r="I310" s="9" t="n"/>
      <c r="J310" s="9" t="n"/>
    </row>
    <row r="311">
      <c r="A311" s="9" t="n"/>
      <c r="B311" s="19" t="n"/>
      <c r="C311" s="9" t="n"/>
      <c r="D311" s="9" t="n"/>
      <c r="E311" s="9" t="n"/>
      <c r="F311" s="10" t="n"/>
      <c r="G311" s="12">
        <f>IF($A311="",0,IF($I311="",0,$F311))</f>
        <v/>
      </c>
      <c r="H311" s="12">
        <f>IF($A311="","",$F311-$G311)</f>
        <v/>
      </c>
      <c r="I311" s="9" t="n"/>
      <c r="J311" s="9" t="n"/>
    </row>
    <row r="312">
      <c r="A312" s="9" t="n"/>
      <c r="B312" s="19" t="n"/>
      <c r="C312" s="9" t="n"/>
      <c r="D312" s="9" t="n"/>
      <c r="E312" s="9" t="n"/>
      <c r="F312" s="10" t="n"/>
      <c r="G312" s="12">
        <f>IF($A312="",0,IF($I312="",0,$F312))</f>
        <v/>
      </c>
      <c r="H312" s="12">
        <f>IF($A312="","",$F312-$G312)</f>
        <v/>
      </c>
      <c r="I312" s="9" t="n"/>
      <c r="J312" s="9" t="n"/>
    </row>
    <row r="313">
      <c r="A313" s="9" t="n"/>
      <c r="B313" s="19" t="n"/>
      <c r="C313" s="9" t="n"/>
      <c r="D313" s="9" t="n"/>
      <c r="E313" s="9" t="n"/>
      <c r="F313" s="10" t="n"/>
      <c r="G313" s="12">
        <f>IF($A313="",0,IF($I313="",0,$F313))</f>
        <v/>
      </c>
      <c r="H313" s="12">
        <f>IF($A313="","",$F313-$G313)</f>
        <v/>
      </c>
      <c r="I313" s="9" t="n"/>
      <c r="J313" s="9" t="n"/>
    </row>
    <row r="314">
      <c r="A314" s="9" t="n"/>
      <c r="B314" s="19" t="n"/>
      <c r="C314" s="9" t="n"/>
      <c r="D314" s="9" t="n"/>
      <c r="E314" s="9" t="n"/>
      <c r="F314" s="10" t="n"/>
      <c r="G314" s="12">
        <f>IF($A314="",0,IF($I314="",0,$F314))</f>
        <v/>
      </c>
      <c r="H314" s="12">
        <f>IF($A314="","",$F314-$G314)</f>
        <v/>
      </c>
      <c r="I314" s="9" t="n"/>
      <c r="J314" s="9" t="n"/>
    </row>
    <row r="315">
      <c r="A315" s="9" t="n"/>
      <c r="B315" s="19" t="n"/>
      <c r="C315" s="9" t="n"/>
      <c r="D315" s="9" t="n"/>
      <c r="E315" s="9" t="n"/>
      <c r="F315" s="10" t="n"/>
      <c r="G315" s="12">
        <f>IF($A315="",0,IF($I315="",0,$F315))</f>
        <v/>
      </c>
      <c r="H315" s="12">
        <f>IF($A315="","",$F315-$G315)</f>
        <v/>
      </c>
      <c r="I315" s="9" t="n"/>
      <c r="J315" s="9" t="n"/>
    </row>
    <row r="316">
      <c r="A316" s="9" t="n"/>
      <c r="B316" s="19" t="n"/>
      <c r="C316" s="9" t="n"/>
      <c r="D316" s="9" t="n"/>
      <c r="E316" s="9" t="n"/>
      <c r="F316" s="10" t="n"/>
      <c r="G316" s="12">
        <f>IF($A316="",0,IF($I316="",0,$F316))</f>
        <v/>
      </c>
      <c r="H316" s="12">
        <f>IF($A316="","",$F316-$G316)</f>
        <v/>
      </c>
      <c r="I316" s="9" t="n"/>
      <c r="J316" s="9" t="n"/>
    </row>
    <row r="317">
      <c r="A317" s="9" t="n"/>
      <c r="B317" s="19" t="n"/>
      <c r="C317" s="9" t="n"/>
      <c r="D317" s="9" t="n"/>
      <c r="E317" s="9" t="n"/>
      <c r="F317" s="10" t="n"/>
      <c r="G317" s="12">
        <f>IF($A317="",0,IF($I317="",0,$F317))</f>
        <v/>
      </c>
      <c r="H317" s="12">
        <f>IF($A317="","",$F317-$G317)</f>
        <v/>
      </c>
      <c r="I317" s="9" t="n"/>
      <c r="J317" s="9" t="n"/>
    </row>
    <row r="318">
      <c r="A318" s="9" t="n"/>
      <c r="B318" s="19" t="n"/>
      <c r="C318" s="9" t="n"/>
      <c r="D318" s="9" t="n"/>
      <c r="E318" s="9" t="n"/>
      <c r="F318" s="10" t="n"/>
      <c r="G318" s="12">
        <f>IF($A318="",0,IF($I318="",0,$F318))</f>
        <v/>
      </c>
      <c r="H318" s="12">
        <f>IF($A318="","",$F318-$G318)</f>
        <v/>
      </c>
      <c r="I318" s="9" t="n"/>
      <c r="J318" s="9" t="n"/>
    </row>
    <row r="319">
      <c r="A319" s="9" t="n"/>
      <c r="B319" s="19" t="n"/>
      <c r="C319" s="9" t="n"/>
      <c r="D319" s="9" t="n"/>
      <c r="E319" s="9" t="n"/>
      <c r="F319" s="10" t="n"/>
      <c r="G319" s="12">
        <f>IF($A319="",0,IF($I319="",0,$F319))</f>
        <v/>
      </c>
      <c r="H319" s="12">
        <f>IF($A319="","",$F319-$G319)</f>
        <v/>
      </c>
      <c r="I319" s="9" t="n"/>
      <c r="J319" s="9" t="n"/>
    </row>
    <row r="320">
      <c r="A320" s="9" t="n"/>
      <c r="B320" s="19" t="n"/>
      <c r="C320" s="9" t="n"/>
      <c r="D320" s="9" t="n"/>
      <c r="E320" s="9" t="n"/>
      <c r="F320" s="10" t="n"/>
      <c r="G320" s="12">
        <f>IF($A320="",0,IF($I320="",0,$F320))</f>
        <v/>
      </c>
      <c r="H320" s="12">
        <f>IF($A320="","",$F320-$G320)</f>
        <v/>
      </c>
      <c r="I320" s="9" t="n"/>
      <c r="J320" s="9" t="n"/>
    </row>
    <row r="321">
      <c r="A321" s="9" t="n"/>
      <c r="B321" s="19" t="n"/>
      <c r="C321" s="9" t="n"/>
      <c r="D321" s="9" t="n"/>
      <c r="E321" s="9" t="n"/>
      <c r="F321" s="10" t="n"/>
      <c r="G321" s="12">
        <f>IF($A321="",0,IF($I321="",0,$F321))</f>
        <v/>
      </c>
      <c r="H321" s="12">
        <f>IF($A321="","",$F321-$G321)</f>
        <v/>
      </c>
      <c r="I321" s="9" t="n"/>
      <c r="J321" s="9" t="n"/>
    </row>
    <row r="322">
      <c r="A322" s="9" t="n"/>
      <c r="B322" s="19" t="n"/>
      <c r="C322" s="9" t="n"/>
      <c r="D322" s="9" t="n"/>
      <c r="E322" s="9" t="n"/>
      <c r="F322" s="10" t="n"/>
      <c r="G322" s="12">
        <f>IF($A322="",0,IF($I322="",0,$F322))</f>
        <v/>
      </c>
      <c r="H322" s="12">
        <f>IF($A322="","",$F322-$G322)</f>
        <v/>
      </c>
      <c r="I322" s="9" t="n"/>
      <c r="J322" s="9" t="n"/>
    </row>
    <row r="323">
      <c r="A323" s="9" t="n"/>
      <c r="B323" s="19" t="n"/>
      <c r="C323" s="9" t="n"/>
      <c r="D323" s="9" t="n"/>
      <c r="E323" s="9" t="n"/>
      <c r="F323" s="10" t="n"/>
      <c r="G323" s="12">
        <f>IF($A323="",0,IF($I323="",0,$F323))</f>
        <v/>
      </c>
      <c r="H323" s="12">
        <f>IF($A323="","",$F323-$G323)</f>
        <v/>
      </c>
      <c r="I323" s="9" t="n"/>
      <c r="J323" s="9" t="n"/>
    </row>
    <row r="324">
      <c r="A324" s="9" t="n"/>
      <c r="B324" s="19" t="n"/>
      <c r="C324" s="9" t="n"/>
      <c r="D324" s="9" t="n"/>
      <c r="E324" s="9" t="n"/>
      <c r="F324" s="10" t="n"/>
      <c r="G324" s="12">
        <f>IF($A324="",0,IF($I324="",0,$F324))</f>
        <v/>
      </c>
      <c r="H324" s="12">
        <f>IF($A324="","",$F324-$G324)</f>
        <v/>
      </c>
      <c r="I324" s="9" t="n"/>
      <c r="J324" s="9" t="n"/>
    </row>
    <row r="325">
      <c r="A325" s="9" t="n"/>
      <c r="B325" s="19" t="n"/>
      <c r="C325" s="9" t="n"/>
      <c r="D325" s="9" t="n"/>
      <c r="E325" s="9" t="n"/>
      <c r="F325" s="10" t="n"/>
      <c r="G325" s="12">
        <f>IF($A325="",0,IF($I325="",0,$F325))</f>
        <v/>
      </c>
      <c r="H325" s="12">
        <f>IF($A325="","",$F325-$G325)</f>
        <v/>
      </c>
      <c r="I325" s="9" t="n"/>
      <c r="J325" s="9" t="n"/>
    </row>
    <row r="326">
      <c r="A326" s="9" t="n"/>
      <c r="B326" s="19" t="n"/>
      <c r="C326" s="9" t="n"/>
      <c r="D326" s="9" t="n"/>
      <c r="E326" s="9" t="n"/>
      <c r="F326" s="10" t="n"/>
      <c r="G326" s="12">
        <f>IF($A326="",0,IF($I326="",0,$F326))</f>
        <v/>
      </c>
      <c r="H326" s="12">
        <f>IF($A326="","",$F326-$G326)</f>
        <v/>
      </c>
      <c r="I326" s="9" t="n"/>
      <c r="J326" s="9" t="n"/>
    </row>
    <row r="327">
      <c r="A327" s="9" t="n"/>
      <c r="B327" s="19" t="n"/>
      <c r="C327" s="9" t="n"/>
      <c r="D327" s="9" t="n"/>
      <c r="E327" s="9" t="n"/>
      <c r="F327" s="10" t="n"/>
      <c r="G327" s="12">
        <f>IF($A327="",0,IF($I327="",0,$F327))</f>
        <v/>
      </c>
      <c r="H327" s="12">
        <f>IF($A327="","",$F327-$G327)</f>
        <v/>
      </c>
      <c r="I327" s="9" t="n"/>
      <c r="J327" s="9" t="n"/>
    </row>
    <row r="328">
      <c r="A328" s="9" t="n"/>
      <c r="B328" s="19" t="n"/>
      <c r="C328" s="9" t="n"/>
      <c r="D328" s="9" t="n"/>
      <c r="E328" s="9" t="n"/>
      <c r="F328" s="10" t="n"/>
      <c r="G328" s="12">
        <f>IF($A328="",0,IF($I328="",0,$F328))</f>
        <v/>
      </c>
      <c r="H328" s="12">
        <f>IF($A328="","",$F328-$G328)</f>
        <v/>
      </c>
      <c r="I328" s="9" t="n"/>
      <c r="J328" s="9" t="n"/>
    </row>
    <row r="329">
      <c r="A329" s="9" t="n"/>
      <c r="B329" s="19" t="n"/>
      <c r="C329" s="9" t="n"/>
      <c r="D329" s="9" t="n"/>
      <c r="E329" s="9" t="n"/>
      <c r="F329" s="10" t="n"/>
      <c r="G329" s="12">
        <f>IF($A329="",0,IF($I329="",0,$F329))</f>
        <v/>
      </c>
      <c r="H329" s="12">
        <f>IF($A329="","",$F329-$G329)</f>
        <v/>
      </c>
      <c r="I329" s="9" t="n"/>
      <c r="J329" s="9" t="n"/>
    </row>
    <row r="330">
      <c r="A330" s="9" t="n"/>
      <c r="B330" s="19" t="n"/>
      <c r="C330" s="9" t="n"/>
      <c r="D330" s="9" t="n"/>
      <c r="E330" s="9" t="n"/>
      <c r="F330" s="10" t="n"/>
      <c r="G330" s="12">
        <f>IF($A330="",0,IF($I330="",0,$F330))</f>
        <v/>
      </c>
      <c r="H330" s="12">
        <f>IF($A330="","",$F330-$G330)</f>
        <v/>
      </c>
      <c r="I330" s="9" t="n"/>
      <c r="J330" s="9" t="n"/>
    </row>
    <row r="331">
      <c r="A331" s="9" t="n"/>
      <c r="B331" s="19" t="n"/>
      <c r="C331" s="9" t="n"/>
      <c r="D331" s="9" t="n"/>
      <c r="E331" s="9" t="n"/>
      <c r="F331" s="10" t="n"/>
      <c r="G331" s="12">
        <f>IF($A331="",0,IF($I331="",0,$F331))</f>
        <v/>
      </c>
      <c r="H331" s="12">
        <f>IF($A331="","",$F331-$G331)</f>
        <v/>
      </c>
      <c r="I331" s="9" t="n"/>
      <c r="J331" s="9" t="n"/>
    </row>
    <row r="332">
      <c r="A332" s="9" t="n"/>
      <c r="B332" s="19" t="n"/>
      <c r="C332" s="9" t="n"/>
      <c r="D332" s="9" t="n"/>
      <c r="E332" s="9" t="n"/>
      <c r="F332" s="10" t="n"/>
      <c r="G332" s="12">
        <f>IF($A332="",0,IF($I332="",0,$F332))</f>
        <v/>
      </c>
      <c r="H332" s="12">
        <f>IF($A332="","",$F332-$G332)</f>
        <v/>
      </c>
      <c r="I332" s="9" t="n"/>
      <c r="J332" s="9" t="n"/>
    </row>
    <row r="333">
      <c r="A333" s="9" t="n"/>
      <c r="B333" s="19" t="n"/>
      <c r="C333" s="9" t="n"/>
      <c r="D333" s="9" t="n"/>
      <c r="E333" s="9" t="n"/>
      <c r="F333" s="10" t="n"/>
      <c r="G333" s="12">
        <f>IF($A333="",0,IF($I333="",0,$F333))</f>
        <v/>
      </c>
      <c r="H333" s="12">
        <f>IF($A333="","",$F333-$G333)</f>
        <v/>
      </c>
      <c r="I333" s="9" t="n"/>
      <c r="J333" s="9" t="n"/>
    </row>
    <row r="334">
      <c r="A334" s="9" t="n"/>
      <c r="B334" s="19" t="n"/>
      <c r="C334" s="9" t="n"/>
      <c r="D334" s="9" t="n"/>
      <c r="E334" s="9" t="n"/>
      <c r="F334" s="10" t="n"/>
      <c r="G334" s="12">
        <f>IF($A334="",0,IF($I334="",0,$F334))</f>
        <v/>
      </c>
      <c r="H334" s="12">
        <f>IF($A334="","",$F334-$G334)</f>
        <v/>
      </c>
      <c r="I334" s="9" t="n"/>
      <c r="J334" s="9" t="n"/>
    </row>
    <row r="335">
      <c r="A335" s="9" t="n"/>
      <c r="B335" s="19" t="n"/>
      <c r="C335" s="9" t="n"/>
      <c r="D335" s="9" t="n"/>
      <c r="E335" s="9" t="n"/>
      <c r="F335" s="10" t="n"/>
      <c r="G335" s="12">
        <f>IF($A335="",0,IF($I335="",0,$F335))</f>
        <v/>
      </c>
      <c r="H335" s="12">
        <f>IF($A335="","",$F335-$G335)</f>
        <v/>
      </c>
      <c r="I335" s="9" t="n"/>
      <c r="J335" s="9" t="n"/>
    </row>
    <row r="336">
      <c r="A336" s="9" t="n"/>
      <c r="B336" s="19" t="n"/>
      <c r="C336" s="9" t="n"/>
      <c r="D336" s="9" t="n"/>
      <c r="E336" s="9" t="n"/>
      <c r="F336" s="10" t="n"/>
      <c r="G336" s="12">
        <f>IF($A336="",0,IF($I336="",0,$F336))</f>
        <v/>
      </c>
      <c r="H336" s="12">
        <f>IF($A336="","",$F336-$G336)</f>
        <v/>
      </c>
      <c r="I336" s="9" t="n"/>
      <c r="J336" s="9" t="n"/>
    </row>
    <row r="337">
      <c r="A337" s="9" t="n"/>
      <c r="B337" s="19" t="n"/>
      <c r="C337" s="9" t="n"/>
      <c r="D337" s="9" t="n"/>
      <c r="E337" s="9" t="n"/>
      <c r="F337" s="10" t="n"/>
      <c r="G337" s="12">
        <f>IF($A337="",0,IF($I337="",0,$F337))</f>
        <v/>
      </c>
      <c r="H337" s="12">
        <f>IF($A337="","",$F337-$G337)</f>
        <v/>
      </c>
      <c r="I337" s="9" t="n"/>
      <c r="J337" s="9" t="n"/>
    </row>
    <row r="338">
      <c r="A338" s="9" t="n"/>
      <c r="B338" s="19" t="n"/>
      <c r="C338" s="9" t="n"/>
      <c r="D338" s="9" t="n"/>
      <c r="E338" s="9" t="n"/>
      <c r="F338" s="10" t="n"/>
      <c r="G338" s="12">
        <f>IF($A338="",0,IF($I338="",0,$F338))</f>
        <v/>
      </c>
      <c r="H338" s="12">
        <f>IF($A338="","",$F338-$G338)</f>
        <v/>
      </c>
      <c r="I338" s="9" t="n"/>
      <c r="J338" s="9" t="n"/>
    </row>
    <row r="339">
      <c r="A339" s="9" t="n"/>
      <c r="B339" s="19" t="n"/>
      <c r="C339" s="9" t="n"/>
      <c r="D339" s="9" t="n"/>
      <c r="E339" s="9" t="n"/>
      <c r="F339" s="10" t="n"/>
      <c r="G339" s="12">
        <f>IF($A339="",0,IF($I339="",0,$F339))</f>
        <v/>
      </c>
      <c r="H339" s="12">
        <f>IF($A339="","",$F339-$G339)</f>
        <v/>
      </c>
      <c r="I339" s="9" t="n"/>
      <c r="J339" s="9" t="n"/>
    </row>
    <row r="340">
      <c r="A340" s="9" t="n"/>
      <c r="B340" s="19" t="n"/>
      <c r="C340" s="9" t="n"/>
      <c r="D340" s="9" t="n"/>
      <c r="E340" s="9" t="n"/>
      <c r="F340" s="10" t="n"/>
      <c r="G340" s="12">
        <f>IF($A340="",0,IF($I340="",0,$F340))</f>
        <v/>
      </c>
      <c r="H340" s="12">
        <f>IF($A340="","",$F340-$G340)</f>
        <v/>
      </c>
      <c r="I340" s="9" t="n"/>
      <c r="J340" s="9" t="n"/>
    </row>
    <row r="341">
      <c r="A341" s="9" t="n"/>
      <c r="B341" s="19" t="n"/>
      <c r="C341" s="9" t="n"/>
      <c r="D341" s="9" t="n"/>
      <c r="E341" s="9" t="n"/>
      <c r="F341" s="10" t="n"/>
      <c r="G341" s="12">
        <f>IF($A341="",0,IF($I341="",0,$F341))</f>
        <v/>
      </c>
      <c r="H341" s="12">
        <f>IF($A341="","",$F341-$G341)</f>
        <v/>
      </c>
      <c r="I341" s="9" t="n"/>
      <c r="J341" s="9" t="n"/>
    </row>
    <row r="342">
      <c r="A342" s="9" t="n"/>
      <c r="B342" s="19" t="n"/>
      <c r="C342" s="9" t="n"/>
      <c r="D342" s="9" t="n"/>
      <c r="E342" s="9" t="n"/>
      <c r="F342" s="10" t="n"/>
      <c r="G342" s="12">
        <f>IF($A342="",0,IF($I342="",0,$F342))</f>
        <v/>
      </c>
      <c r="H342" s="12">
        <f>IF($A342="","",$F342-$G342)</f>
        <v/>
      </c>
      <c r="I342" s="9" t="n"/>
      <c r="J342" s="9" t="n"/>
    </row>
    <row r="343">
      <c r="A343" s="9" t="n"/>
      <c r="B343" s="19" t="n"/>
      <c r="C343" s="9" t="n"/>
      <c r="D343" s="9" t="n"/>
      <c r="E343" s="9" t="n"/>
      <c r="F343" s="10" t="n"/>
      <c r="G343" s="12">
        <f>IF($A343="",0,IF($I343="",0,$F343))</f>
        <v/>
      </c>
      <c r="H343" s="12">
        <f>IF($A343="","",$F343-$G343)</f>
        <v/>
      </c>
      <c r="I343" s="9" t="n"/>
      <c r="J343" s="9" t="n"/>
    </row>
    <row r="344">
      <c r="A344" s="9" t="n"/>
      <c r="B344" s="19" t="n"/>
      <c r="C344" s="9" t="n"/>
      <c r="D344" s="9" t="n"/>
      <c r="E344" s="9" t="n"/>
      <c r="F344" s="10" t="n"/>
      <c r="G344" s="12">
        <f>IF($A344="",0,IF($I344="",0,$F344))</f>
        <v/>
      </c>
      <c r="H344" s="12">
        <f>IF($A344="","",$F344-$G344)</f>
        <v/>
      </c>
      <c r="I344" s="9" t="n"/>
      <c r="J344" s="9" t="n"/>
    </row>
    <row r="345">
      <c r="A345" s="9" t="n"/>
      <c r="B345" s="19" t="n"/>
      <c r="C345" s="9" t="n"/>
      <c r="D345" s="9" t="n"/>
      <c r="E345" s="9" t="n"/>
      <c r="F345" s="10" t="n"/>
      <c r="G345" s="12">
        <f>IF($A345="",0,IF($I345="",0,$F345))</f>
        <v/>
      </c>
      <c r="H345" s="12">
        <f>IF($A345="","",$F345-$G345)</f>
        <v/>
      </c>
      <c r="I345" s="9" t="n"/>
      <c r="J345" s="9" t="n"/>
    </row>
    <row r="346">
      <c r="A346" s="9" t="n"/>
      <c r="B346" s="19" t="n"/>
      <c r="C346" s="9" t="n"/>
      <c r="D346" s="9" t="n"/>
      <c r="E346" s="9" t="n"/>
      <c r="F346" s="10" t="n"/>
      <c r="G346" s="12">
        <f>IF($A346="",0,IF($I346="",0,$F346))</f>
        <v/>
      </c>
      <c r="H346" s="12">
        <f>IF($A346="","",$F346-$G346)</f>
        <v/>
      </c>
      <c r="I346" s="9" t="n"/>
      <c r="J346" s="9" t="n"/>
    </row>
    <row r="347">
      <c r="A347" s="9" t="n"/>
      <c r="B347" s="19" t="n"/>
      <c r="C347" s="9" t="n"/>
      <c r="D347" s="9" t="n"/>
      <c r="E347" s="9" t="n"/>
      <c r="F347" s="10" t="n"/>
      <c r="G347" s="12">
        <f>IF($A347="",0,IF($I347="",0,$F347))</f>
        <v/>
      </c>
      <c r="H347" s="12">
        <f>IF($A347="","",$F347-$G347)</f>
        <v/>
      </c>
      <c r="I347" s="9" t="n"/>
      <c r="J347" s="9" t="n"/>
    </row>
    <row r="348">
      <c r="A348" s="9" t="n"/>
      <c r="B348" s="19" t="n"/>
      <c r="C348" s="9" t="n"/>
      <c r="D348" s="9" t="n"/>
      <c r="E348" s="9" t="n"/>
      <c r="F348" s="10" t="n"/>
      <c r="G348" s="12">
        <f>IF($A348="",0,IF($I348="",0,$F348))</f>
        <v/>
      </c>
      <c r="H348" s="12">
        <f>IF($A348="","",$F348-$G348)</f>
        <v/>
      </c>
      <c r="I348" s="9" t="n"/>
      <c r="J348" s="9" t="n"/>
    </row>
    <row r="349">
      <c r="A349" s="9" t="n"/>
      <c r="B349" s="19" t="n"/>
      <c r="C349" s="9" t="n"/>
      <c r="D349" s="9" t="n"/>
      <c r="E349" s="9" t="n"/>
      <c r="F349" s="10" t="n"/>
      <c r="G349" s="12">
        <f>IF($A349="",0,IF($I349="",0,$F349))</f>
        <v/>
      </c>
      <c r="H349" s="12">
        <f>IF($A349="","",$F349-$G349)</f>
        <v/>
      </c>
      <c r="I349" s="9" t="n"/>
      <c r="J349" s="9" t="n"/>
    </row>
    <row r="350">
      <c r="A350" s="9" t="n"/>
      <c r="B350" s="19" t="n"/>
      <c r="C350" s="9" t="n"/>
      <c r="D350" s="9" t="n"/>
      <c r="E350" s="9" t="n"/>
      <c r="F350" s="10" t="n"/>
      <c r="G350" s="12">
        <f>IF($A350="",0,IF($I350="",0,$F350))</f>
        <v/>
      </c>
      <c r="H350" s="12">
        <f>IF($A350="","",$F350-$G350)</f>
        <v/>
      </c>
      <c r="I350" s="9" t="n"/>
      <c r="J350" s="9" t="n"/>
    </row>
    <row r="351">
      <c r="A351" s="9" t="n"/>
      <c r="B351" s="19" t="n"/>
      <c r="C351" s="9" t="n"/>
      <c r="D351" s="9" t="n"/>
      <c r="E351" s="9" t="n"/>
      <c r="F351" s="10" t="n"/>
      <c r="G351" s="12">
        <f>IF($A351="",0,IF($I351="",0,$F351))</f>
        <v/>
      </c>
      <c r="H351" s="12">
        <f>IF($A351="","",$F351-$G351)</f>
        <v/>
      </c>
      <c r="I351" s="9" t="n"/>
      <c r="J351" s="9" t="n"/>
    </row>
    <row r="352">
      <c r="A352" s="9" t="n"/>
      <c r="B352" s="19" t="n"/>
      <c r="C352" s="9" t="n"/>
      <c r="D352" s="9" t="n"/>
      <c r="E352" s="9" t="n"/>
      <c r="F352" s="10" t="n"/>
      <c r="G352" s="12">
        <f>IF($A352="",0,IF($I352="",0,$F352))</f>
        <v/>
      </c>
      <c r="H352" s="12">
        <f>IF($A352="","",$F352-$G352)</f>
        <v/>
      </c>
      <c r="I352" s="9" t="n"/>
      <c r="J352" s="9" t="n"/>
    </row>
    <row r="353">
      <c r="A353" s="9" t="n"/>
      <c r="B353" s="19" t="n"/>
      <c r="C353" s="9" t="n"/>
      <c r="D353" s="9" t="n"/>
      <c r="E353" s="9" t="n"/>
      <c r="F353" s="10" t="n"/>
      <c r="G353" s="12">
        <f>IF($A353="",0,IF($I353="",0,$F353))</f>
        <v/>
      </c>
      <c r="H353" s="12">
        <f>IF($A353="","",$F353-$G353)</f>
        <v/>
      </c>
      <c r="I353" s="9" t="n"/>
      <c r="J353" s="9" t="n"/>
    </row>
    <row r="354">
      <c r="A354" s="9" t="n"/>
      <c r="B354" s="19" t="n"/>
      <c r="C354" s="9" t="n"/>
      <c r="D354" s="9" t="n"/>
      <c r="E354" s="9" t="n"/>
      <c r="F354" s="10" t="n"/>
      <c r="G354" s="12">
        <f>IF($A354="",0,IF($I354="",0,$F354))</f>
        <v/>
      </c>
      <c r="H354" s="12">
        <f>IF($A354="","",$F354-$G354)</f>
        <v/>
      </c>
      <c r="I354" s="9" t="n"/>
      <c r="J354" s="9" t="n"/>
    </row>
    <row r="355">
      <c r="A355" s="9" t="n"/>
      <c r="B355" s="19" t="n"/>
      <c r="C355" s="9" t="n"/>
      <c r="D355" s="9" t="n"/>
      <c r="E355" s="9" t="n"/>
      <c r="F355" s="10" t="n"/>
      <c r="G355" s="12">
        <f>IF($A355="",0,IF($I355="",0,$F355))</f>
        <v/>
      </c>
      <c r="H355" s="12">
        <f>IF($A355="","",$F355-$G355)</f>
        <v/>
      </c>
      <c r="I355" s="9" t="n"/>
      <c r="J355" s="9" t="n"/>
    </row>
    <row r="356">
      <c r="A356" s="9" t="n"/>
      <c r="B356" s="19" t="n"/>
      <c r="C356" s="9" t="n"/>
      <c r="D356" s="9" t="n"/>
      <c r="E356" s="9" t="n"/>
      <c r="F356" s="10" t="n"/>
      <c r="G356" s="12">
        <f>IF($A356="",0,IF($I356="",0,$F356))</f>
        <v/>
      </c>
      <c r="H356" s="12">
        <f>IF($A356="","",$F356-$G356)</f>
        <v/>
      </c>
      <c r="I356" s="9" t="n"/>
      <c r="J356" s="9" t="n"/>
    </row>
    <row r="357">
      <c r="A357" s="9" t="n"/>
      <c r="B357" s="19" t="n"/>
      <c r="C357" s="9" t="n"/>
      <c r="D357" s="9" t="n"/>
      <c r="E357" s="9" t="n"/>
      <c r="F357" s="10" t="n"/>
      <c r="G357" s="12">
        <f>IF($A357="",0,IF($I357="",0,$F357))</f>
        <v/>
      </c>
      <c r="H357" s="12">
        <f>IF($A357="","",$F357-$G357)</f>
        <v/>
      </c>
      <c r="I357" s="9" t="n"/>
      <c r="J357" s="9" t="n"/>
    </row>
    <row r="358">
      <c r="A358" s="9" t="n"/>
      <c r="B358" s="19" t="n"/>
      <c r="C358" s="9" t="n"/>
      <c r="D358" s="9" t="n"/>
      <c r="E358" s="9" t="n"/>
      <c r="F358" s="10" t="n"/>
      <c r="G358" s="12">
        <f>IF($A358="",0,IF($I358="",0,$F358))</f>
        <v/>
      </c>
      <c r="H358" s="12">
        <f>IF($A358="","",$F358-$G358)</f>
        <v/>
      </c>
      <c r="I358" s="9" t="n"/>
      <c r="J358" s="9" t="n"/>
    </row>
    <row r="359">
      <c r="A359" s="9" t="n"/>
      <c r="B359" s="19" t="n"/>
      <c r="C359" s="9" t="n"/>
      <c r="D359" s="9" t="n"/>
      <c r="E359" s="9" t="n"/>
      <c r="F359" s="10" t="n"/>
      <c r="G359" s="12">
        <f>IF($A359="",0,IF($I359="",0,$F359))</f>
        <v/>
      </c>
      <c r="H359" s="12">
        <f>IF($A359="","",$F359-$G359)</f>
        <v/>
      </c>
      <c r="I359" s="9" t="n"/>
      <c r="J359" s="9" t="n"/>
    </row>
    <row r="360">
      <c r="A360" s="9" t="n"/>
      <c r="B360" s="19" t="n"/>
      <c r="C360" s="9" t="n"/>
      <c r="D360" s="9" t="n"/>
      <c r="E360" s="9" t="n"/>
      <c r="F360" s="10" t="n"/>
      <c r="G360" s="12">
        <f>IF($A360="",0,IF($I360="",0,$F360))</f>
        <v/>
      </c>
      <c r="H360" s="12">
        <f>IF($A360="","",$F360-$G360)</f>
        <v/>
      </c>
      <c r="I360" s="9" t="n"/>
      <c r="J360" s="9" t="n"/>
    </row>
    <row r="361">
      <c r="A361" s="9" t="n"/>
      <c r="B361" s="19" t="n"/>
      <c r="C361" s="9" t="n"/>
      <c r="D361" s="9" t="n"/>
      <c r="E361" s="9" t="n"/>
      <c r="F361" s="10" t="n"/>
      <c r="G361" s="12">
        <f>IF($A361="",0,IF($I361="",0,$F361))</f>
        <v/>
      </c>
      <c r="H361" s="12">
        <f>IF($A361="","",$F361-$G361)</f>
        <v/>
      </c>
      <c r="I361" s="9" t="n"/>
      <c r="J361" s="9" t="n"/>
    </row>
    <row r="362">
      <c r="A362" s="9" t="n"/>
      <c r="B362" s="19" t="n"/>
      <c r="C362" s="9" t="n"/>
      <c r="D362" s="9" t="n"/>
      <c r="E362" s="9" t="n"/>
      <c r="F362" s="10" t="n"/>
      <c r="G362" s="12">
        <f>IF($A362="",0,IF($I362="",0,$F362))</f>
        <v/>
      </c>
      <c r="H362" s="12">
        <f>IF($A362="","",$F362-$G362)</f>
        <v/>
      </c>
      <c r="I362" s="9" t="n"/>
      <c r="J362" s="9" t="n"/>
    </row>
    <row r="363">
      <c r="A363" s="9" t="n"/>
      <c r="B363" s="19" t="n"/>
      <c r="C363" s="9" t="n"/>
      <c r="D363" s="9" t="n"/>
      <c r="E363" s="9" t="n"/>
      <c r="F363" s="10" t="n"/>
      <c r="G363" s="12">
        <f>IF($A363="",0,IF($I363="",0,$F363))</f>
        <v/>
      </c>
      <c r="H363" s="12">
        <f>IF($A363="","",$F363-$G363)</f>
        <v/>
      </c>
      <c r="I363" s="9" t="n"/>
      <c r="J363" s="9" t="n"/>
    </row>
    <row r="364">
      <c r="A364" s="9" t="n"/>
      <c r="B364" s="19" t="n"/>
      <c r="C364" s="9" t="n"/>
      <c r="D364" s="9" t="n"/>
      <c r="E364" s="9" t="n"/>
      <c r="F364" s="10" t="n"/>
      <c r="G364" s="12">
        <f>IF($A364="",0,IF($I364="",0,$F364))</f>
        <v/>
      </c>
      <c r="H364" s="12">
        <f>IF($A364="","",$F364-$G364)</f>
        <v/>
      </c>
      <c r="I364" s="9" t="n"/>
      <c r="J364" s="9" t="n"/>
    </row>
    <row r="365">
      <c r="A365" s="9" t="n"/>
      <c r="B365" s="19" t="n"/>
      <c r="C365" s="9" t="n"/>
      <c r="D365" s="9" t="n"/>
      <c r="E365" s="9" t="n"/>
      <c r="F365" s="10" t="n"/>
      <c r="G365" s="12">
        <f>IF($A365="",0,IF($I365="",0,$F365))</f>
        <v/>
      </c>
      <c r="H365" s="12">
        <f>IF($A365="","",$F365-$G365)</f>
        <v/>
      </c>
      <c r="I365" s="9" t="n"/>
      <c r="J365" s="9" t="n"/>
    </row>
    <row r="366">
      <c r="A366" s="9" t="n"/>
      <c r="B366" s="19" t="n"/>
      <c r="C366" s="9" t="n"/>
      <c r="D366" s="9" t="n"/>
      <c r="E366" s="9" t="n"/>
      <c r="F366" s="10" t="n"/>
      <c r="G366" s="12">
        <f>IF($A366="",0,IF($I366="",0,$F366))</f>
        <v/>
      </c>
      <c r="H366" s="12">
        <f>IF($A366="","",$F366-$G366)</f>
        <v/>
      </c>
      <c r="I366" s="9" t="n"/>
      <c r="J366" s="9" t="n"/>
    </row>
    <row r="367">
      <c r="A367" s="9" t="n"/>
      <c r="B367" s="19" t="n"/>
      <c r="C367" s="9" t="n"/>
      <c r="D367" s="9" t="n"/>
      <c r="E367" s="9" t="n"/>
      <c r="F367" s="10" t="n"/>
      <c r="G367" s="12">
        <f>IF($A367="",0,IF($I367="",0,$F367))</f>
        <v/>
      </c>
      <c r="H367" s="12">
        <f>IF($A367="","",$F367-$G367)</f>
        <v/>
      </c>
      <c r="I367" s="9" t="n"/>
      <c r="J367" s="9" t="n"/>
    </row>
    <row r="368">
      <c r="A368" s="9" t="n"/>
      <c r="B368" s="19" t="n"/>
      <c r="C368" s="9" t="n"/>
      <c r="D368" s="9" t="n"/>
      <c r="E368" s="9" t="n"/>
      <c r="F368" s="10" t="n"/>
      <c r="G368" s="12">
        <f>IF($A368="",0,IF($I368="",0,$F368))</f>
        <v/>
      </c>
      <c r="H368" s="12">
        <f>IF($A368="","",$F368-$G368)</f>
        <v/>
      </c>
      <c r="I368" s="9" t="n"/>
      <c r="J368" s="9" t="n"/>
    </row>
    <row r="369">
      <c r="A369" s="9" t="n"/>
      <c r="B369" s="19" t="n"/>
      <c r="C369" s="9" t="n"/>
      <c r="D369" s="9" t="n"/>
      <c r="E369" s="9" t="n"/>
      <c r="F369" s="10" t="n"/>
      <c r="G369" s="12">
        <f>IF($A369="",0,IF($I369="",0,$F369))</f>
        <v/>
      </c>
      <c r="H369" s="12">
        <f>IF($A369="","",$F369-$G369)</f>
        <v/>
      </c>
      <c r="I369" s="9" t="n"/>
      <c r="J369" s="9" t="n"/>
    </row>
    <row r="370">
      <c r="A370" s="9" t="n"/>
      <c r="B370" s="19" t="n"/>
      <c r="C370" s="9" t="n"/>
      <c r="D370" s="9" t="n"/>
      <c r="E370" s="9" t="n"/>
      <c r="F370" s="10" t="n"/>
      <c r="G370" s="12">
        <f>IF($A370="",0,IF($I370="",0,$F370))</f>
        <v/>
      </c>
      <c r="H370" s="12">
        <f>IF($A370="","",$F370-$G370)</f>
        <v/>
      </c>
      <c r="I370" s="9" t="n"/>
      <c r="J370" s="9" t="n"/>
    </row>
    <row r="371">
      <c r="A371" s="9" t="n"/>
      <c r="B371" s="19" t="n"/>
      <c r="C371" s="9" t="n"/>
      <c r="D371" s="9" t="n"/>
      <c r="E371" s="9" t="n"/>
      <c r="F371" s="10" t="n"/>
      <c r="G371" s="12">
        <f>IF($A371="",0,IF($I371="",0,$F371))</f>
        <v/>
      </c>
      <c r="H371" s="12">
        <f>IF($A371="","",$F371-$G371)</f>
        <v/>
      </c>
      <c r="I371" s="9" t="n"/>
      <c r="J371" s="9" t="n"/>
    </row>
    <row r="372">
      <c r="A372" s="9" t="n"/>
      <c r="B372" s="19" t="n"/>
      <c r="C372" s="9" t="n"/>
      <c r="D372" s="9" t="n"/>
      <c r="E372" s="9" t="n"/>
      <c r="F372" s="10" t="n"/>
      <c r="G372" s="12">
        <f>IF($A372="",0,IF($I372="",0,$F372))</f>
        <v/>
      </c>
      <c r="H372" s="12">
        <f>IF($A372="","",$F372-$G372)</f>
        <v/>
      </c>
      <c r="I372" s="9" t="n"/>
      <c r="J372" s="9" t="n"/>
    </row>
    <row r="373">
      <c r="A373" s="9" t="n"/>
      <c r="B373" s="19" t="n"/>
      <c r="C373" s="9" t="n"/>
      <c r="D373" s="9" t="n"/>
      <c r="E373" s="9" t="n"/>
      <c r="F373" s="10" t="n"/>
      <c r="G373" s="12">
        <f>IF($A373="",0,IF($I373="",0,$F373))</f>
        <v/>
      </c>
      <c r="H373" s="12">
        <f>IF($A373="","",$F373-$G373)</f>
        <v/>
      </c>
      <c r="I373" s="9" t="n"/>
      <c r="J373" s="9" t="n"/>
    </row>
    <row r="374">
      <c r="A374" s="9" t="n"/>
      <c r="B374" s="19" t="n"/>
      <c r="C374" s="9" t="n"/>
      <c r="D374" s="9" t="n"/>
      <c r="E374" s="9" t="n"/>
      <c r="F374" s="10" t="n"/>
      <c r="G374" s="12">
        <f>IF($A374="",0,IF($I374="",0,$F374))</f>
        <v/>
      </c>
      <c r="H374" s="12">
        <f>IF($A374="","",$F374-$G374)</f>
        <v/>
      </c>
      <c r="I374" s="9" t="n"/>
      <c r="J374" s="9" t="n"/>
    </row>
    <row r="375">
      <c r="A375" s="9" t="n"/>
      <c r="B375" s="19" t="n"/>
      <c r="C375" s="9" t="n"/>
      <c r="D375" s="9" t="n"/>
      <c r="E375" s="9" t="n"/>
      <c r="F375" s="10" t="n"/>
      <c r="G375" s="12">
        <f>IF($A375="",0,IF($I375="",0,$F375))</f>
        <v/>
      </c>
      <c r="H375" s="12">
        <f>IF($A375="","",$F375-$G375)</f>
        <v/>
      </c>
      <c r="I375" s="9" t="n"/>
      <c r="J375" s="9" t="n"/>
    </row>
    <row r="376">
      <c r="A376" s="9" t="n"/>
      <c r="B376" s="19" t="n"/>
      <c r="C376" s="9" t="n"/>
      <c r="D376" s="9" t="n"/>
      <c r="E376" s="9" t="n"/>
      <c r="F376" s="10" t="n"/>
      <c r="G376" s="12">
        <f>IF($A376="",0,IF($I376="",0,$F376))</f>
        <v/>
      </c>
      <c r="H376" s="12">
        <f>IF($A376="","",$F376-$G376)</f>
        <v/>
      </c>
      <c r="I376" s="9" t="n"/>
      <c r="J376" s="9" t="n"/>
    </row>
    <row r="377">
      <c r="A377" s="9" t="n"/>
      <c r="B377" s="19" t="n"/>
      <c r="C377" s="9" t="n"/>
      <c r="D377" s="9" t="n"/>
      <c r="E377" s="9" t="n"/>
      <c r="F377" s="10" t="n"/>
      <c r="G377" s="12">
        <f>IF($A377="",0,IF($I377="",0,$F377))</f>
        <v/>
      </c>
      <c r="H377" s="12">
        <f>IF($A377="","",$F377-$G377)</f>
        <v/>
      </c>
      <c r="I377" s="9" t="n"/>
      <c r="J377" s="9" t="n"/>
    </row>
    <row r="378">
      <c r="A378" s="9" t="n"/>
      <c r="B378" s="19" t="n"/>
      <c r="C378" s="9" t="n"/>
      <c r="D378" s="9" t="n"/>
      <c r="E378" s="9" t="n"/>
      <c r="F378" s="10" t="n"/>
      <c r="G378" s="12">
        <f>IF($A378="",0,IF($I378="",0,$F378))</f>
        <v/>
      </c>
      <c r="H378" s="12">
        <f>IF($A378="","",$F378-$G378)</f>
        <v/>
      </c>
      <c r="I378" s="9" t="n"/>
      <c r="J378" s="9" t="n"/>
    </row>
    <row r="379">
      <c r="A379" s="9" t="n"/>
      <c r="B379" s="19" t="n"/>
      <c r="C379" s="9" t="n"/>
      <c r="D379" s="9" t="n"/>
      <c r="E379" s="9" t="n"/>
      <c r="F379" s="10" t="n"/>
      <c r="G379" s="12">
        <f>IF($A379="",0,IF($I379="",0,$F379))</f>
        <v/>
      </c>
      <c r="H379" s="12">
        <f>IF($A379="","",$F379-$G379)</f>
        <v/>
      </c>
      <c r="I379" s="9" t="n"/>
      <c r="J379" s="9" t="n"/>
    </row>
    <row r="380">
      <c r="A380" s="9" t="n"/>
      <c r="B380" s="19" t="n"/>
      <c r="C380" s="9" t="n"/>
      <c r="D380" s="9" t="n"/>
      <c r="E380" s="9" t="n"/>
      <c r="F380" s="10" t="n"/>
      <c r="G380" s="12">
        <f>IF($A380="",0,IF($I380="",0,$F380))</f>
        <v/>
      </c>
      <c r="H380" s="12">
        <f>IF($A380="","",$F380-$G380)</f>
        <v/>
      </c>
      <c r="I380" s="9" t="n"/>
      <c r="J380" s="9" t="n"/>
    </row>
    <row r="381">
      <c r="A381" s="9" t="n"/>
      <c r="B381" s="19" t="n"/>
      <c r="C381" s="9" t="n"/>
      <c r="D381" s="9" t="n"/>
      <c r="E381" s="9" t="n"/>
      <c r="F381" s="10" t="n"/>
      <c r="G381" s="12">
        <f>IF($A381="",0,IF($I381="",0,$F381))</f>
        <v/>
      </c>
      <c r="H381" s="12">
        <f>IF($A381="","",$F381-$G381)</f>
        <v/>
      </c>
      <c r="I381" s="9" t="n"/>
      <c r="J381" s="9" t="n"/>
    </row>
    <row r="382">
      <c r="A382" s="9" t="n"/>
      <c r="B382" s="19" t="n"/>
      <c r="C382" s="9" t="n"/>
      <c r="D382" s="9" t="n"/>
      <c r="E382" s="9" t="n"/>
      <c r="F382" s="10" t="n"/>
      <c r="G382" s="12">
        <f>IF($A382="",0,IF($I382="",0,$F382))</f>
        <v/>
      </c>
      <c r="H382" s="12">
        <f>IF($A382="","",$F382-$G382)</f>
        <v/>
      </c>
      <c r="I382" s="9" t="n"/>
      <c r="J382" s="9" t="n"/>
    </row>
    <row r="383">
      <c r="A383" s="9" t="n"/>
      <c r="B383" s="19" t="n"/>
      <c r="C383" s="9" t="n"/>
      <c r="D383" s="9" t="n"/>
      <c r="E383" s="9" t="n"/>
      <c r="F383" s="10" t="n"/>
      <c r="G383" s="12">
        <f>IF($A383="",0,IF($I383="",0,$F383))</f>
        <v/>
      </c>
      <c r="H383" s="12">
        <f>IF($A383="","",$F383-$G383)</f>
        <v/>
      </c>
      <c r="I383" s="9" t="n"/>
      <c r="J383" s="9" t="n"/>
    </row>
    <row r="384">
      <c r="A384" s="9" t="n"/>
      <c r="B384" s="19" t="n"/>
      <c r="C384" s="9" t="n"/>
      <c r="D384" s="9" t="n"/>
      <c r="E384" s="9" t="n"/>
      <c r="F384" s="10" t="n"/>
      <c r="G384" s="12">
        <f>IF($A384="",0,IF($I384="",0,$F384))</f>
        <v/>
      </c>
      <c r="H384" s="12">
        <f>IF($A384="","",$F384-$G384)</f>
        <v/>
      </c>
      <c r="I384" s="9" t="n"/>
      <c r="J384" s="9" t="n"/>
    </row>
    <row r="385">
      <c r="A385" s="9" t="n"/>
      <c r="B385" s="19" t="n"/>
      <c r="C385" s="9" t="n"/>
      <c r="D385" s="9" t="n"/>
      <c r="E385" s="9" t="n"/>
      <c r="F385" s="10" t="n"/>
      <c r="G385" s="12">
        <f>IF($A385="",0,IF($I385="",0,$F385))</f>
        <v/>
      </c>
      <c r="H385" s="12">
        <f>IF($A385="","",$F385-$G385)</f>
        <v/>
      </c>
      <c r="I385" s="9" t="n"/>
      <c r="J385" s="9" t="n"/>
    </row>
    <row r="386">
      <c r="A386" s="9" t="n"/>
      <c r="B386" s="19" t="n"/>
      <c r="C386" s="9" t="n"/>
      <c r="D386" s="9" t="n"/>
      <c r="E386" s="9" t="n"/>
      <c r="F386" s="10" t="n"/>
      <c r="G386" s="12">
        <f>IF($A386="",0,IF($I386="",0,$F386))</f>
        <v/>
      </c>
      <c r="H386" s="12">
        <f>IF($A386="","",$F386-$G386)</f>
        <v/>
      </c>
      <c r="I386" s="9" t="n"/>
      <c r="J386" s="9" t="n"/>
    </row>
    <row r="387">
      <c r="A387" s="9" t="n"/>
      <c r="B387" s="19" t="n"/>
      <c r="C387" s="9" t="n"/>
      <c r="D387" s="9" t="n"/>
      <c r="E387" s="9" t="n"/>
      <c r="F387" s="10" t="n"/>
      <c r="G387" s="12">
        <f>IF($A387="",0,IF($I387="",0,$F387))</f>
        <v/>
      </c>
      <c r="H387" s="12">
        <f>IF($A387="","",$F387-$G387)</f>
        <v/>
      </c>
      <c r="I387" s="9" t="n"/>
      <c r="J387" s="9" t="n"/>
    </row>
    <row r="388">
      <c r="A388" s="9" t="n"/>
      <c r="B388" s="19" t="n"/>
      <c r="C388" s="9" t="n"/>
      <c r="D388" s="9" t="n"/>
      <c r="E388" s="9" t="n"/>
      <c r="F388" s="10" t="n"/>
      <c r="G388" s="12">
        <f>IF($A388="",0,IF($I388="",0,$F388))</f>
        <v/>
      </c>
      <c r="H388" s="12">
        <f>IF($A388="","",$F388-$G388)</f>
        <v/>
      </c>
      <c r="I388" s="9" t="n"/>
      <c r="J388" s="9" t="n"/>
    </row>
    <row r="389">
      <c r="A389" s="9" t="n"/>
      <c r="B389" s="19" t="n"/>
      <c r="C389" s="9" t="n"/>
      <c r="D389" s="9" t="n"/>
      <c r="E389" s="9" t="n"/>
      <c r="F389" s="10" t="n"/>
      <c r="G389" s="12">
        <f>IF($A389="",0,IF($I389="",0,$F389))</f>
        <v/>
      </c>
      <c r="H389" s="12">
        <f>IF($A389="","",$F389-$G389)</f>
        <v/>
      </c>
      <c r="I389" s="9" t="n"/>
      <c r="J389" s="9" t="n"/>
    </row>
    <row r="390">
      <c r="A390" s="9" t="n"/>
      <c r="B390" s="19" t="n"/>
      <c r="C390" s="9" t="n"/>
      <c r="D390" s="9" t="n"/>
      <c r="E390" s="9" t="n"/>
      <c r="F390" s="10" t="n"/>
      <c r="G390" s="12">
        <f>IF($A390="",0,IF($I390="",0,$F390))</f>
        <v/>
      </c>
      <c r="H390" s="12">
        <f>IF($A390="","",$F390-$G390)</f>
        <v/>
      </c>
      <c r="I390" s="9" t="n"/>
      <c r="J390" s="9" t="n"/>
    </row>
    <row r="391">
      <c r="A391" s="9" t="n"/>
      <c r="B391" s="19" t="n"/>
      <c r="C391" s="9" t="n"/>
      <c r="D391" s="9" t="n"/>
      <c r="E391" s="9" t="n"/>
      <c r="F391" s="10" t="n"/>
      <c r="G391" s="12">
        <f>IF($A391="",0,IF($I391="",0,$F391))</f>
        <v/>
      </c>
      <c r="H391" s="12">
        <f>IF($A391="","",$F391-$G391)</f>
        <v/>
      </c>
      <c r="I391" s="9" t="n"/>
      <c r="J391" s="9" t="n"/>
    </row>
    <row r="392">
      <c r="A392" s="9" t="n"/>
      <c r="B392" s="19" t="n"/>
      <c r="C392" s="9" t="n"/>
      <c r="D392" s="9" t="n"/>
      <c r="E392" s="9" t="n"/>
      <c r="F392" s="10" t="n"/>
      <c r="G392" s="12">
        <f>IF($A392="",0,IF($I392="",0,$F392))</f>
        <v/>
      </c>
      <c r="H392" s="12">
        <f>IF($A392="","",$F392-$G392)</f>
        <v/>
      </c>
      <c r="I392" s="9" t="n"/>
      <c r="J392" s="9" t="n"/>
    </row>
    <row r="393">
      <c r="A393" s="9" t="n"/>
      <c r="B393" s="19" t="n"/>
      <c r="C393" s="9" t="n"/>
      <c r="D393" s="9" t="n"/>
      <c r="E393" s="9" t="n"/>
      <c r="F393" s="10" t="n"/>
      <c r="G393" s="12">
        <f>IF($A393="",0,IF($I393="",0,$F393))</f>
        <v/>
      </c>
      <c r="H393" s="12">
        <f>IF($A393="","",$F393-$G393)</f>
        <v/>
      </c>
      <c r="I393" s="9" t="n"/>
      <c r="J393" s="9" t="n"/>
    </row>
    <row r="394">
      <c r="A394" s="9" t="n"/>
      <c r="B394" s="19" t="n"/>
      <c r="C394" s="9" t="n"/>
      <c r="D394" s="9" t="n"/>
      <c r="E394" s="9" t="n"/>
      <c r="F394" s="10" t="n"/>
      <c r="G394" s="12">
        <f>IF($A394="",0,IF($I394="",0,$F394))</f>
        <v/>
      </c>
      <c r="H394" s="12">
        <f>IF($A394="","",$F394-$G394)</f>
        <v/>
      </c>
      <c r="I394" s="9" t="n"/>
      <c r="J394" s="9" t="n"/>
    </row>
    <row r="395">
      <c r="A395" s="9" t="n"/>
      <c r="B395" s="19" t="n"/>
      <c r="C395" s="9" t="n"/>
      <c r="D395" s="9" t="n"/>
      <c r="E395" s="9" t="n"/>
      <c r="F395" s="10" t="n"/>
      <c r="G395" s="12">
        <f>IF($A395="",0,IF($I395="",0,$F395))</f>
        <v/>
      </c>
      <c r="H395" s="12">
        <f>IF($A395="","",$F395-$G395)</f>
        <v/>
      </c>
      <c r="I395" s="9" t="n"/>
      <c r="J395" s="9" t="n"/>
    </row>
    <row r="396">
      <c r="A396" s="9" t="n"/>
      <c r="B396" s="19" t="n"/>
      <c r="C396" s="9" t="n"/>
      <c r="D396" s="9" t="n"/>
      <c r="E396" s="9" t="n"/>
      <c r="F396" s="10" t="n"/>
      <c r="G396" s="12">
        <f>IF($A396="",0,IF($I396="",0,$F396))</f>
        <v/>
      </c>
      <c r="H396" s="12">
        <f>IF($A396="","",$F396-$G396)</f>
        <v/>
      </c>
      <c r="I396" s="9" t="n"/>
      <c r="J396" s="9" t="n"/>
    </row>
    <row r="397">
      <c r="A397" s="9" t="n"/>
      <c r="B397" s="19" t="n"/>
      <c r="C397" s="9" t="n"/>
      <c r="D397" s="9" t="n"/>
      <c r="E397" s="9" t="n"/>
      <c r="F397" s="10" t="n"/>
      <c r="G397" s="12">
        <f>IF($A397="",0,IF($I397="",0,$F397))</f>
        <v/>
      </c>
      <c r="H397" s="12">
        <f>IF($A397="","",$F397-$G397)</f>
        <v/>
      </c>
      <c r="I397" s="9" t="n"/>
      <c r="J397" s="9" t="n"/>
    </row>
    <row r="398">
      <c r="A398" s="9" t="n"/>
      <c r="B398" s="19" t="n"/>
      <c r="C398" s="9" t="n"/>
      <c r="D398" s="9" t="n"/>
      <c r="E398" s="9" t="n"/>
      <c r="F398" s="10" t="n"/>
      <c r="G398" s="12">
        <f>IF($A398="",0,IF($I398="",0,$F398))</f>
        <v/>
      </c>
      <c r="H398" s="12">
        <f>IF($A398="","",$F398-$G398)</f>
        <v/>
      </c>
      <c r="I398" s="9" t="n"/>
      <c r="J398" s="9" t="n"/>
    </row>
    <row r="399">
      <c r="A399" s="9" t="n"/>
      <c r="B399" s="19" t="n"/>
      <c r="C399" s="9" t="n"/>
      <c r="D399" s="9" t="n"/>
      <c r="E399" s="9" t="n"/>
      <c r="F399" s="10" t="n"/>
      <c r="G399" s="12">
        <f>IF($A399="",0,IF($I399="",0,$F399))</f>
        <v/>
      </c>
      <c r="H399" s="12">
        <f>IF($A399="","",$F399-$G399)</f>
        <v/>
      </c>
      <c r="I399" s="9" t="n"/>
      <c r="J399" s="9" t="n"/>
    </row>
    <row r="400">
      <c r="A400" s="9" t="n"/>
      <c r="B400" s="19" t="n"/>
      <c r="C400" s="9" t="n"/>
      <c r="D400" s="9" t="n"/>
      <c r="E400" s="9" t="n"/>
      <c r="F400" s="10" t="n"/>
      <c r="G400" s="12">
        <f>IF($A400="",0,IF($I400="",0,$F400))</f>
        <v/>
      </c>
      <c r="H400" s="12">
        <f>IF($A400="","",$F400-$G400)</f>
        <v/>
      </c>
      <c r="I400" s="9" t="n"/>
      <c r="J400" s="9" t="n"/>
    </row>
    <row r="401">
      <c r="A401" s="9" t="n"/>
      <c r="B401" s="19" t="n"/>
      <c r="C401" s="9" t="n"/>
      <c r="D401" s="9" t="n"/>
      <c r="E401" s="9" t="n"/>
      <c r="F401" s="10" t="n"/>
      <c r="G401" s="12">
        <f>IF($A401="",0,IF($I401="",0,$F401))</f>
        <v/>
      </c>
      <c r="H401" s="12">
        <f>IF($A401="","",$F401-$G401)</f>
        <v/>
      </c>
      <c r="I401" s="9" t="n"/>
      <c r="J401" s="9" t="n"/>
    </row>
    <row r="402">
      <c r="A402" s="9" t="n"/>
      <c r="B402" s="19" t="n"/>
      <c r="C402" s="9" t="n"/>
      <c r="D402" s="9" t="n"/>
      <c r="E402" s="9" t="n"/>
      <c r="F402" s="10" t="n"/>
      <c r="G402" s="12">
        <f>IF($A402="",0,IF($I402="",0,$F402))</f>
        <v/>
      </c>
      <c r="H402" s="12">
        <f>IF($A402="","",$F402-$G402)</f>
        <v/>
      </c>
      <c r="I402" s="9" t="n"/>
      <c r="J402" s="9" t="n"/>
    </row>
    <row r="403">
      <c r="A403" s="9" t="n"/>
      <c r="B403" s="19" t="n"/>
      <c r="C403" s="9" t="n"/>
      <c r="D403" s="9" t="n"/>
      <c r="E403" s="9" t="n"/>
      <c r="F403" s="10" t="n"/>
      <c r="G403" s="12">
        <f>IF($A403="",0,IF($I403="",0,$F403))</f>
        <v/>
      </c>
      <c r="H403" s="12">
        <f>IF($A403="","",$F403-$G403)</f>
        <v/>
      </c>
      <c r="I403" s="9" t="n"/>
      <c r="J403" s="9" t="n"/>
    </row>
    <row r="404">
      <c r="A404" s="9" t="n"/>
      <c r="B404" s="19" t="n"/>
      <c r="C404" s="9" t="n"/>
      <c r="D404" s="9" t="n"/>
      <c r="E404" s="9" t="n"/>
      <c r="F404" s="10" t="n"/>
      <c r="G404" s="12">
        <f>IF($A404="",0,IF($I404="",0,$F404))</f>
        <v/>
      </c>
      <c r="H404" s="12">
        <f>IF($A404="","",$F404-$G404)</f>
        <v/>
      </c>
      <c r="I404" s="9" t="n"/>
      <c r="J404" s="9" t="n"/>
    </row>
    <row r="405">
      <c r="A405" s="9" t="n"/>
      <c r="B405" s="19" t="n"/>
      <c r="C405" s="9" t="n"/>
      <c r="D405" s="9" t="n"/>
      <c r="E405" s="9" t="n"/>
      <c r="F405" s="10" t="n"/>
      <c r="G405" s="12">
        <f>IF($A405="",0,IF($I405="",0,$F405))</f>
        <v/>
      </c>
      <c r="H405" s="12">
        <f>IF($A405="","",$F405-$G405)</f>
        <v/>
      </c>
      <c r="I405" s="9" t="n"/>
      <c r="J405" s="9" t="n"/>
    </row>
    <row r="406">
      <c r="A406" s="9" t="n"/>
      <c r="B406" s="19" t="n"/>
      <c r="C406" s="9" t="n"/>
      <c r="D406" s="9" t="n"/>
      <c r="E406" s="9" t="n"/>
      <c r="F406" s="10" t="n"/>
      <c r="G406" s="12">
        <f>IF($A406="",0,IF($I406="",0,$F406))</f>
        <v/>
      </c>
      <c r="H406" s="12">
        <f>IF($A406="","",$F406-$G406)</f>
        <v/>
      </c>
      <c r="I406" s="9" t="n"/>
      <c r="J406" s="9" t="n"/>
    </row>
    <row r="407">
      <c r="A407" s="9" t="n"/>
      <c r="B407" s="19" t="n"/>
      <c r="C407" s="9" t="n"/>
      <c r="D407" s="9" t="n"/>
      <c r="E407" s="9" t="n"/>
      <c r="F407" s="10" t="n"/>
      <c r="G407" s="12">
        <f>IF($A407="",0,IF($I407="",0,$F407))</f>
        <v/>
      </c>
      <c r="H407" s="12">
        <f>IF($A407="","",$F407-$G407)</f>
        <v/>
      </c>
      <c r="I407" s="9" t="n"/>
      <c r="J407" s="9" t="n"/>
    </row>
    <row r="408">
      <c r="A408" s="9" t="n"/>
      <c r="B408" s="19" t="n"/>
      <c r="C408" s="9" t="n"/>
      <c r="D408" s="9" t="n"/>
      <c r="E408" s="9" t="n"/>
      <c r="F408" s="10" t="n"/>
      <c r="G408" s="12">
        <f>IF($A408="",0,IF($I408="",0,$F408))</f>
        <v/>
      </c>
      <c r="H408" s="12">
        <f>IF($A408="","",$F408-$G408)</f>
        <v/>
      </c>
      <c r="I408" s="9" t="n"/>
      <c r="J408" s="9" t="n"/>
    </row>
    <row r="409">
      <c r="A409" s="9" t="n"/>
      <c r="B409" s="19" t="n"/>
      <c r="C409" s="9" t="n"/>
      <c r="D409" s="9" t="n"/>
      <c r="E409" s="9" t="n"/>
      <c r="F409" s="10" t="n"/>
      <c r="G409" s="12">
        <f>IF($A409="",0,IF($I409="",0,$F409))</f>
        <v/>
      </c>
      <c r="H409" s="12">
        <f>IF($A409="","",$F409-$G409)</f>
        <v/>
      </c>
      <c r="I409" s="9" t="n"/>
      <c r="J409" s="9" t="n"/>
    </row>
    <row r="410">
      <c r="A410" s="9" t="n"/>
      <c r="B410" s="19" t="n"/>
      <c r="C410" s="9" t="n"/>
      <c r="D410" s="9" t="n"/>
      <c r="E410" s="9" t="n"/>
      <c r="F410" s="10" t="n"/>
      <c r="G410" s="12">
        <f>IF($A410="",0,IF($I410="",0,$F410))</f>
        <v/>
      </c>
      <c r="H410" s="12">
        <f>IF($A410="","",$F410-$G410)</f>
        <v/>
      </c>
      <c r="I410" s="9" t="n"/>
      <c r="J410" s="9" t="n"/>
    </row>
    <row r="411">
      <c r="A411" s="9" t="n"/>
      <c r="B411" s="19" t="n"/>
      <c r="C411" s="9" t="n"/>
      <c r="D411" s="9" t="n"/>
      <c r="E411" s="9" t="n"/>
      <c r="F411" s="10" t="n"/>
      <c r="G411" s="12">
        <f>IF($A411="",0,IF($I411="",0,$F411))</f>
        <v/>
      </c>
      <c r="H411" s="12">
        <f>IF($A411="","",$F411-$G411)</f>
        <v/>
      </c>
      <c r="I411" s="9" t="n"/>
      <c r="J411" s="9" t="n"/>
    </row>
    <row r="412">
      <c r="A412" s="9" t="n"/>
      <c r="B412" s="19" t="n"/>
      <c r="C412" s="9" t="n"/>
      <c r="D412" s="9" t="n"/>
      <c r="E412" s="9" t="n"/>
      <c r="F412" s="10" t="n"/>
      <c r="G412" s="12">
        <f>IF($A412="",0,IF($I412="",0,$F412))</f>
        <v/>
      </c>
      <c r="H412" s="12">
        <f>IF($A412="","",$F412-$G412)</f>
        <v/>
      </c>
      <c r="I412" s="9" t="n"/>
      <c r="J412" s="9" t="n"/>
    </row>
    <row r="413">
      <c r="A413" s="9" t="n"/>
      <c r="B413" s="19" t="n"/>
      <c r="C413" s="9" t="n"/>
      <c r="D413" s="9" t="n"/>
      <c r="E413" s="9" t="n"/>
      <c r="F413" s="10" t="n"/>
      <c r="G413" s="12">
        <f>IF($A413="",0,IF($I413="",0,$F413))</f>
        <v/>
      </c>
      <c r="H413" s="12">
        <f>IF($A413="","",$F413-$G413)</f>
        <v/>
      </c>
      <c r="I413" s="9" t="n"/>
      <c r="J413" s="9" t="n"/>
    </row>
    <row r="414">
      <c r="A414" s="9" t="n"/>
      <c r="B414" s="19" t="n"/>
      <c r="C414" s="9" t="n"/>
      <c r="D414" s="9" t="n"/>
      <c r="E414" s="9" t="n"/>
      <c r="F414" s="10" t="n"/>
      <c r="G414" s="12">
        <f>IF($A414="",0,IF($I414="",0,$F414))</f>
        <v/>
      </c>
      <c r="H414" s="12">
        <f>IF($A414="","",$F414-$G414)</f>
        <v/>
      </c>
      <c r="I414" s="9" t="n"/>
      <c r="J414" s="9" t="n"/>
    </row>
    <row r="415">
      <c r="A415" s="9" t="n"/>
      <c r="B415" s="19" t="n"/>
      <c r="C415" s="9" t="n"/>
      <c r="D415" s="9" t="n"/>
      <c r="E415" s="9" t="n"/>
      <c r="F415" s="10" t="n"/>
      <c r="G415" s="12">
        <f>IF($A415="",0,IF($I415="",0,$F415))</f>
        <v/>
      </c>
      <c r="H415" s="12">
        <f>IF($A415="","",$F415-$G415)</f>
        <v/>
      </c>
      <c r="I415" s="9" t="n"/>
      <c r="J415" s="9" t="n"/>
    </row>
    <row r="416">
      <c r="A416" s="9" t="n"/>
      <c r="B416" s="19" t="n"/>
      <c r="C416" s="9" t="n"/>
      <c r="D416" s="9" t="n"/>
      <c r="E416" s="9" t="n"/>
      <c r="F416" s="10" t="n"/>
      <c r="G416" s="12">
        <f>IF($A416="",0,IF($I416="",0,$F416))</f>
        <v/>
      </c>
      <c r="H416" s="12">
        <f>IF($A416="","",$F416-$G416)</f>
        <v/>
      </c>
      <c r="I416" s="9" t="n"/>
      <c r="J416" s="9" t="n"/>
    </row>
    <row r="417">
      <c r="A417" s="9" t="n"/>
      <c r="B417" s="19" t="n"/>
      <c r="C417" s="9" t="n"/>
      <c r="D417" s="9" t="n"/>
      <c r="E417" s="9" t="n"/>
      <c r="F417" s="10" t="n"/>
      <c r="G417" s="12">
        <f>IF($A417="",0,IF($I417="",0,$F417))</f>
        <v/>
      </c>
      <c r="H417" s="12">
        <f>IF($A417="","",$F417-$G417)</f>
        <v/>
      </c>
      <c r="I417" s="9" t="n"/>
      <c r="J417" s="9" t="n"/>
    </row>
    <row r="418">
      <c r="A418" s="9" t="n"/>
      <c r="B418" s="19" t="n"/>
      <c r="C418" s="9" t="n"/>
      <c r="D418" s="9" t="n"/>
      <c r="E418" s="9" t="n"/>
      <c r="F418" s="10" t="n"/>
      <c r="G418" s="12">
        <f>IF($A418="",0,IF($I418="",0,$F418))</f>
        <v/>
      </c>
      <c r="H418" s="12">
        <f>IF($A418="","",$F418-$G418)</f>
        <v/>
      </c>
      <c r="I418" s="9" t="n"/>
      <c r="J418" s="9" t="n"/>
    </row>
    <row r="419">
      <c r="A419" s="9" t="n"/>
      <c r="B419" s="19" t="n"/>
      <c r="C419" s="9" t="n"/>
      <c r="D419" s="9" t="n"/>
      <c r="E419" s="9" t="n"/>
      <c r="F419" s="10" t="n"/>
      <c r="G419" s="12">
        <f>IF($A419="",0,IF($I419="",0,$F419))</f>
        <v/>
      </c>
      <c r="H419" s="12">
        <f>IF($A419="","",$F419-$G419)</f>
        <v/>
      </c>
      <c r="I419" s="9" t="n"/>
      <c r="J419" s="9" t="n"/>
    </row>
    <row r="420">
      <c r="A420" s="9" t="n"/>
      <c r="B420" s="19" t="n"/>
      <c r="C420" s="9" t="n"/>
      <c r="D420" s="9" t="n"/>
      <c r="E420" s="9" t="n"/>
      <c r="F420" s="10" t="n"/>
      <c r="G420" s="12">
        <f>IF($A420="",0,IF($I420="",0,$F420))</f>
        <v/>
      </c>
      <c r="H420" s="12">
        <f>IF($A420="","",$F420-$G420)</f>
        <v/>
      </c>
      <c r="I420" s="9" t="n"/>
      <c r="J420" s="9" t="n"/>
    </row>
    <row r="421">
      <c r="A421" s="9" t="n"/>
      <c r="B421" s="19" t="n"/>
      <c r="C421" s="9" t="n"/>
      <c r="D421" s="9" t="n"/>
      <c r="E421" s="9" t="n"/>
      <c r="F421" s="10" t="n"/>
      <c r="G421" s="12">
        <f>IF($A421="",0,IF($I421="",0,$F421))</f>
        <v/>
      </c>
      <c r="H421" s="12">
        <f>IF($A421="","",$F421-$G421)</f>
        <v/>
      </c>
      <c r="I421" s="9" t="n"/>
      <c r="J421" s="9" t="n"/>
    </row>
    <row r="422">
      <c r="A422" s="9" t="n"/>
      <c r="B422" s="19" t="n"/>
      <c r="C422" s="9" t="n"/>
      <c r="D422" s="9" t="n"/>
      <c r="E422" s="9" t="n"/>
      <c r="F422" s="10" t="n"/>
      <c r="G422" s="12">
        <f>IF($A422="",0,IF($I422="",0,$F422))</f>
        <v/>
      </c>
      <c r="H422" s="12">
        <f>IF($A422="","",$F422-$G422)</f>
        <v/>
      </c>
      <c r="I422" s="9" t="n"/>
      <c r="J422" s="9" t="n"/>
    </row>
    <row r="423">
      <c r="A423" s="9" t="n"/>
      <c r="B423" s="19" t="n"/>
      <c r="C423" s="9" t="n"/>
      <c r="D423" s="9" t="n"/>
      <c r="E423" s="9" t="n"/>
      <c r="F423" s="10" t="n"/>
      <c r="G423" s="12">
        <f>IF($A423="",0,IF($I423="",0,$F423))</f>
        <v/>
      </c>
      <c r="H423" s="12">
        <f>IF($A423="","",$F423-$G423)</f>
        <v/>
      </c>
      <c r="I423" s="9" t="n"/>
      <c r="J423" s="9" t="n"/>
    </row>
    <row r="424">
      <c r="A424" s="9" t="n"/>
      <c r="B424" s="19" t="n"/>
      <c r="C424" s="9" t="n"/>
      <c r="D424" s="9" t="n"/>
      <c r="E424" s="9" t="n"/>
      <c r="F424" s="10" t="n"/>
      <c r="G424" s="12">
        <f>IF($A424="",0,IF($I424="",0,$F424))</f>
        <v/>
      </c>
      <c r="H424" s="12">
        <f>IF($A424="","",$F424-$G424)</f>
        <v/>
      </c>
      <c r="I424" s="9" t="n"/>
      <c r="J424" s="9" t="n"/>
    </row>
    <row r="425">
      <c r="A425" s="9" t="n"/>
      <c r="B425" s="19" t="n"/>
      <c r="C425" s="9" t="n"/>
      <c r="D425" s="9" t="n"/>
      <c r="E425" s="9" t="n"/>
      <c r="F425" s="10" t="n"/>
      <c r="G425" s="12">
        <f>IF($A425="",0,IF($I425="",0,$F425))</f>
        <v/>
      </c>
      <c r="H425" s="12">
        <f>IF($A425="","",$F425-$G425)</f>
        <v/>
      </c>
      <c r="I425" s="9" t="n"/>
      <c r="J425" s="9" t="n"/>
    </row>
    <row r="426">
      <c r="A426" s="9" t="n"/>
      <c r="B426" s="19" t="n"/>
      <c r="C426" s="9" t="n"/>
      <c r="D426" s="9" t="n"/>
      <c r="E426" s="9" t="n"/>
      <c r="F426" s="10" t="n"/>
      <c r="G426" s="12">
        <f>IF($A426="",0,IF($I426="",0,$F426))</f>
        <v/>
      </c>
      <c r="H426" s="12">
        <f>IF($A426="","",$F426-$G426)</f>
        <v/>
      </c>
      <c r="I426" s="9" t="n"/>
      <c r="J426" s="9" t="n"/>
    </row>
    <row r="427">
      <c r="A427" s="9" t="n"/>
      <c r="B427" s="19" t="n"/>
      <c r="C427" s="9" t="n"/>
      <c r="D427" s="9" t="n"/>
      <c r="E427" s="9" t="n"/>
      <c r="F427" s="10" t="n"/>
      <c r="G427" s="12">
        <f>IF($A427="",0,IF($I427="",0,$F427))</f>
        <v/>
      </c>
      <c r="H427" s="12">
        <f>IF($A427="","",$F427-$G427)</f>
        <v/>
      </c>
      <c r="I427" s="9" t="n"/>
      <c r="J427" s="9" t="n"/>
    </row>
    <row r="428">
      <c r="A428" s="9" t="n"/>
      <c r="B428" s="19" t="n"/>
      <c r="C428" s="9" t="n"/>
      <c r="D428" s="9" t="n"/>
      <c r="E428" s="9" t="n"/>
      <c r="F428" s="10" t="n"/>
      <c r="G428" s="12">
        <f>IF($A428="",0,IF($I428="",0,$F428))</f>
        <v/>
      </c>
      <c r="H428" s="12">
        <f>IF($A428="","",$F428-$G428)</f>
        <v/>
      </c>
      <c r="I428" s="9" t="n"/>
      <c r="J428" s="9" t="n"/>
    </row>
    <row r="429">
      <c r="A429" s="9" t="n"/>
      <c r="B429" s="19" t="n"/>
      <c r="C429" s="9" t="n"/>
      <c r="D429" s="9" t="n"/>
      <c r="E429" s="9" t="n"/>
      <c r="F429" s="10" t="n"/>
      <c r="G429" s="12">
        <f>IF($A429="",0,IF($I429="",0,$F429))</f>
        <v/>
      </c>
      <c r="H429" s="12">
        <f>IF($A429="","",$F429-$G429)</f>
        <v/>
      </c>
      <c r="I429" s="9" t="n"/>
      <c r="J429" s="9" t="n"/>
    </row>
    <row r="430">
      <c r="A430" s="9" t="n"/>
      <c r="B430" s="19" t="n"/>
      <c r="C430" s="9" t="n"/>
      <c r="D430" s="9" t="n"/>
      <c r="E430" s="9" t="n"/>
      <c r="F430" s="10" t="n"/>
      <c r="G430" s="12">
        <f>IF($A430="",0,IF($I430="",0,$F430))</f>
        <v/>
      </c>
      <c r="H430" s="12">
        <f>IF($A430="","",$F430-$G430)</f>
        <v/>
      </c>
      <c r="I430" s="9" t="n"/>
      <c r="J430" s="9" t="n"/>
    </row>
    <row r="431">
      <c r="A431" s="9" t="n"/>
      <c r="B431" s="19" t="n"/>
      <c r="C431" s="9" t="n"/>
      <c r="D431" s="9" t="n"/>
      <c r="E431" s="9" t="n"/>
      <c r="F431" s="10" t="n"/>
      <c r="G431" s="12">
        <f>IF($A431="",0,IF($I431="",0,$F431))</f>
        <v/>
      </c>
      <c r="H431" s="12">
        <f>IF($A431="","",$F431-$G431)</f>
        <v/>
      </c>
      <c r="I431" s="9" t="n"/>
      <c r="J431" s="9" t="n"/>
    </row>
    <row r="432">
      <c r="A432" s="9" t="n"/>
      <c r="B432" s="19" t="n"/>
      <c r="C432" s="9" t="n"/>
      <c r="D432" s="9" t="n"/>
      <c r="E432" s="9" t="n"/>
      <c r="F432" s="10" t="n"/>
      <c r="G432" s="12">
        <f>IF($A432="",0,IF($I432="",0,$F432))</f>
        <v/>
      </c>
      <c r="H432" s="12">
        <f>IF($A432="","",$F432-$G432)</f>
        <v/>
      </c>
      <c r="I432" s="9" t="n"/>
      <c r="J432" s="9" t="n"/>
    </row>
    <row r="433">
      <c r="A433" s="9" t="n"/>
      <c r="B433" s="19" t="n"/>
      <c r="C433" s="9" t="n"/>
      <c r="D433" s="9" t="n"/>
      <c r="E433" s="9" t="n"/>
      <c r="F433" s="10" t="n"/>
      <c r="G433" s="12">
        <f>IF($A433="",0,IF($I433="",0,$F433))</f>
        <v/>
      </c>
      <c r="H433" s="12">
        <f>IF($A433="","",$F433-$G433)</f>
        <v/>
      </c>
      <c r="I433" s="9" t="n"/>
      <c r="J433" s="9" t="n"/>
    </row>
    <row r="434">
      <c r="A434" s="9" t="n"/>
      <c r="B434" s="19" t="n"/>
      <c r="C434" s="9" t="n"/>
      <c r="D434" s="9" t="n"/>
      <c r="E434" s="9" t="n"/>
      <c r="F434" s="10" t="n"/>
      <c r="G434" s="12">
        <f>IF($A434="",0,IF($I434="",0,$F434))</f>
        <v/>
      </c>
      <c r="H434" s="12">
        <f>IF($A434="","",$F434-$G434)</f>
        <v/>
      </c>
      <c r="I434" s="9" t="n"/>
      <c r="J434" s="9" t="n"/>
    </row>
    <row r="435">
      <c r="A435" s="9" t="n"/>
      <c r="B435" s="19" t="n"/>
      <c r="C435" s="9" t="n"/>
      <c r="D435" s="9" t="n"/>
      <c r="E435" s="9" t="n"/>
      <c r="F435" s="10" t="n"/>
      <c r="G435" s="12">
        <f>IF($A435="",0,IF($I435="",0,$F435))</f>
        <v/>
      </c>
      <c r="H435" s="12">
        <f>IF($A435="","",$F435-$G435)</f>
        <v/>
      </c>
      <c r="I435" s="9" t="n"/>
      <c r="J435" s="9" t="n"/>
    </row>
    <row r="436">
      <c r="A436" s="9" t="n"/>
      <c r="B436" s="19" t="n"/>
      <c r="C436" s="9" t="n"/>
      <c r="D436" s="9" t="n"/>
      <c r="E436" s="9" t="n"/>
      <c r="F436" s="10" t="n"/>
      <c r="G436" s="12">
        <f>IF($A436="",0,IF($I436="",0,$F436))</f>
        <v/>
      </c>
      <c r="H436" s="12">
        <f>IF($A436="","",$F436-$G436)</f>
        <v/>
      </c>
      <c r="I436" s="9" t="n"/>
      <c r="J436" s="9" t="n"/>
    </row>
    <row r="437">
      <c r="A437" s="9" t="n"/>
      <c r="B437" s="19" t="n"/>
      <c r="C437" s="9" t="n"/>
      <c r="D437" s="9" t="n"/>
      <c r="E437" s="9" t="n"/>
      <c r="F437" s="10" t="n"/>
      <c r="G437" s="12">
        <f>IF($A437="",0,IF($I437="",0,$F437))</f>
        <v/>
      </c>
      <c r="H437" s="12">
        <f>IF($A437="","",$F437-$G437)</f>
        <v/>
      </c>
      <c r="I437" s="9" t="n"/>
      <c r="J437" s="9" t="n"/>
    </row>
    <row r="438">
      <c r="A438" s="9" t="n"/>
      <c r="B438" s="19" t="n"/>
      <c r="C438" s="9" t="n"/>
      <c r="D438" s="9" t="n"/>
      <c r="E438" s="9" t="n"/>
      <c r="F438" s="10" t="n"/>
      <c r="G438" s="12">
        <f>IF($A438="",0,IF($I438="",0,$F438))</f>
        <v/>
      </c>
      <c r="H438" s="12">
        <f>IF($A438="","",$F438-$G438)</f>
        <v/>
      </c>
      <c r="I438" s="9" t="n"/>
      <c r="J438" s="9" t="n"/>
    </row>
    <row r="439">
      <c r="A439" s="9" t="n"/>
      <c r="B439" s="19" t="n"/>
      <c r="C439" s="9" t="n"/>
      <c r="D439" s="9" t="n"/>
      <c r="E439" s="9" t="n"/>
      <c r="F439" s="10" t="n"/>
      <c r="G439" s="12">
        <f>IF($A439="",0,IF($I439="",0,$F439))</f>
        <v/>
      </c>
      <c r="H439" s="12">
        <f>IF($A439="","",$F439-$G439)</f>
        <v/>
      </c>
      <c r="I439" s="9" t="n"/>
      <c r="J439" s="9" t="n"/>
    </row>
    <row r="440">
      <c r="A440" s="9" t="n"/>
      <c r="B440" s="19" t="n"/>
      <c r="C440" s="9" t="n"/>
      <c r="D440" s="9" t="n"/>
      <c r="E440" s="9" t="n"/>
      <c r="F440" s="10" t="n"/>
      <c r="G440" s="12">
        <f>IF($A440="",0,IF($I440="",0,$F440))</f>
        <v/>
      </c>
      <c r="H440" s="12">
        <f>IF($A440="","",$F440-$G440)</f>
        <v/>
      </c>
      <c r="I440" s="9" t="n"/>
      <c r="J440" s="9" t="n"/>
    </row>
    <row r="441">
      <c r="A441" s="9" t="n"/>
      <c r="B441" s="19" t="n"/>
      <c r="C441" s="9" t="n"/>
      <c r="D441" s="9" t="n"/>
      <c r="E441" s="9" t="n"/>
      <c r="F441" s="10" t="n"/>
      <c r="G441" s="12">
        <f>IF($A441="",0,IF($I441="",0,$F441))</f>
        <v/>
      </c>
      <c r="H441" s="12">
        <f>IF($A441="","",$F441-$G441)</f>
        <v/>
      </c>
      <c r="I441" s="9" t="n"/>
      <c r="J441" s="9" t="n"/>
    </row>
    <row r="442">
      <c r="A442" s="9" t="n"/>
      <c r="B442" s="19" t="n"/>
      <c r="C442" s="9" t="n"/>
      <c r="D442" s="9" t="n"/>
      <c r="E442" s="9" t="n"/>
      <c r="F442" s="10" t="n"/>
      <c r="G442" s="12">
        <f>IF($A442="",0,IF($I442="",0,$F442))</f>
        <v/>
      </c>
      <c r="H442" s="12">
        <f>IF($A442="","",$F442-$G442)</f>
        <v/>
      </c>
      <c r="I442" s="9" t="n"/>
      <c r="J442" s="9" t="n"/>
    </row>
    <row r="443">
      <c r="A443" s="9" t="n"/>
      <c r="B443" s="19" t="n"/>
      <c r="C443" s="9" t="n"/>
      <c r="D443" s="9" t="n"/>
      <c r="E443" s="9" t="n"/>
      <c r="F443" s="10" t="n"/>
      <c r="G443" s="12">
        <f>IF($A443="",0,IF($I443="",0,$F443))</f>
        <v/>
      </c>
      <c r="H443" s="12">
        <f>IF($A443="","",$F443-$G443)</f>
        <v/>
      </c>
      <c r="I443" s="9" t="n"/>
      <c r="J443" s="9" t="n"/>
    </row>
    <row r="444">
      <c r="A444" s="9" t="n"/>
      <c r="B444" s="19" t="n"/>
      <c r="C444" s="9" t="n"/>
      <c r="D444" s="9" t="n"/>
      <c r="E444" s="9" t="n"/>
      <c r="F444" s="10" t="n"/>
      <c r="G444" s="12">
        <f>IF($A444="",0,IF($I444="",0,$F444))</f>
        <v/>
      </c>
      <c r="H444" s="12">
        <f>IF($A444="","",$F444-$G444)</f>
        <v/>
      </c>
      <c r="I444" s="9" t="n"/>
      <c r="J444" s="9" t="n"/>
    </row>
    <row r="445">
      <c r="A445" s="9" t="n"/>
      <c r="B445" s="19" t="n"/>
      <c r="C445" s="9" t="n"/>
      <c r="D445" s="9" t="n"/>
      <c r="E445" s="9" t="n"/>
      <c r="F445" s="10" t="n"/>
      <c r="G445" s="12">
        <f>IF($A445="",0,IF($I445="",0,$F445))</f>
        <v/>
      </c>
      <c r="H445" s="12">
        <f>IF($A445="","",$F445-$G445)</f>
        <v/>
      </c>
      <c r="I445" s="9" t="n"/>
      <c r="J445" s="9" t="n"/>
    </row>
    <row r="446">
      <c r="A446" s="9" t="n"/>
      <c r="B446" s="19" t="n"/>
      <c r="C446" s="9" t="n"/>
      <c r="D446" s="9" t="n"/>
      <c r="E446" s="9" t="n"/>
      <c r="F446" s="10" t="n"/>
      <c r="G446" s="12">
        <f>IF($A446="",0,IF($I446="",0,$F446))</f>
        <v/>
      </c>
      <c r="H446" s="12">
        <f>IF($A446="","",$F446-$G446)</f>
        <v/>
      </c>
      <c r="I446" s="9" t="n"/>
      <c r="J446" s="9" t="n"/>
    </row>
    <row r="447">
      <c r="A447" s="9" t="n"/>
      <c r="B447" s="19" t="n"/>
      <c r="C447" s="9" t="n"/>
      <c r="D447" s="9" t="n"/>
      <c r="E447" s="9" t="n"/>
      <c r="F447" s="10" t="n"/>
      <c r="G447" s="12">
        <f>IF($A447="",0,IF($I447="",0,$F447))</f>
        <v/>
      </c>
      <c r="H447" s="12">
        <f>IF($A447="","",$F447-$G447)</f>
        <v/>
      </c>
      <c r="I447" s="9" t="n"/>
      <c r="J447" s="9" t="n"/>
    </row>
    <row r="448">
      <c r="A448" s="9" t="n"/>
      <c r="B448" s="19" t="n"/>
      <c r="C448" s="9" t="n"/>
      <c r="D448" s="9" t="n"/>
      <c r="E448" s="9" t="n"/>
      <c r="F448" s="10" t="n"/>
      <c r="G448" s="12">
        <f>IF($A448="",0,IF($I448="",0,$F448))</f>
        <v/>
      </c>
      <c r="H448" s="12">
        <f>IF($A448="","",$F448-$G448)</f>
        <v/>
      </c>
      <c r="I448" s="9" t="n"/>
      <c r="J448" s="9" t="n"/>
    </row>
    <row r="449">
      <c r="A449" s="9" t="n"/>
      <c r="B449" s="19" t="n"/>
      <c r="C449" s="9" t="n"/>
      <c r="D449" s="9" t="n"/>
      <c r="E449" s="9" t="n"/>
      <c r="F449" s="10" t="n"/>
      <c r="G449" s="12">
        <f>IF($A449="",0,IF($I449="",0,$F449))</f>
        <v/>
      </c>
      <c r="H449" s="12">
        <f>IF($A449="","",$F449-$G449)</f>
        <v/>
      </c>
      <c r="I449" s="9" t="n"/>
      <c r="J449" s="9" t="n"/>
    </row>
    <row r="450">
      <c r="A450" s="9" t="n"/>
      <c r="B450" s="19" t="n"/>
      <c r="C450" s="9" t="n"/>
      <c r="D450" s="9" t="n"/>
      <c r="E450" s="9" t="n"/>
      <c r="F450" s="10" t="n"/>
      <c r="G450" s="12">
        <f>IF($A450="",0,IF($I450="",0,$F450))</f>
        <v/>
      </c>
      <c r="H450" s="12">
        <f>IF($A450="","",$F450-$G450)</f>
        <v/>
      </c>
      <c r="I450" s="9" t="n"/>
      <c r="J450" s="9" t="n"/>
    </row>
    <row r="451">
      <c r="A451" s="9" t="n"/>
      <c r="B451" s="19" t="n"/>
      <c r="C451" s="9" t="n"/>
      <c r="D451" s="9" t="n"/>
      <c r="E451" s="9" t="n"/>
      <c r="F451" s="10" t="n"/>
      <c r="G451" s="12">
        <f>IF($A451="",0,IF($I451="",0,$F451))</f>
        <v/>
      </c>
      <c r="H451" s="12">
        <f>IF($A451="","",$F451-$G451)</f>
        <v/>
      </c>
      <c r="I451" s="9" t="n"/>
      <c r="J451" s="9" t="n"/>
    </row>
    <row r="452">
      <c r="A452" s="9" t="n"/>
      <c r="B452" s="19" t="n"/>
      <c r="C452" s="9" t="n"/>
      <c r="D452" s="9" t="n"/>
      <c r="E452" s="9" t="n"/>
      <c r="F452" s="10" t="n"/>
      <c r="G452" s="12">
        <f>IF($A452="",0,IF($I452="",0,$F452))</f>
        <v/>
      </c>
      <c r="H452" s="12">
        <f>IF($A452="","",$F452-$G452)</f>
        <v/>
      </c>
      <c r="I452" s="9" t="n"/>
      <c r="J452" s="9" t="n"/>
    </row>
    <row r="453">
      <c r="A453" s="9" t="n"/>
      <c r="B453" s="19" t="n"/>
      <c r="C453" s="9" t="n"/>
      <c r="D453" s="9" t="n"/>
      <c r="E453" s="9" t="n"/>
      <c r="F453" s="10" t="n"/>
      <c r="G453" s="12">
        <f>IF($A453="",0,IF($I453="",0,$F453))</f>
        <v/>
      </c>
      <c r="H453" s="12">
        <f>IF($A453="","",$F453-$G453)</f>
        <v/>
      </c>
      <c r="I453" s="9" t="n"/>
      <c r="J453" s="9" t="n"/>
    </row>
    <row r="454">
      <c r="A454" s="9" t="n"/>
      <c r="B454" s="19" t="n"/>
      <c r="C454" s="9" t="n"/>
      <c r="D454" s="9" t="n"/>
      <c r="E454" s="9" t="n"/>
      <c r="F454" s="10" t="n"/>
      <c r="G454" s="12">
        <f>IF($A454="",0,IF($I454="",0,$F454))</f>
        <v/>
      </c>
      <c r="H454" s="12">
        <f>IF($A454="","",$F454-$G454)</f>
        <v/>
      </c>
      <c r="I454" s="9" t="n"/>
      <c r="J454" s="9" t="n"/>
    </row>
    <row r="455">
      <c r="A455" s="9" t="n"/>
      <c r="B455" s="19" t="n"/>
      <c r="C455" s="9" t="n"/>
      <c r="D455" s="9" t="n"/>
      <c r="E455" s="9" t="n"/>
      <c r="F455" s="10" t="n"/>
      <c r="G455" s="12">
        <f>IF($A455="",0,IF($I455="",0,$F455))</f>
        <v/>
      </c>
      <c r="H455" s="12">
        <f>IF($A455="","",$F455-$G455)</f>
        <v/>
      </c>
      <c r="I455" s="9" t="n"/>
      <c r="J455" s="9" t="n"/>
    </row>
    <row r="456">
      <c r="A456" s="9" t="n"/>
      <c r="B456" s="19" t="n"/>
      <c r="C456" s="9" t="n"/>
      <c r="D456" s="9" t="n"/>
      <c r="E456" s="9" t="n"/>
      <c r="F456" s="10" t="n"/>
      <c r="G456" s="12">
        <f>IF($A456="",0,IF($I456="",0,$F456))</f>
        <v/>
      </c>
      <c r="H456" s="12">
        <f>IF($A456="","",$F456-$G456)</f>
        <v/>
      </c>
      <c r="I456" s="9" t="n"/>
      <c r="J456" s="9" t="n"/>
    </row>
    <row r="457">
      <c r="A457" s="9" t="n"/>
      <c r="B457" s="19" t="n"/>
      <c r="C457" s="9" t="n"/>
      <c r="D457" s="9" t="n"/>
      <c r="E457" s="9" t="n"/>
      <c r="F457" s="10" t="n"/>
      <c r="G457" s="12">
        <f>IF($A457="",0,IF($I457="",0,$F457))</f>
        <v/>
      </c>
      <c r="H457" s="12">
        <f>IF($A457="","",$F457-$G457)</f>
        <v/>
      </c>
      <c r="I457" s="9" t="n"/>
      <c r="J457" s="9" t="n"/>
    </row>
    <row r="458">
      <c r="A458" s="9" t="n"/>
      <c r="B458" s="19" t="n"/>
      <c r="C458" s="9" t="n"/>
      <c r="D458" s="9" t="n"/>
      <c r="E458" s="9" t="n"/>
      <c r="F458" s="10" t="n"/>
      <c r="G458" s="12">
        <f>IF($A458="",0,IF($I458="",0,$F458))</f>
        <v/>
      </c>
      <c r="H458" s="12">
        <f>IF($A458="","",$F458-$G458)</f>
        <v/>
      </c>
      <c r="I458" s="9" t="n"/>
      <c r="J458" s="9" t="n"/>
    </row>
    <row r="459">
      <c r="A459" s="9" t="n"/>
      <c r="B459" s="19" t="n"/>
      <c r="C459" s="9" t="n"/>
      <c r="D459" s="9" t="n"/>
      <c r="E459" s="9" t="n"/>
      <c r="F459" s="10" t="n"/>
      <c r="G459" s="12">
        <f>IF($A459="",0,IF($I459="",0,$F459))</f>
        <v/>
      </c>
      <c r="H459" s="12">
        <f>IF($A459="","",$F459-$G459)</f>
        <v/>
      </c>
      <c r="I459" s="9" t="n"/>
      <c r="J459" s="9" t="n"/>
    </row>
    <row r="460">
      <c r="A460" s="9" t="n"/>
      <c r="B460" s="19" t="n"/>
      <c r="C460" s="9" t="n"/>
      <c r="D460" s="9" t="n"/>
      <c r="E460" s="9" t="n"/>
      <c r="F460" s="10" t="n"/>
      <c r="G460" s="12">
        <f>IF($A460="",0,IF($I460="",0,$F460))</f>
        <v/>
      </c>
      <c r="H460" s="12">
        <f>IF($A460="","",$F460-$G460)</f>
        <v/>
      </c>
      <c r="I460" s="9" t="n"/>
      <c r="J460" s="9" t="n"/>
    </row>
    <row r="461">
      <c r="A461" s="9" t="n"/>
      <c r="B461" s="19" t="n"/>
      <c r="C461" s="9" t="n"/>
      <c r="D461" s="9" t="n"/>
      <c r="E461" s="9" t="n"/>
      <c r="F461" s="10" t="n"/>
      <c r="G461" s="12">
        <f>IF($A461="",0,IF($I461="",0,$F461))</f>
        <v/>
      </c>
      <c r="H461" s="12">
        <f>IF($A461="","",$F461-$G461)</f>
        <v/>
      </c>
      <c r="I461" s="9" t="n"/>
      <c r="J461" s="9" t="n"/>
    </row>
    <row r="462">
      <c r="A462" s="9" t="n"/>
      <c r="B462" s="19" t="n"/>
      <c r="C462" s="9" t="n"/>
      <c r="D462" s="9" t="n"/>
      <c r="E462" s="9" t="n"/>
      <c r="F462" s="10" t="n"/>
      <c r="G462" s="12">
        <f>IF($A462="",0,IF($I462="",0,$F462))</f>
        <v/>
      </c>
      <c r="H462" s="12">
        <f>IF($A462="","",$F462-$G462)</f>
        <v/>
      </c>
      <c r="I462" s="9" t="n"/>
      <c r="J462" s="9" t="n"/>
    </row>
    <row r="463">
      <c r="A463" s="9" t="n"/>
      <c r="B463" s="19" t="n"/>
      <c r="C463" s="9" t="n"/>
      <c r="D463" s="9" t="n"/>
      <c r="E463" s="9" t="n"/>
      <c r="F463" s="10" t="n"/>
      <c r="G463" s="12">
        <f>IF($A463="",0,IF($I463="",0,$F463))</f>
        <v/>
      </c>
      <c r="H463" s="12">
        <f>IF($A463="","",$F463-$G463)</f>
        <v/>
      </c>
      <c r="I463" s="9" t="n"/>
      <c r="J463" s="9" t="n"/>
    </row>
    <row r="464">
      <c r="A464" s="9" t="n"/>
      <c r="B464" s="19" t="n"/>
      <c r="C464" s="9" t="n"/>
      <c r="D464" s="9" t="n"/>
      <c r="E464" s="9" t="n"/>
      <c r="F464" s="10" t="n"/>
      <c r="G464" s="12">
        <f>IF($A464="",0,IF($I464="",0,$F464))</f>
        <v/>
      </c>
      <c r="H464" s="12">
        <f>IF($A464="","",$F464-$G464)</f>
        <v/>
      </c>
      <c r="I464" s="9" t="n"/>
      <c r="J464" s="9" t="n"/>
    </row>
    <row r="465">
      <c r="A465" s="9" t="n"/>
      <c r="B465" s="19" t="n"/>
      <c r="C465" s="9" t="n"/>
      <c r="D465" s="9" t="n"/>
      <c r="E465" s="9" t="n"/>
      <c r="F465" s="10" t="n"/>
      <c r="G465" s="12">
        <f>IF($A465="",0,IF($I465="",0,$F465))</f>
        <v/>
      </c>
      <c r="H465" s="12">
        <f>IF($A465="","",$F465-$G465)</f>
        <v/>
      </c>
      <c r="I465" s="9" t="n"/>
      <c r="J465" s="9" t="n"/>
    </row>
    <row r="466">
      <c r="A466" s="9" t="n"/>
      <c r="B466" s="19" t="n"/>
      <c r="C466" s="9" t="n"/>
      <c r="D466" s="9" t="n"/>
      <c r="E466" s="9" t="n"/>
      <c r="F466" s="10" t="n"/>
      <c r="G466" s="12">
        <f>IF($A466="",0,IF($I466="",0,$F466))</f>
        <v/>
      </c>
      <c r="H466" s="12">
        <f>IF($A466="","",$F466-$G466)</f>
        <v/>
      </c>
      <c r="I466" s="9" t="n"/>
      <c r="J466" s="9" t="n"/>
    </row>
    <row r="467">
      <c r="A467" s="9" t="n"/>
      <c r="B467" s="19" t="n"/>
      <c r="C467" s="9" t="n"/>
      <c r="D467" s="9" t="n"/>
      <c r="E467" s="9" t="n"/>
      <c r="F467" s="10" t="n"/>
      <c r="G467" s="12">
        <f>IF($A467="",0,IF($I467="",0,$F467))</f>
        <v/>
      </c>
      <c r="H467" s="12">
        <f>IF($A467="","",$F467-$G467)</f>
        <v/>
      </c>
      <c r="I467" s="9" t="n"/>
      <c r="J467" s="9" t="n"/>
    </row>
    <row r="468">
      <c r="A468" s="9" t="n"/>
      <c r="B468" s="19" t="n"/>
      <c r="C468" s="9" t="n"/>
      <c r="D468" s="9" t="n"/>
      <c r="E468" s="9" t="n"/>
      <c r="F468" s="10" t="n"/>
      <c r="G468" s="12">
        <f>IF($A468="",0,IF($I468="",0,$F468))</f>
        <v/>
      </c>
      <c r="H468" s="12">
        <f>IF($A468="","",$F468-$G468)</f>
        <v/>
      </c>
      <c r="I468" s="9" t="n"/>
      <c r="J468" s="9" t="n"/>
    </row>
    <row r="469">
      <c r="A469" s="9" t="n"/>
      <c r="B469" s="19" t="n"/>
      <c r="C469" s="9" t="n"/>
      <c r="D469" s="9" t="n"/>
      <c r="E469" s="9" t="n"/>
      <c r="F469" s="10" t="n"/>
      <c r="G469" s="12">
        <f>IF($A469="",0,IF($I469="",0,$F469))</f>
        <v/>
      </c>
      <c r="H469" s="12">
        <f>IF($A469="","",$F469-$G469)</f>
        <v/>
      </c>
      <c r="I469" s="9" t="n"/>
      <c r="J469" s="9" t="n"/>
    </row>
    <row r="470">
      <c r="A470" s="9" t="n"/>
      <c r="B470" s="19" t="n"/>
      <c r="C470" s="9" t="n"/>
      <c r="D470" s="9" t="n"/>
      <c r="E470" s="9" t="n"/>
      <c r="F470" s="10" t="n"/>
      <c r="G470" s="12">
        <f>IF($A470="",0,IF($I470="",0,$F470))</f>
        <v/>
      </c>
      <c r="H470" s="12">
        <f>IF($A470="","",$F470-$G470)</f>
        <v/>
      </c>
      <c r="I470" s="9" t="n"/>
      <c r="J470" s="9" t="n"/>
    </row>
    <row r="471">
      <c r="A471" s="9" t="n"/>
      <c r="B471" s="19" t="n"/>
      <c r="C471" s="9" t="n"/>
      <c r="D471" s="9" t="n"/>
      <c r="E471" s="9" t="n"/>
      <c r="F471" s="10" t="n"/>
      <c r="G471" s="12">
        <f>IF($A471="",0,IF($I471="",0,$F471))</f>
        <v/>
      </c>
      <c r="H471" s="12">
        <f>IF($A471="","",$F471-$G471)</f>
        <v/>
      </c>
      <c r="I471" s="9" t="n"/>
      <c r="J471" s="9" t="n"/>
    </row>
    <row r="472">
      <c r="A472" s="9" t="n"/>
      <c r="B472" s="19" t="n"/>
      <c r="C472" s="9" t="n"/>
      <c r="D472" s="9" t="n"/>
      <c r="E472" s="9" t="n"/>
      <c r="F472" s="10" t="n"/>
      <c r="G472" s="12">
        <f>IF($A472="",0,IF($I472="",0,$F472))</f>
        <v/>
      </c>
      <c r="H472" s="12">
        <f>IF($A472="","",$F472-$G472)</f>
        <v/>
      </c>
      <c r="I472" s="9" t="n"/>
      <c r="J472" s="9" t="n"/>
    </row>
    <row r="473">
      <c r="A473" s="9" t="n"/>
      <c r="B473" s="19" t="n"/>
      <c r="C473" s="9" t="n"/>
      <c r="D473" s="9" t="n"/>
      <c r="E473" s="9" t="n"/>
      <c r="F473" s="10" t="n"/>
      <c r="G473" s="12">
        <f>IF($A473="",0,IF($I473="",0,$F473))</f>
        <v/>
      </c>
      <c r="H473" s="12">
        <f>IF($A473="","",$F473-$G473)</f>
        <v/>
      </c>
      <c r="I473" s="9" t="n"/>
      <c r="J473" s="9" t="n"/>
    </row>
    <row r="474">
      <c r="A474" s="9" t="n"/>
      <c r="B474" s="19" t="n"/>
      <c r="C474" s="9" t="n"/>
      <c r="D474" s="9" t="n"/>
      <c r="E474" s="9" t="n"/>
      <c r="F474" s="10" t="n"/>
      <c r="G474" s="12">
        <f>IF($A474="",0,IF($I474="",0,$F474))</f>
        <v/>
      </c>
      <c r="H474" s="12">
        <f>IF($A474="","",$F474-$G474)</f>
        <v/>
      </c>
      <c r="I474" s="9" t="n"/>
      <c r="J474" s="9" t="n"/>
    </row>
    <row r="475">
      <c r="A475" s="9" t="n"/>
      <c r="B475" s="19" t="n"/>
      <c r="C475" s="9" t="n"/>
      <c r="D475" s="9" t="n"/>
      <c r="E475" s="9" t="n"/>
      <c r="F475" s="10" t="n"/>
      <c r="G475" s="12">
        <f>IF($A475="",0,IF($I475="",0,$F475))</f>
        <v/>
      </c>
      <c r="H475" s="12">
        <f>IF($A475="","",$F475-$G475)</f>
        <v/>
      </c>
      <c r="I475" s="9" t="n"/>
      <c r="J475" s="9" t="n"/>
    </row>
    <row r="476">
      <c r="A476" s="9" t="n"/>
      <c r="B476" s="19" t="n"/>
      <c r="C476" s="9" t="n"/>
      <c r="D476" s="9" t="n"/>
      <c r="E476" s="9" t="n"/>
      <c r="F476" s="10" t="n"/>
      <c r="G476" s="12">
        <f>IF($A476="",0,IF($I476="",0,$F476))</f>
        <v/>
      </c>
      <c r="H476" s="12">
        <f>IF($A476="","",$F476-$G476)</f>
        <v/>
      </c>
      <c r="I476" s="9" t="n"/>
      <c r="J476" s="9" t="n"/>
    </row>
    <row r="477">
      <c r="A477" s="9" t="n"/>
      <c r="B477" s="19" t="n"/>
      <c r="C477" s="9" t="n"/>
      <c r="D477" s="9" t="n"/>
      <c r="E477" s="9" t="n"/>
      <c r="F477" s="10" t="n"/>
      <c r="G477" s="12">
        <f>IF($A477="",0,IF($I477="",0,$F477))</f>
        <v/>
      </c>
      <c r="H477" s="12">
        <f>IF($A477="","",$F477-$G477)</f>
        <v/>
      </c>
      <c r="I477" s="9" t="n"/>
      <c r="J477" s="9" t="n"/>
    </row>
    <row r="478">
      <c r="A478" s="9" t="n"/>
      <c r="B478" s="19" t="n"/>
      <c r="C478" s="9" t="n"/>
      <c r="D478" s="9" t="n"/>
      <c r="E478" s="9" t="n"/>
      <c r="F478" s="10" t="n"/>
      <c r="G478" s="12">
        <f>IF($A478="",0,IF($I478="",0,$F478))</f>
        <v/>
      </c>
      <c r="H478" s="12">
        <f>IF($A478="","",$F478-$G478)</f>
        <v/>
      </c>
      <c r="I478" s="9" t="n"/>
      <c r="J478" s="9" t="n"/>
    </row>
    <row r="479">
      <c r="A479" s="9" t="n"/>
      <c r="B479" s="19" t="n"/>
      <c r="C479" s="9" t="n"/>
      <c r="D479" s="9" t="n"/>
      <c r="E479" s="9" t="n"/>
      <c r="F479" s="10" t="n"/>
      <c r="G479" s="12">
        <f>IF($A479="",0,IF($I479="",0,$F479))</f>
        <v/>
      </c>
      <c r="H479" s="12">
        <f>IF($A479="","",$F479-$G479)</f>
        <v/>
      </c>
      <c r="I479" s="9" t="n"/>
      <c r="J479" s="9" t="n"/>
    </row>
    <row r="480">
      <c r="A480" s="9" t="n"/>
      <c r="B480" s="19" t="n"/>
      <c r="C480" s="9" t="n"/>
      <c r="D480" s="9" t="n"/>
      <c r="E480" s="9" t="n"/>
      <c r="F480" s="10" t="n"/>
      <c r="G480" s="12">
        <f>IF($A480="",0,IF($I480="",0,$F480))</f>
        <v/>
      </c>
      <c r="H480" s="12">
        <f>IF($A480="","",$F480-$G480)</f>
        <v/>
      </c>
      <c r="I480" s="9" t="n"/>
      <c r="J480" s="9" t="n"/>
    </row>
    <row r="481">
      <c r="A481" s="9" t="n"/>
      <c r="B481" s="19" t="n"/>
      <c r="C481" s="9" t="n"/>
      <c r="D481" s="9" t="n"/>
      <c r="E481" s="9" t="n"/>
      <c r="F481" s="10" t="n"/>
      <c r="G481" s="12">
        <f>IF($A481="",0,IF($I481="",0,$F481))</f>
        <v/>
      </c>
      <c r="H481" s="12">
        <f>IF($A481="","",$F481-$G481)</f>
        <v/>
      </c>
      <c r="I481" s="9" t="n"/>
      <c r="J481" s="9" t="n"/>
    </row>
    <row r="482">
      <c r="A482" s="9" t="n"/>
      <c r="B482" s="19" t="n"/>
      <c r="C482" s="9" t="n"/>
      <c r="D482" s="9" t="n"/>
      <c r="E482" s="9" t="n"/>
      <c r="F482" s="10" t="n"/>
      <c r="G482" s="12">
        <f>IF($A482="",0,IF($I482="",0,$F482))</f>
        <v/>
      </c>
      <c r="H482" s="12">
        <f>IF($A482="","",$F482-$G482)</f>
        <v/>
      </c>
      <c r="I482" s="9" t="n"/>
      <c r="J482" s="9" t="n"/>
    </row>
    <row r="483">
      <c r="A483" s="9" t="n"/>
      <c r="B483" s="19" t="n"/>
      <c r="C483" s="9" t="n"/>
      <c r="D483" s="9" t="n"/>
      <c r="E483" s="9" t="n"/>
      <c r="F483" s="10" t="n"/>
      <c r="G483" s="12">
        <f>IF($A483="",0,IF($I483="",0,$F483))</f>
        <v/>
      </c>
      <c r="H483" s="12">
        <f>IF($A483="","",$F483-$G483)</f>
        <v/>
      </c>
      <c r="I483" s="9" t="n"/>
      <c r="J483" s="9" t="n"/>
    </row>
    <row r="484">
      <c r="A484" s="9" t="n"/>
      <c r="B484" s="19" t="n"/>
      <c r="C484" s="9" t="n"/>
      <c r="D484" s="9" t="n"/>
      <c r="E484" s="9" t="n"/>
      <c r="F484" s="10" t="n"/>
      <c r="G484" s="12">
        <f>IF($A484="",0,IF($I484="",0,$F484))</f>
        <v/>
      </c>
      <c r="H484" s="12">
        <f>IF($A484="","",$F484-$G484)</f>
        <v/>
      </c>
      <c r="I484" s="9" t="n"/>
      <c r="J484" s="9" t="n"/>
    </row>
    <row r="485">
      <c r="A485" s="9" t="n"/>
      <c r="B485" s="19" t="n"/>
      <c r="C485" s="9" t="n"/>
      <c r="D485" s="9" t="n"/>
      <c r="E485" s="9" t="n"/>
      <c r="F485" s="10" t="n"/>
      <c r="G485" s="12">
        <f>IF($A485="",0,IF($I485="",0,$F485))</f>
        <v/>
      </c>
      <c r="H485" s="12">
        <f>IF($A485="","",$F485-$G485)</f>
        <v/>
      </c>
      <c r="I485" s="9" t="n"/>
      <c r="J485" s="9" t="n"/>
    </row>
    <row r="486">
      <c r="A486" s="9" t="n"/>
      <c r="B486" s="19" t="n"/>
      <c r="C486" s="9" t="n"/>
      <c r="D486" s="9" t="n"/>
      <c r="E486" s="9" t="n"/>
      <c r="F486" s="10" t="n"/>
      <c r="G486" s="12">
        <f>IF($A486="",0,IF($I486="",0,$F486))</f>
        <v/>
      </c>
      <c r="H486" s="12">
        <f>IF($A486="","",$F486-$G486)</f>
        <v/>
      </c>
      <c r="I486" s="9" t="n"/>
      <c r="J486" s="9" t="n"/>
    </row>
    <row r="487">
      <c r="A487" s="9" t="n"/>
      <c r="B487" s="19" t="n"/>
      <c r="C487" s="9" t="n"/>
      <c r="D487" s="9" t="n"/>
      <c r="E487" s="9" t="n"/>
      <c r="F487" s="10" t="n"/>
      <c r="G487" s="12">
        <f>IF($A487="",0,IF($I487="",0,$F487))</f>
        <v/>
      </c>
      <c r="H487" s="12">
        <f>IF($A487="","",$F487-$G487)</f>
        <v/>
      </c>
      <c r="I487" s="9" t="n"/>
      <c r="J487" s="9" t="n"/>
    </row>
    <row r="488">
      <c r="A488" s="9" t="n"/>
      <c r="B488" s="19" t="n"/>
      <c r="C488" s="9" t="n"/>
      <c r="D488" s="9" t="n"/>
      <c r="E488" s="9" t="n"/>
      <c r="F488" s="10" t="n"/>
      <c r="G488" s="12">
        <f>IF($A488="",0,IF($I488="",0,$F488))</f>
        <v/>
      </c>
      <c r="H488" s="12">
        <f>IF($A488="","",$F488-$G488)</f>
        <v/>
      </c>
      <c r="I488" s="9" t="n"/>
      <c r="J488" s="9" t="n"/>
    </row>
    <row r="489">
      <c r="A489" s="9" t="n"/>
      <c r="B489" s="19" t="n"/>
      <c r="C489" s="9" t="n"/>
      <c r="D489" s="9" t="n"/>
      <c r="E489" s="9" t="n"/>
      <c r="F489" s="10" t="n"/>
      <c r="G489" s="12">
        <f>IF($A489="",0,IF($I489="",0,$F489))</f>
        <v/>
      </c>
      <c r="H489" s="12">
        <f>IF($A489="","",$F489-$G489)</f>
        <v/>
      </c>
      <c r="I489" s="9" t="n"/>
      <c r="J489" s="9" t="n"/>
    </row>
    <row r="490">
      <c r="A490" s="9" t="n"/>
      <c r="B490" s="19" t="n"/>
      <c r="C490" s="9" t="n"/>
      <c r="D490" s="9" t="n"/>
      <c r="E490" s="9" t="n"/>
      <c r="F490" s="10" t="n"/>
      <c r="G490" s="12">
        <f>IF($A490="",0,IF($I490="",0,$F490))</f>
        <v/>
      </c>
      <c r="H490" s="12">
        <f>IF($A490="","",$F490-$G490)</f>
        <v/>
      </c>
      <c r="I490" s="9" t="n"/>
      <c r="J490" s="9" t="n"/>
    </row>
    <row r="491">
      <c r="A491" s="9" t="n"/>
      <c r="B491" s="19" t="n"/>
      <c r="C491" s="9" t="n"/>
      <c r="D491" s="9" t="n"/>
      <c r="E491" s="9" t="n"/>
      <c r="F491" s="10" t="n"/>
      <c r="G491" s="12">
        <f>IF($A491="",0,IF($I491="",0,$F491))</f>
        <v/>
      </c>
      <c r="H491" s="12">
        <f>IF($A491="","",$F491-$G491)</f>
        <v/>
      </c>
      <c r="I491" s="9" t="n"/>
      <c r="J491" s="9" t="n"/>
    </row>
    <row r="492">
      <c r="A492" s="9" t="n"/>
      <c r="B492" s="19" t="n"/>
      <c r="C492" s="9" t="n"/>
      <c r="D492" s="9" t="n"/>
      <c r="E492" s="9" t="n"/>
      <c r="F492" s="10" t="n"/>
      <c r="G492" s="12">
        <f>IF($A492="",0,IF($I492="",0,$F492))</f>
        <v/>
      </c>
      <c r="H492" s="12">
        <f>IF($A492="","",$F492-$G492)</f>
        <v/>
      </c>
      <c r="I492" s="9" t="n"/>
      <c r="J492" s="9" t="n"/>
    </row>
    <row r="493">
      <c r="A493" s="9" t="n"/>
      <c r="B493" s="19" t="n"/>
      <c r="C493" s="9" t="n"/>
      <c r="D493" s="9" t="n"/>
      <c r="E493" s="9" t="n"/>
      <c r="F493" s="10" t="n"/>
      <c r="G493" s="12">
        <f>IF($A493="",0,IF($I493="",0,$F493))</f>
        <v/>
      </c>
      <c r="H493" s="12">
        <f>IF($A493="","",$F493-$G493)</f>
        <v/>
      </c>
      <c r="I493" s="9" t="n"/>
      <c r="J493" s="9" t="n"/>
    </row>
    <row r="494">
      <c r="A494" s="9" t="n"/>
      <c r="B494" s="19" t="n"/>
      <c r="C494" s="9" t="n"/>
      <c r="D494" s="9" t="n"/>
      <c r="E494" s="9" t="n"/>
      <c r="F494" s="10" t="n"/>
      <c r="G494" s="12">
        <f>IF($A494="",0,IF($I494="",0,$F494))</f>
        <v/>
      </c>
      <c r="H494" s="12">
        <f>IF($A494="","",$F494-$G494)</f>
        <v/>
      </c>
      <c r="I494" s="9" t="n"/>
      <c r="J494" s="9" t="n"/>
    </row>
    <row r="495">
      <c r="A495" s="9" t="n"/>
      <c r="B495" s="19" t="n"/>
      <c r="C495" s="9" t="n"/>
      <c r="D495" s="9" t="n"/>
      <c r="E495" s="9" t="n"/>
      <c r="F495" s="10" t="n"/>
      <c r="G495" s="12">
        <f>IF($A495="",0,IF($I495="",0,$F495))</f>
        <v/>
      </c>
      <c r="H495" s="12">
        <f>IF($A495="","",$F495-$G495)</f>
        <v/>
      </c>
      <c r="I495" s="9" t="n"/>
      <c r="J495" s="9" t="n"/>
    </row>
    <row r="496">
      <c r="A496" s="9" t="n"/>
      <c r="B496" s="19" t="n"/>
      <c r="C496" s="9" t="n"/>
      <c r="D496" s="9" t="n"/>
      <c r="E496" s="9" t="n"/>
      <c r="F496" s="10" t="n"/>
      <c r="G496" s="12">
        <f>IF($A496="",0,IF($I496="",0,$F496))</f>
        <v/>
      </c>
      <c r="H496" s="12">
        <f>IF($A496="","",$F496-$G496)</f>
        <v/>
      </c>
      <c r="I496" s="9" t="n"/>
      <c r="J496" s="9" t="n"/>
    </row>
    <row r="497">
      <c r="A497" s="9" t="n"/>
      <c r="B497" s="19" t="n"/>
      <c r="C497" s="9" t="n"/>
      <c r="D497" s="9" t="n"/>
      <c r="E497" s="9" t="n"/>
      <c r="F497" s="10" t="n"/>
      <c r="G497" s="12">
        <f>IF($A497="",0,IF($I497="",0,$F497))</f>
        <v/>
      </c>
      <c r="H497" s="12">
        <f>IF($A497="","",$F497-$G497)</f>
        <v/>
      </c>
      <c r="I497" s="9" t="n"/>
      <c r="J497" s="9" t="n"/>
    </row>
    <row r="498">
      <c r="A498" s="9" t="n"/>
      <c r="B498" s="19" t="n"/>
      <c r="C498" s="9" t="n"/>
      <c r="D498" s="9" t="n"/>
      <c r="E498" s="9" t="n"/>
      <c r="F498" s="10" t="n"/>
      <c r="G498" s="12">
        <f>IF($A498="",0,IF($I498="",0,$F498))</f>
        <v/>
      </c>
      <c r="H498" s="12">
        <f>IF($A498="","",$F498-$G498)</f>
        <v/>
      </c>
      <c r="I498" s="9" t="n"/>
      <c r="J498" s="9" t="n"/>
    </row>
    <row r="499">
      <c r="A499" s="9" t="n"/>
      <c r="B499" s="19" t="n"/>
      <c r="C499" s="9" t="n"/>
      <c r="D499" s="9" t="n"/>
      <c r="E499" s="9" t="n"/>
      <c r="F499" s="10" t="n"/>
      <c r="G499" s="12">
        <f>IF($A499="",0,IF($I499="",0,$F499))</f>
        <v/>
      </c>
      <c r="H499" s="12">
        <f>IF($A499="","",$F499-$G499)</f>
        <v/>
      </c>
      <c r="I499" s="9" t="n"/>
      <c r="J499" s="9" t="n"/>
    </row>
    <row r="500">
      <c r="A500" s="9" t="n"/>
      <c r="B500" s="19" t="n"/>
      <c r="C500" s="9" t="n"/>
      <c r="D500" s="9" t="n"/>
      <c r="E500" s="9" t="n"/>
      <c r="F500" s="10" t="n"/>
      <c r="G500" s="12">
        <f>IF($A500="",0,IF($I500="",0,$F500))</f>
        <v/>
      </c>
      <c r="H500" s="12">
        <f>IF($A500="","",$F500-$G500)</f>
        <v/>
      </c>
      <c r="I500" s="9" t="n"/>
      <c r="J500" s="9" t="n"/>
    </row>
    <row r="501">
      <c r="A501" s="9" t="n"/>
      <c r="B501" s="19" t="n"/>
      <c r="C501" s="9" t="n"/>
      <c r="D501" s="9" t="n"/>
      <c r="E501" s="9" t="n"/>
      <c r="F501" s="10" t="n"/>
      <c r="G501" s="12">
        <f>IF($A501="",0,IF($I501="",0,$F501))</f>
        <v/>
      </c>
      <c r="H501" s="12">
        <f>IF($A501="","",$F501-$G501)</f>
        <v/>
      </c>
      <c r="I501" s="9" t="n"/>
      <c r="J501" s="9" t="n"/>
    </row>
    <row r="502">
      <c r="A502" s="9" t="n"/>
      <c r="B502" s="19" t="n"/>
      <c r="C502" s="9" t="n"/>
      <c r="D502" s="9" t="n"/>
      <c r="E502" s="9" t="n"/>
      <c r="F502" s="10" t="n"/>
      <c r="G502" s="12">
        <f>IF($A502="",0,IF($I502="",0,$F502))</f>
        <v/>
      </c>
      <c r="H502" s="12">
        <f>IF($A502="","",$F502-$G502)</f>
        <v/>
      </c>
      <c r="I502" s="9" t="n"/>
      <c r="J502" s="9" t="n"/>
    </row>
    <row r="503">
      <c r="A503" s="9" t="n"/>
      <c r="B503" s="19" t="n"/>
      <c r="C503" s="9" t="n"/>
      <c r="D503" s="9" t="n"/>
      <c r="E503" s="9" t="n"/>
      <c r="F503" s="10" t="n"/>
      <c r="G503" s="12">
        <f>IF($A503="",0,IF($I503="",0,$F503))</f>
        <v/>
      </c>
      <c r="H503" s="12">
        <f>IF($A503="","",$F503-$G503)</f>
        <v/>
      </c>
      <c r="I503" s="9" t="n"/>
      <c r="J503" s="9" t="n"/>
    </row>
    <row r="504">
      <c r="A504" s="9" t="n"/>
      <c r="B504" s="19" t="n"/>
      <c r="C504" s="9" t="n"/>
      <c r="D504" s="9" t="n"/>
      <c r="E504" s="9" t="n"/>
      <c r="F504" s="10" t="n"/>
      <c r="G504" s="12">
        <f>IF($A504="",0,IF($I504="",0,$F504))</f>
        <v/>
      </c>
      <c r="H504" s="12">
        <f>IF($A504="","",$F504-$G504)</f>
        <v/>
      </c>
      <c r="I504" s="9" t="n"/>
      <c r="J504" s="9" t="n"/>
    </row>
    <row r="505">
      <c r="A505" s="9" t="n"/>
      <c r="B505" s="19" t="n"/>
      <c r="C505" s="9" t="n"/>
      <c r="D505" s="9" t="n"/>
      <c r="E505" s="9" t="n"/>
      <c r="F505" s="10" t="n"/>
      <c r="G505" s="12">
        <f>IF($A505="",0,IF($I505="",0,$F505))</f>
        <v/>
      </c>
      <c r="H505" s="12">
        <f>IF($A505="","",$F505-$G505)</f>
        <v/>
      </c>
      <c r="I505" s="9" t="n"/>
      <c r="J505" s="9" t="n"/>
    </row>
    <row r="506">
      <c r="A506" s="9" t="n"/>
      <c r="B506" s="19" t="n"/>
      <c r="C506" s="9" t="n"/>
      <c r="D506" s="9" t="n"/>
      <c r="E506" s="9" t="n"/>
      <c r="F506" s="10" t="n"/>
      <c r="G506" s="12">
        <f>IF($A506="",0,IF($I506="",0,$F506))</f>
        <v/>
      </c>
      <c r="H506" s="12">
        <f>IF($A506="","",$F506-$G506)</f>
        <v/>
      </c>
      <c r="I506" s="9" t="n"/>
      <c r="J506" s="9" t="n"/>
    </row>
    <row r="507">
      <c r="A507" s="9" t="n"/>
      <c r="B507" s="19" t="n"/>
      <c r="C507" s="9" t="n"/>
      <c r="D507" s="9" t="n"/>
      <c r="E507" s="9" t="n"/>
      <c r="F507" s="10" t="n"/>
      <c r="G507" s="12">
        <f>IF($A507="",0,IF($I507="",0,$F507))</f>
        <v/>
      </c>
      <c r="H507" s="12">
        <f>IF($A507="","",$F507-$G507)</f>
        <v/>
      </c>
      <c r="I507" s="9" t="n"/>
      <c r="J507" s="9" t="n"/>
    </row>
    <row r="508">
      <c r="A508" s="9" t="n"/>
      <c r="B508" s="19" t="n"/>
      <c r="C508" s="9" t="n"/>
      <c r="D508" s="9" t="n"/>
      <c r="E508" s="9" t="n"/>
      <c r="F508" s="10" t="n"/>
      <c r="G508" s="12">
        <f>IF($A508="",0,IF($I508="",0,$F508))</f>
        <v/>
      </c>
      <c r="H508" s="12">
        <f>IF($A508="","",$F508-$G508)</f>
        <v/>
      </c>
      <c r="I508" s="9" t="n"/>
      <c r="J508" s="9" t="n"/>
    </row>
    <row r="509">
      <c r="A509" s="9" t="n"/>
      <c r="B509" s="19" t="n"/>
      <c r="C509" s="9" t="n"/>
      <c r="D509" s="9" t="n"/>
      <c r="E509" s="9" t="n"/>
      <c r="F509" s="10" t="n"/>
      <c r="G509" s="12">
        <f>IF($A509="",0,IF($I509="",0,$F509))</f>
        <v/>
      </c>
      <c r="H509" s="12">
        <f>IF($A509="","",$F509-$G509)</f>
        <v/>
      </c>
      <c r="I509" s="9" t="n"/>
      <c r="J509" s="9" t="n"/>
    </row>
    <row r="510">
      <c r="A510" s="9" t="n"/>
      <c r="B510" s="19" t="n"/>
      <c r="C510" s="9" t="n"/>
      <c r="D510" s="9" t="n"/>
      <c r="E510" s="9" t="n"/>
      <c r="F510" s="10" t="n"/>
      <c r="G510" s="12">
        <f>IF($A510="",0,IF($I510="",0,$F510))</f>
        <v/>
      </c>
      <c r="H510" s="12">
        <f>IF($A510="","",$F510-$G510)</f>
        <v/>
      </c>
      <c r="I510" s="9" t="n"/>
      <c r="J510" s="9" t="n"/>
    </row>
    <row r="511">
      <c r="A511" s="9" t="n"/>
      <c r="B511" s="19" t="n"/>
      <c r="C511" s="9" t="n"/>
      <c r="D511" s="9" t="n"/>
      <c r="E511" s="9" t="n"/>
      <c r="F511" s="10" t="n"/>
      <c r="G511" s="12">
        <f>IF($A511="",0,IF($I511="",0,$F511))</f>
        <v/>
      </c>
      <c r="H511" s="12">
        <f>IF($A511="","",$F511-$G511)</f>
        <v/>
      </c>
      <c r="I511" s="9" t="n"/>
      <c r="J511" s="9" t="n"/>
    </row>
    <row r="512">
      <c r="A512" s="9" t="n"/>
      <c r="B512" s="19" t="n"/>
      <c r="C512" s="9" t="n"/>
      <c r="D512" s="9" t="n"/>
      <c r="E512" s="9" t="n"/>
      <c r="F512" s="10" t="n"/>
      <c r="G512" s="12">
        <f>IF($A512="",0,IF($I512="",0,$F512))</f>
        <v/>
      </c>
      <c r="H512" s="12">
        <f>IF($A512="","",$F512-$G512)</f>
        <v/>
      </c>
      <c r="I512" s="9" t="n"/>
      <c r="J512" s="9" t="n"/>
    </row>
    <row r="513">
      <c r="A513" s="9" t="n"/>
      <c r="B513" s="19" t="n"/>
      <c r="C513" s="9" t="n"/>
      <c r="D513" s="9" t="n"/>
      <c r="E513" s="9" t="n"/>
      <c r="F513" s="10" t="n"/>
      <c r="G513" s="12">
        <f>IF($A513="",0,IF($I513="",0,$F513))</f>
        <v/>
      </c>
      <c r="H513" s="12">
        <f>IF($A513="","",$F513-$G513)</f>
        <v/>
      </c>
      <c r="I513" s="9" t="n"/>
      <c r="J513" s="9" t="n"/>
    </row>
    <row r="514">
      <c r="A514" s="9" t="n"/>
      <c r="B514" s="19" t="n"/>
      <c r="C514" s="9" t="n"/>
      <c r="D514" s="9" t="n"/>
      <c r="E514" s="9" t="n"/>
      <c r="F514" s="10" t="n"/>
      <c r="G514" s="12">
        <f>IF($A514="",0,IF($I514="",0,$F514))</f>
        <v/>
      </c>
      <c r="H514" s="12">
        <f>IF($A514="","",$F514-$G514)</f>
        <v/>
      </c>
      <c r="I514" s="9" t="n"/>
      <c r="J514" s="9" t="n"/>
    </row>
    <row r="515">
      <c r="A515" s="9" t="n"/>
      <c r="B515" s="19" t="n"/>
      <c r="C515" s="9" t="n"/>
      <c r="D515" s="9" t="n"/>
      <c r="E515" s="9" t="n"/>
      <c r="F515" s="10" t="n"/>
      <c r="G515" s="12">
        <f>IF($A515="",0,IF($I515="",0,$F515))</f>
        <v/>
      </c>
      <c r="H515" s="12">
        <f>IF($A515="","",$F515-$G515)</f>
        <v/>
      </c>
      <c r="I515" s="9" t="n"/>
      <c r="J515" s="9" t="n"/>
    </row>
    <row r="516">
      <c r="A516" s="9" t="n"/>
      <c r="B516" s="19" t="n"/>
      <c r="C516" s="9" t="n"/>
      <c r="D516" s="9" t="n"/>
      <c r="E516" s="9" t="n"/>
      <c r="F516" s="10" t="n"/>
      <c r="G516" s="12">
        <f>IF($A516="",0,IF($I516="",0,$F516))</f>
        <v/>
      </c>
      <c r="H516" s="12">
        <f>IF($A516="","",$F516-$G516)</f>
        <v/>
      </c>
      <c r="I516" s="9" t="n"/>
      <c r="J516" s="9" t="n"/>
    </row>
    <row r="517">
      <c r="A517" s="9" t="n"/>
      <c r="B517" s="19" t="n"/>
      <c r="C517" s="9" t="n"/>
      <c r="D517" s="9" t="n"/>
      <c r="E517" s="9" t="n"/>
      <c r="F517" s="10" t="n"/>
      <c r="G517" s="12">
        <f>IF($A517="",0,IF($I517="",0,$F517))</f>
        <v/>
      </c>
      <c r="H517" s="12">
        <f>IF($A517="","",$F517-$G517)</f>
        <v/>
      </c>
      <c r="I517" s="9" t="n"/>
      <c r="J517" s="9" t="n"/>
    </row>
    <row r="518">
      <c r="A518" s="9" t="n"/>
      <c r="B518" s="19" t="n"/>
      <c r="C518" s="9" t="n"/>
      <c r="D518" s="9" t="n"/>
      <c r="E518" s="9" t="n"/>
      <c r="F518" s="10" t="n"/>
      <c r="G518" s="12">
        <f>IF($A518="",0,IF($I518="",0,$F518))</f>
        <v/>
      </c>
      <c r="H518" s="12">
        <f>IF($A518="","",$F518-$G518)</f>
        <v/>
      </c>
      <c r="I518" s="9" t="n"/>
      <c r="J518" s="9" t="n"/>
    </row>
    <row r="519">
      <c r="A519" s="9" t="n"/>
      <c r="B519" s="19" t="n"/>
      <c r="C519" s="9" t="n"/>
      <c r="D519" s="9" t="n"/>
      <c r="E519" s="9" t="n"/>
      <c r="F519" s="10" t="n"/>
      <c r="G519" s="12">
        <f>IF($A519="",0,IF($I519="",0,$F519))</f>
        <v/>
      </c>
      <c r="H519" s="12">
        <f>IF($A519="","",$F519-$G519)</f>
        <v/>
      </c>
      <c r="I519" s="9" t="n"/>
      <c r="J519" s="9" t="n"/>
    </row>
    <row r="520">
      <c r="A520" s="9" t="n"/>
      <c r="B520" s="19" t="n"/>
      <c r="C520" s="9" t="n"/>
      <c r="D520" s="9" t="n"/>
      <c r="E520" s="9" t="n"/>
      <c r="F520" s="10" t="n"/>
      <c r="G520" s="12">
        <f>IF($A520="",0,IF($I520="",0,$F520))</f>
        <v/>
      </c>
      <c r="H520" s="12">
        <f>IF($A520="","",$F520-$G520)</f>
        <v/>
      </c>
      <c r="I520" s="9" t="n"/>
      <c r="J520" s="9" t="n"/>
    </row>
    <row r="521">
      <c r="A521" s="9" t="n"/>
      <c r="B521" s="19" t="n"/>
      <c r="C521" s="9" t="n"/>
      <c r="D521" s="9" t="n"/>
      <c r="E521" s="9" t="n"/>
      <c r="F521" s="10" t="n"/>
      <c r="G521" s="12">
        <f>IF($A521="",0,IF($I521="",0,$F521))</f>
        <v/>
      </c>
      <c r="H521" s="12">
        <f>IF($A521="","",$F521-$G521)</f>
        <v/>
      </c>
      <c r="I521" s="9" t="n"/>
      <c r="J521" s="9" t="n"/>
    </row>
    <row r="522">
      <c r="A522" s="9" t="n"/>
      <c r="B522" s="19" t="n"/>
      <c r="C522" s="9" t="n"/>
      <c r="D522" s="9" t="n"/>
      <c r="E522" s="9" t="n"/>
      <c r="F522" s="10" t="n"/>
      <c r="G522" s="12">
        <f>IF($A522="",0,IF($I522="",0,$F522))</f>
        <v/>
      </c>
      <c r="H522" s="12">
        <f>IF($A522="","",$F522-$G522)</f>
        <v/>
      </c>
      <c r="I522" s="9" t="n"/>
      <c r="J522" s="9" t="n"/>
    </row>
    <row r="523">
      <c r="A523" s="9" t="n"/>
      <c r="B523" s="19" t="n"/>
      <c r="C523" s="9" t="n"/>
      <c r="D523" s="9" t="n"/>
      <c r="E523" s="9" t="n"/>
      <c r="F523" s="10" t="n"/>
      <c r="G523" s="12">
        <f>IF($A523="",0,IF($I523="",0,$F523))</f>
        <v/>
      </c>
      <c r="H523" s="12">
        <f>IF($A523="","",$F523-$G523)</f>
        <v/>
      </c>
      <c r="I523" s="9" t="n"/>
      <c r="J523" s="9" t="n"/>
    </row>
    <row r="524">
      <c r="A524" s="9" t="n"/>
      <c r="B524" s="19" t="n"/>
      <c r="C524" s="9" t="n"/>
      <c r="D524" s="9" t="n"/>
      <c r="E524" s="9" t="n"/>
      <c r="F524" s="10" t="n"/>
      <c r="G524" s="12">
        <f>IF($A524="",0,IF($I524="",0,$F524))</f>
        <v/>
      </c>
      <c r="H524" s="12">
        <f>IF($A524="","",$F524-$G524)</f>
        <v/>
      </c>
      <c r="I524" s="9" t="n"/>
      <c r="J524" s="9" t="n"/>
    </row>
    <row r="525">
      <c r="A525" s="9" t="n"/>
      <c r="B525" s="19" t="n"/>
      <c r="C525" s="9" t="n"/>
      <c r="D525" s="9" t="n"/>
      <c r="E525" s="9" t="n"/>
      <c r="F525" s="10" t="n"/>
      <c r="G525" s="12">
        <f>IF($A525="",0,IF($I525="",0,$F525))</f>
        <v/>
      </c>
      <c r="H525" s="12">
        <f>IF($A525="","",$F525-$G525)</f>
        <v/>
      </c>
      <c r="I525" s="9" t="n"/>
      <c r="J525" s="9" t="n"/>
    </row>
    <row r="526">
      <c r="A526" s="9" t="n"/>
      <c r="B526" s="19" t="n"/>
      <c r="C526" s="9" t="n"/>
      <c r="D526" s="9" t="n"/>
      <c r="E526" s="9" t="n"/>
      <c r="F526" s="10" t="n"/>
      <c r="G526" s="12">
        <f>IF($A526="",0,IF($I526="",0,$F526))</f>
        <v/>
      </c>
      <c r="H526" s="12">
        <f>IF($A526="","",$F526-$G526)</f>
        <v/>
      </c>
      <c r="I526" s="9" t="n"/>
      <c r="J526" s="9" t="n"/>
    </row>
    <row r="527">
      <c r="A527" s="9" t="n"/>
      <c r="B527" s="19" t="n"/>
      <c r="C527" s="9" t="n"/>
      <c r="D527" s="9" t="n"/>
      <c r="E527" s="9" t="n"/>
      <c r="F527" s="10" t="n"/>
      <c r="G527" s="12">
        <f>IF($A527="",0,IF($I527="",0,$F527))</f>
        <v/>
      </c>
      <c r="H527" s="12">
        <f>IF($A527="","",$F527-$G527)</f>
        <v/>
      </c>
      <c r="I527" s="9" t="n"/>
      <c r="J527" s="9" t="n"/>
    </row>
    <row r="528">
      <c r="A528" s="9" t="n"/>
      <c r="B528" s="19" t="n"/>
      <c r="C528" s="9" t="n"/>
      <c r="D528" s="9" t="n"/>
      <c r="E528" s="9" t="n"/>
      <c r="F528" s="10" t="n"/>
      <c r="G528" s="12">
        <f>IF($A528="",0,IF($I528="",0,$F528))</f>
        <v/>
      </c>
      <c r="H528" s="12">
        <f>IF($A528="","",$F528-$G528)</f>
        <v/>
      </c>
      <c r="I528" s="9" t="n"/>
      <c r="J528" s="9" t="n"/>
    </row>
    <row r="529">
      <c r="A529" s="9" t="n"/>
      <c r="B529" s="19" t="n"/>
      <c r="C529" s="9" t="n"/>
      <c r="D529" s="9" t="n"/>
      <c r="E529" s="9" t="n"/>
      <c r="F529" s="10" t="n"/>
      <c r="G529" s="12">
        <f>IF($A529="",0,IF($I529="",0,$F529))</f>
        <v/>
      </c>
      <c r="H529" s="12">
        <f>IF($A529="","",$F529-$G529)</f>
        <v/>
      </c>
      <c r="I529" s="9" t="n"/>
      <c r="J529" s="9" t="n"/>
    </row>
    <row r="530">
      <c r="A530" s="9" t="n"/>
      <c r="B530" s="19" t="n"/>
      <c r="C530" s="9" t="n"/>
      <c r="D530" s="9" t="n"/>
      <c r="E530" s="9" t="n"/>
      <c r="F530" s="10" t="n"/>
      <c r="G530" s="12">
        <f>IF($A530="",0,IF($I530="",0,$F530))</f>
        <v/>
      </c>
      <c r="H530" s="12">
        <f>IF($A530="","",$F530-$G530)</f>
        <v/>
      </c>
      <c r="I530" s="9" t="n"/>
      <c r="J530" s="9" t="n"/>
    </row>
    <row r="531">
      <c r="A531" s="9" t="n"/>
      <c r="B531" s="19" t="n"/>
      <c r="C531" s="9" t="n"/>
      <c r="D531" s="9" t="n"/>
      <c r="E531" s="9" t="n"/>
      <c r="F531" s="10" t="n"/>
      <c r="G531" s="12">
        <f>IF($A531="",0,IF($I531="",0,$F531))</f>
        <v/>
      </c>
      <c r="H531" s="12">
        <f>IF($A531="","",$F531-$G531)</f>
        <v/>
      </c>
      <c r="I531" s="9" t="n"/>
      <c r="J531" s="9" t="n"/>
    </row>
    <row r="532">
      <c r="A532" s="9" t="n"/>
      <c r="B532" s="19" t="n"/>
      <c r="C532" s="9" t="n"/>
      <c r="D532" s="9" t="n"/>
      <c r="E532" s="9" t="n"/>
      <c r="F532" s="10" t="n"/>
      <c r="G532" s="12">
        <f>IF($A532="",0,IF($I532="",0,$F532))</f>
        <v/>
      </c>
      <c r="H532" s="12">
        <f>IF($A532="","",$F532-$G532)</f>
        <v/>
      </c>
      <c r="I532" s="9" t="n"/>
      <c r="J532" s="9" t="n"/>
    </row>
    <row r="533">
      <c r="A533" s="9" t="n"/>
      <c r="B533" s="19" t="n"/>
      <c r="C533" s="9" t="n"/>
      <c r="D533" s="9" t="n"/>
      <c r="E533" s="9" t="n"/>
      <c r="F533" s="10" t="n"/>
      <c r="G533" s="12">
        <f>IF($A533="",0,IF($I533="",0,$F533))</f>
        <v/>
      </c>
      <c r="H533" s="12">
        <f>IF($A533="","",$F533-$G533)</f>
        <v/>
      </c>
      <c r="I533" s="9" t="n"/>
      <c r="J533" s="9" t="n"/>
    </row>
    <row r="534">
      <c r="A534" s="9" t="n"/>
      <c r="B534" s="19" t="n"/>
      <c r="C534" s="9" t="n"/>
      <c r="D534" s="9" t="n"/>
      <c r="E534" s="9" t="n"/>
      <c r="F534" s="10" t="n"/>
      <c r="G534" s="12">
        <f>IF($A534="",0,IF($I534="",0,$F534))</f>
        <v/>
      </c>
      <c r="H534" s="12">
        <f>IF($A534="","",$F534-$G534)</f>
        <v/>
      </c>
      <c r="I534" s="9" t="n"/>
      <c r="J534" s="9" t="n"/>
    </row>
    <row r="535">
      <c r="A535" s="9" t="n"/>
      <c r="B535" s="19" t="n"/>
      <c r="C535" s="9" t="n"/>
      <c r="D535" s="9" t="n"/>
      <c r="E535" s="9" t="n"/>
      <c r="F535" s="10" t="n"/>
      <c r="G535" s="12">
        <f>IF($A535="",0,IF($I535="",0,$F535))</f>
        <v/>
      </c>
      <c r="H535" s="12">
        <f>IF($A535="","",$F535-$G535)</f>
        <v/>
      </c>
      <c r="I535" s="9" t="n"/>
      <c r="J535" s="9" t="n"/>
    </row>
    <row r="536">
      <c r="A536" s="9" t="n"/>
      <c r="B536" s="19" t="n"/>
      <c r="C536" s="9" t="n"/>
      <c r="D536" s="9" t="n"/>
      <c r="E536" s="9" t="n"/>
      <c r="F536" s="10" t="n"/>
      <c r="G536" s="12">
        <f>IF($A536="",0,IF($I536="",0,$F536))</f>
        <v/>
      </c>
      <c r="H536" s="12">
        <f>IF($A536="","",$F536-$G536)</f>
        <v/>
      </c>
      <c r="I536" s="9" t="n"/>
      <c r="J536" s="9" t="n"/>
    </row>
    <row r="537">
      <c r="A537" s="9" t="n"/>
      <c r="B537" s="19" t="n"/>
      <c r="C537" s="9" t="n"/>
      <c r="D537" s="9" t="n"/>
      <c r="E537" s="9" t="n"/>
      <c r="F537" s="10" t="n"/>
      <c r="G537" s="12">
        <f>IF($A537="",0,IF($I537="",0,$F537))</f>
        <v/>
      </c>
      <c r="H537" s="12">
        <f>IF($A537="","",$F537-$G537)</f>
        <v/>
      </c>
      <c r="I537" s="9" t="n"/>
      <c r="J537" s="9" t="n"/>
    </row>
    <row r="538">
      <c r="A538" s="9" t="n"/>
      <c r="B538" s="19" t="n"/>
      <c r="C538" s="9" t="n"/>
      <c r="D538" s="9" t="n"/>
      <c r="E538" s="9" t="n"/>
      <c r="F538" s="10" t="n"/>
      <c r="G538" s="12">
        <f>IF($A538="",0,IF($I538="",0,$F538))</f>
        <v/>
      </c>
      <c r="H538" s="12">
        <f>IF($A538="","",$F538-$G538)</f>
        <v/>
      </c>
      <c r="I538" s="9" t="n"/>
      <c r="J538" s="9" t="n"/>
    </row>
    <row r="539">
      <c r="A539" s="9" t="n"/>
      <c r="B539" s="19" t="n"/>
      <c r="C539" s="9" t="n"/>
      <c r="D539" s="9" t="n"/>
      <c r="E539" s="9" t="n"/>
      <c r="F539" s="10" t="n"/>
      <c r="G539" s="12">
        <f>IF($A539="",0,IF($I539="",0,$F539))</f>
        <v/>
      </c>
      <c r="H539" s="12">
        <f>IF($A539="","",$F539-$G539)</f>
        <v/>
      </c>
      <c r="I539" s="9" t="n"/>
      <c r="J539" s="9" t="n"/>
    </row>
    <row r="540">
      <c r="A540" s="9" t="n"/>
      <c r="B540" s="19" t="n"/>
      <c r="C540" s="9" t="n"/>
      <c r="D540" s="9" t="n"/>
      <c r="E540" s="9" t="n"/>
      <c r="F540" s="10" t="n"/>
      <c r="G540" s="12">
        <f>IF($A540="",0,IF($I540="",0,$F540))</f>
        <v/>
      </c>
      <c r="H540" s="12">
        <f>IF($A540="","",$F540-$G540)</f>
        <v/>
      </c>
      <c r="I540" s="9" t="n"/>
      <c r="J540" s="9" t="n"/>
    </row>
    <row r="541">
      <c r="A541" s="9" t="n"/>
      <c r="B541" s="19" t="n"/>
      <c r="C541" s="9" t="n"/>
      <c r="D541" s="9" t="n"/>
      <c r="E541" s="9" t="n"/>
      <c r="F541" s="10" t="n"/>
      <c r="G541" s="12">
        <f>IF($A541="",0,IF($I541="",0,$F541))</f>
        <v/>
      </c>
      <c r="H541" s="12">
        <f>IF($A541="","",$F541-$G541)</f>
        <v/>
      </c>
      <c r="I541" s="9" t="n"/>
      <c r="J541" s="9" t="n"/>
    </row>
    <row r="542">
      <c r="A542" s="9" t="n"/>
      <c r="B542" s="19" t="n"/>
      <c r="C542" s="9" t="n"/>
      <c r="D542" s="9" t="n"/>
      <c r="E542" s="9" t="n"/>
      <c r="F542" s="10" t="n"/>
      <c r="G542" s="12">
        <f>IF($A542="",0,IF($I542="",0,$F542))</f>
        <v/>
      </c>
      <c r="H542" s="12">
        <f>IF($A542="","",$F542-$G542)</f>
        <v/>
      </c>
      <c r="I542" s="9" t="n"/>
      <c r="J542" s="9" t="n"/>
    </row>
    <row r="543">
      <c r="A543" s="9" t="n"/>
      <c r="B543" s="19" t="n"/>
      <c r="C543" s="9" t="n"/>
      <c r="D543" s="9" t="n"/>
      <c r="E543" s="9" t="n"/>
      <c r="F543" s="10" t="n"/>
      <c r="G543" s="12">
        <f>IF($A543="",0,IF($I543="",0,$F543))</f>
        <v/>
      </c>
      <c r="H543" s="12">
        <f>IF($A543="","",$F543-$G543)</f>
        <v/>
      </c>
      <c r="I543" s="9" t="n"/>
      <c r="J543" s="9" t="n"/>
    </row>
    <row r="544">
      <c r="A544" s="9" t="n"/>
      <c r="B544" s="19" t="n"/>
      <c r="C544" s="9" t="n"/>
      <c r="D544" s="9" t="n"/>
      <c r="E544" s="9" t="n"/>
      <c r="F544" s="10" t="n"/>
      <c r="G544" s="12">
        <f>IF($A544="",0,IF($I544="",0,$F544))</f>
        <v/>
      </c>
      <c r="H544" s="12">
        <f>IF($A544="","",$F544-$G544)</f>
        <v/>
      </c>
      <c r="I544" s="9" t="n"/>
      <c r="J544" s="9" t="n"/>
    </row>
    <row r="545">
      <c r="A545" s="9" t="n"/>
      <c r="B545" s="19" t="n"/>
      <c r="C545" s="9" t="n"/>
      <c r="D545" s="9" t="n"/>
      <c r="E545" s="9" t="n"/>
      <c r="F545" s="10" t="n"/>
      <c r="G545" s="12">
        <f>IF($A545="",0,IF($I545="",0,$F545))</f>
        <v/>
      </c>
      <c r="H545" s="12">
        <f>IF($A545="","",$F545-$G545)</f>
        <v/>
      </c>
      <c r="I545" s="9" t="n"/>
      <c r="J545" s="9" t="n"/>
    </row>
    <row r="546">
      <c r="A546" s="9" t="n"/>
      <c r="B546" s="19" t="n"/>
      <c r="C546" s="9" t="n"/>
      <c r="D546" s="9" t="n"/>
      <c r="E546" s="9" t="n"/>
      <c r="F546" s="10" t="n"/>
      <c r="G546" s="12">
        <f>IF($A546="",0,IF($I546="",0,$F546))</f>
        <v/>
      </c>
      <c r="H546" s="12">
        <f>IF($A546="","",$F546-$G546)</f>
        <v/>
      </c>
      <c r="I546" s="9" t="n"/>
      <c r="J546" s="9" t="n"/>
    </row>
    <row r="547">
      <c r="A547" s="9" t="n"/>
      <c r="B547" s="19" t="n"/>
      <c r="C547" s="9" t="n"/>
      <c r="D547" s="9" t="n"/>
      <c r="E547" s="9" t="n"/>
      <c r="F547" s="10" t="n"/>
      <c r="G547" s="12">
        <f>IF($A547="",0,IF($I547="",0,$F547))</f>
        <v/>
      </c>
      <c r="H547" s="12">
        <f>IF($A547="","",$F547-$G547)</f>
        <v/>
      </c>
      <c r="I547" s="9" t="n"/>
      <c r="J547" s="9" t="n"/>
    </row>
    <row r="548">
      <c r="A548" s="9" t="n"/>
      <c r="B548" s="19" t="n"/>
      <c r="C548" s="9" t="n"/>
      <c r="D548" s="9" t="n"/>
      <c r="E548" s="9" t="n"/>
      <c r="F548" s="10" t="n"/>
      <c r="G548" s="12">
        <f>IF($A548="",0,IF($I548="",0,$F548))</f>
        <v/>
      </c>
      <c r="H548" s="12">
        <f>IF($A548="","",$F548-$G548)</f>
        <v/>
      </c>
      <c r="I548" s="9" t="n"/>
      <c r="J548" s="9" t="n"/>
    </row>
    <row r="549">
      <c r="A549" s="9" t="n"/>
      <c r="B549" s="19" t="n"/>
      <c r="C549" s="9" t="n"/>
      <c r="D549" s="9" t="n"/>
      <c r="E549" s="9" t="n"/>
      <c r="F549" s="10" t="n"/>
      <c r="G549" s="12">
        <f>IF($A549="",0,IF($I549="",0,$F549))</f>
        <v/>
      </c>
      <c r="H549" s="12">
        <f>IF($A549="","",$F549-$G549)</f>
        <v/>
      </c>
      <c r="I549" s="9" t="n"/>
      <c r="J549" s="9" t="n"/>
    </row>
    <row r="550">
      <c r="A550" s="9" t="n"/>
      <c r="B550" s="19" t="n"/>
      <c r="C550" s="9" t="n"/>
      <c r="D550" s="9" t="n"/>
      <c r="E550" s="9" t="n"/>
      <c r="F550" s="10" t="n"/>
      <c r="G550" s="12">
        <f>IF($A550="",0,IF($I550="",0,$F550))</f>
        <v/>
      </c>
      <c r="H550" s="12">
        <f>IF($A550="","",$F550-$G550)</f>
        <v/>
      </c>
      <c r="I550" s="9" t="n"/>
      <c r="J550" s="9" t="n"/>
    </row>
    <row r="551">
      <c r="A551" s="9" t="n"/>
      <c r="B551" s="19" t="n"/>
      <c r="C551" s="9" t="n"/>
      <c r="D551" s="9" t="n"/>
      <c r="E551" s="9" t="n"/>
      <c r="F551" s="10" t="n"/>
      <c r="G551" s="12">
        <f>IF($A551="",0,IF($I551="",0,$F551))</f>
        <v/>
      </c>
      <c r="H551" s="12">
        <f>IF($A551="","",$F551-$G551)</f>
        <v/>
      </c>
      <c r="I551" s="9" t="n"/>
      <c r="J551" s="9" t="n"/>
    </row>
    <row r="552">
      <c r="A552" s="9" t="n"/>
      <c r="B552" s="19" t="n"/>
      <c r="C552" s="9" t="n"/>
      <c r="D552" s="9" t="n"/>
      <c r="E552" s="9" t="n"/>
      <c r="F552" s="10" t="n"/>
      <c r="G552" s="12">
        <f>IF($A552="",0,IF($I552="",0,$F552))</f>
        <v/>
      </c>
      <c r="H552" s="12">
        <f>IF($A552="","",$F552-$G552)</f>
        <v/>
      </c>
      <c r="I552" s="9" t="n"/>
      <c r="J552" s="9" t="n"/>
    </row>
    <row r="553">
      <c r="A553" s="9" t="n"/>
      <c r="B553" s="19" t="n"/>
      <c r="C553" s="9" t="n"/>
      <c r="D553" s="9" t="n"/>
      <c r="E553" s="9" t="n"/>
      <c r="F553" s="10" t="n"/>
      <c r="G553" s="12">
        <f>IF($A553="",0,IF($I553="",0,$F553))</f>
        <v/>
      </c>
      <c r="H553" s="12">
        <f>IF($A553="","",$F553-$G553)</f>
        <v/>
      </c>
      <c r="I553" s="9" t="n"/>
      <c r="J553" s="9" t="n"/>
    </row>
    <row r="554">
      <c r="A554" s="9" t="n"/>
      <c r="B554" s="19" t="n"/>
      <c r="C554" s="9" t="n"/>
      <c r="D554" s="9" t="n"/>
      <c r="E554" s="9" t="n"/>
      <c r="F554" s="10" t="n"/>
      <c r="G554" s="12">
        <f>IF($A554="",0,IF($I554="",0,$F554))</f>
        <v/>
      </c>
      <c r="H554" s="12">
        <f>IF($A554="","",$F554-$G554)</f>
        <v/>
      </c>
      <c r="I554" s="9" t="n"/>
      <c r="J554" s="9" t="n"/>
    </row>
    <row r="555">
      <c r="A555" s="9" t="n"/>
      <c r="B555" s="19" t="n"/>
      <c r="C555" s="9" t="n"/>
      <c r="D555" s="9" t="n"/>
      <c r="E555" s="9" t="n"/>
      <c r="F555" s="10" t="n"/>
      <c r="G555" s="12">
        <f>IF($A555="",0,IF($I555="",0,$F555))</f>
        <v/>
      </c>
      <c r="H555" s="12">
        <f>IF($A555="","",$F555-$G555)</f>
        <v/>
      </c>
      <c r="I555" s="9" t="n"/>
      <c r="J555" s="9" t="n"/>
    </row>
    <row r="556">
      <c r="A556" s="9" t="n"/>
      <c r="B556" s="19" t="n"/>
      <c r="C556" s="9" t="n"/>
      <c r="D556" s="9" t="n"/>
      <c r="E556" s="9" t="n"/>
      <c r="F556" s="10" t="n"/>
      <c r="G556" s="12">
        <f>IF($A556="",0,IF($I556="",0,$F556))</f>
        <v/>
      </c>
      <c r="H556" s="12">
        <f>IF($A556="","",$F556-$G556)</f>
        <v/>
      </c>
      <c r="I556" s="9" t="n"/>
      <c r="J556" s="9" t="n"/>
    </row>
    <row r="557">
      <c r="A557" s="9" t="n"/>
      <c r="B557" s="19" t="n"/>
      <c r="C557" s="9" t="n"/>
      <c r="D557" s="9" t="n"/>
      <c r="E557" s="9" t="n"/>
      <c r="F557" s="10" t="n"/>
      <c r="G557" s="12">
        <f>IF($A557="",0,IF($I557="",0,$F557))</f>
        <v/>
      </c>
      <c r="H557" s="12">
        <f>IF($A557="","",$F557-$G557)</f>
        <v/>
      </c>
      <c r="I557" s="9" t="n"/>
      <c r="J557" s="9" t="n"/>
    </row>
    <row r="558">
      <c r="A558" s="9" t="n"/>
      <c r="B558" s="19" t="n"/>
      <c r="C558" s="9" t="n"/>
      <c r="D558" s="9" t="n"/>
      <c r="E558" s="9" t="n"/>
      <c r="F558" s="10" t="n"/>
      <c r="G558" s="12">
        <f>IF($A558="",0,IF($I558="",0,$F558))</f>
        <v/>
      </c>
      <c r="H558" s="12">
        <f>IF($A558="","",$F558-$G558)</f>
        <v/>
      </c>
      <c r="I558" s="9" t="n"/>
      <c r="J558" s="9" t="n"/>
    </row>
    <row r="559">
      <c r="A559" s="9" t="n"/>
      <c r="B559" s="19" t="n"/>
      <c r="C559" s="9" t="n"/>
      <c r="D559" s="9" t="n"/>
      <c r="E559" s="9" t="n"/>
      <c r="F559" s="10" t="n"/>
      <c r="G559" s="12">
        <f>IF($A559="",0,IF($I559="",0,$F559))</f>
        <v/>
      </c>
      <c r="H559" s="12">
        <f>IF($A559="","",$F559-$G559)</f>
        <v/>
      </c>
      <c r="I559" s="9" t="n"/>
      <c r="J559" s="9" t="n"/>
    </row>
    <row r="560">
      <c r="A560" s="9" t="n"/>
      <c r="B560" s="19" t="n"/>
      <c r="C560" s="9" t="n"/>
      <c r="D560" s="9" t="n"/>
      <c r="E560" s="9" t="n"/>
      <c r="F560" s="10" t="n"/>
      <c r="G560" s="12">
        <f>IF($A560="",0,IF($I560="",0,$F560))</f>
        <v/>
      </c>
      <c r="H560" s="12">
        <f>IF($A560="","",$F560-$G560)</f>
        <v/>
      </c>
      <c r="I560" s="9" t="n"/>
      <c r="J560" s="9" t="n"/>
    </row>
    <row r="561">
      <c r="A561" s="9" t="n"/>
      <c r="B561" s="19" t="n"/>
      <c r="C561" s="9" t="n"/>
      <c r="D561" s="9" t="n"/>
      <c r="E561" s="9" t="n"/>
      <c r="F561" s="10" t="n"/>
      <c r="G561" s="12">
        <f>IF($A561="",0,IF($I561="",0,$F561))</f>
        <v/>
      </c>
      <c r="H561" s="12">
        <f>IF($A561="","",$F561-$G561)</f>
        <v/>
      </c>
      <c r="I561" s="9" t="n"/>
      <c r="J561" s="9" t="n"/>
    </row>
    <row r="562">
      <c r="A562" s="9" t="n"/>
      <c r="B562" s="19" t="n"/>
      <c r="C562" s="9" t="n"/>
      <c r="D562" s="9" t="n"/>
      <c r="E562" s="9" t="n"/>
      <c r="F562" s="10" t="n"/>
      <c r="G562" s="12">
        <f>IF($A562="",0,IF($I562="",0,$F562))</f>
        <v/>
      </c>
      <c r="H562" s="12">
        <f>IF($A562="","",$F562-$G562)</f>
        <v/>
      </c>
      <c r="I562" s="9" t="n"/>
      <c r="J562" s="9" t="n"/>
    </row>
    <row r="563">
      <c r="A563" s="9" t="n"/>
      <c r="B563" s="19" t="n"/>
      <c r="C563" s="9" t="n"/>
      <c r="D563" s="9" t="n"/>
      <c r="E563" s="9" t="n"/>
      <c r="F563" s="10" t="n"/>
      <c r="G563" s="12">
        <f>IF($A563="",0,IF($I563="",0,$F563))</f>
        <v/>
      </c>
      <c r="H563" s="12">
        <f>IF($A563="","",$F563-$G563)</f>
        <v/>
      </c>
      <c r="I563" s="9" t="n"/>
      <c r="J563" s="9" t="n"/>
    </row>
    <row r="564">
      <c r="A564" s="9" t="n"/>
      <c r="B564" s="19" t="n"/>
      <c r="C564" s="9" t="n"/>
      <c r="D564" s="9" t="n"/>
      <c r="E564" s="9" t="n"/>
      <c r="F564" s="10" t="n"/>
      <c r="G564" s="12">
        <f>IF($A564="",0,IF($I564="",0,$F564))</f>
        <v/>
      </c>
      <c r="H564" s="12">
        <f>IF($A564="","",$F564-$G564)</f>
        <v/>
      </c>
      <c r="I564" s="9" t="n"/>
      <c r="J564" s="9" t="n"/>
    </row>
    <row r="565">
      <c r="A565" s="9" t="n"/>
      <c r="B565" s="19" t="n"/>
      <c r="C565" s="9" t="n"/>
      <c r="D565" s="9" t="n"/>
      <c r="E565" s="9" t="n"/>
      <c r="F565" s="10" t="n"/>
      <c r="G565" s="12">
        <f>IF($A565="",0,IF($I565="",0,$F565))</f>
        <v/>
      </c>
      <c r="H565" s="12">
        <f>IF($A565="","",$F565-$G565)</f>
        <v/>
      </c>
      <c r="I565" s="9" t="n"/>
      <c r="J565" s="9" t="n"/>
    </row>
    <row r="566">
      <c r="A566" s="9" t="n"/>
      <c r="B566" s="19" t="n"/>
      <c r="C566" s="9" t="n"/>
      <c r="D566" s="9" t="n"/>
      <c r="E566" s="9" t="n"/>
      <c r="F566" s="10" t="n"/>
      <c r="G566" s="12">
        <f>IF($A566="",0,IF($I566="",0,$F566))</f>
        <v/>
      </c>
      <c r="H566" s="12">
        <f>IF($A566="","",$F566-$G566)</f>
        <v/>
      </c>
      <c r="I566" s="9" t="n"/>
      <c r="J566" s="9" t="n"/>
    </row>
    <row r="567">
      <c r="A567" s="9" t="n"/>
      <c r="B567" s="19" t="n"/>
      <c r="C567" s="9" t="n"/>
      <c r="D567" s="9" t="n"/>
      <c r="E567" s="9" t="n"/>
      <c r="F567" s="10" t="n"/>
      <c r="G567" s="12">
        <f>IF($A567="",0,IF($I567="",0,$F567))</f>
        <v/>
      </c>
      <c r="H567" s="12">
        <f>IF($A567="","",$F567-$G567)</f>
        <v/>
      </c>
      <c r="I567" s="9" t="n"/>
      <c r="J567" s="9" t="n"/>
    </row>
    <row r="568">
      <c r="A568" s="9" t="n"/>
      <c r="B568" s="19" t="n"/>
      <c r="C568" s="9" t="n"/>
      <c r="D568" s="9" t="n"/>
      <c r="E568" s="9" t="n"/>
      <c r="F568" s="10" t="n"/>
      <c r="G568" s="12">
        <f>IF($A568="",0,IF($I568="",0,$F568))</f>
        <v/>
      </c>
      <c r="H568" s="12">
        <f>IF($A568="","",$F568-$G568)</f>
        <v/>
      </c>
      <c r="I568" s="9" t="n"/>
      <c r="J568" s="9" t="n"/>
    </row>
    <row r="569">
      <c r="A569" s="9" t="n"/>
      <c r="B569" s="19" t="n"/>
      <c r="C569" s="9" t="n"/>
      <c r="D569" s="9" t="n"/>
      <c r="E569" s="9" t="n"/>
      <c r="F569" s="10" t="n"/>
      <c r="G569" s="12">
        <f>IF($A569="",0,IF($I569="",0,$F569))</f>
        <v/>
      </c>
      <c r="H569" s="12">
        <f>IF($A569="","",$F569-$G569)</f>
        <v/>
      </c>
      <c r="I569" s="9" t="n"/>
      <c r="J569" s="9" t="n"/>
    </row>
    <row r="570">
      <c r="A570" s="9" t="n"/>
      <c r="B570" s="19" t="n"/>
      <c r="C570" s="9" t="n"/>
      <c r="D570" s="9" t="n"/>
      <c r="E570" s="9" t="n"/>
      <c r="F570" s="10" t="n"/>
      <c r="G570" s="12">
        <f>IF($A570="",0,IF($I570="",0,$F570))</f>
        <v/>
      </c>
      <c r="H570" s="12">
        <f>IF($A570="","",$F570-$G570)</f>
        <v/>
      </c>
      <c r="I570" s="9" t="n"/>
      <c r="J570" s="9" t="n"/>
    </row>
    <row r="571">
      <c r="A571" s="9" t="n"/>
      <c r="B571" s="19" t="n"/>
      <c r="C571" s="9" t="n"/>
      <c r="D571" s="9" t="n"/>
      <c r="E571" s="9" t="n"/>
      <c r="F571" s="10" t="n"/>
      <c r="G571" s="12">
        <f>IF($A571="",0,IF($I571="",0,$F571))</f>
        <v/>
      </c>
      <c r="H571" s="12">
        <f>IF($A571="","",$F571-$G571)</f>
        <v/>
      </c>
      <c r="I571" s="9" t="n"/>
      <c r="J571" s="9" t="n"/>
    </row>
    <row r="572">
      <c r="A572" s="9" t="n"/>
      <c r="B572" s="19" t="n"/>
      <c r="C572" s="9" t="n"/>
      <c r="D572" s="9" t="n"/>
      <c r="E572" s="9" t="n"/>
      <c r="F572" s="10" t="n"/>
      <c r="G572" s="12">
        <f>IF($A572="",0,IF($I572="",0,$F572))</f>
        <v/>
      </c>
      <c r="H572" s="12">
        <f>IF($A572="","",$F572-$G572)</f>
        <v/>
      </c>
      <c r="I572" s="9" t="n"/>
      <c r="J572" s="9" t="n"/>
    </row>
    <row r="573">
      <c r="A573" s="9" t="n"/>
      <c r="B573" s="19" t="n"/>
      <c r="C573" s="9" t="n"/>
      <c r="D573" s="9" t="n"/>
      <c r="E573" s="9" t="n"/>
      <c r="F573" s="10" t="n"/>
      <c r="G573" s="12">
        <f>IF($A573="",0,IF($I573="",0,$F573))</f>
        <v/>
      </c>
      <c r="H573" s="12">
        <f>IF($A573="","",$F573-$G573)</f>
        <v/>
      </c>
      <c r="I573" s="9" t="n"/>
      <c r="J573" s="9" t="n"/>
    </row>
    <row r="574">
      <c r="A574" s="9" t="n"/>
      <c r="B574" s="19" t="n"/>
      <c r="C574" s="9" t="n"/>
      <c r="D574" s="9" t="n"/>
      <c r="E574" s="9" t="n"/>
      <c r="F574" s="10" t="n"/>
      <c r="G574" s="12">
        <f>IF($A574="",0,IF($I574="",0,$F574))</f>
        <v/>
      </c>
      <c r="H574" s="12">
        <f>IF($A574="","",$F574-$G574)</f>
        <v/>
      </c>
      <c r="I574" s="9" t="n"/>
      <c r="J574" s="9" t="n"/>
    </row>
    <row r="575">
      <c r="A575" s="9" t="n"/>
      <c r="B575" s="19" t="n"/>
      <c r="C575" s="9" t="n"/>
      <c r="D575" s="9" t="n"/>
      <c r="E575" s="9" t="n"/>
      <c r="F575" s="10" t="n"/>
      <c r="G575" s="12">
        <f>IF($A575="",0,IF($I575="",0,$F575))</f>
        <v/>
      </c>
      <c r="H575" s="12">
        <f>IF($A575="","",$F575-$G575)</f>
        <v/>
      </c>
      <c r="I575" s="9" t="n"/>
      <c r="J575" s="9" t="n"/>
    </row>
    <row r="576">
      <c r="A576" s="9" t="n"/>
      <c r="B576" s="19" t="n"/>
      <c r="C576" s="9" t="n"/>
      <c r="D576" s="9" t="n"/>
      <c r="E576" s="9" t="n"/>
      <c r="F576" s="10" t="n"/>
      <c r="G576" s="12">
        <f>IF($A576="",0,IF($I576="",0,$F576))</f>
        <v/>
      </c>
      <c r="H576" s="12">
        <f>IF($A576="","",$F576-$G576)</f>
        <v/>
      </c>
      <c r="I576" s="9" t="n"/>
      <c r="J576" s="9" t="n"/>
    </row>
    <row r="577">
      <c r="A577" s="9" t="n"/>
      <c r="B577" s="19" t="n"/>
      <c r="C577" s="9" t="n"/>
      <c r="D577" s="9" t="n"/>
      <c r="E577" s="9" t="n"/>
      <c r="F577" s="10" t="n"/>
      <c r="G577" s="12">
        <f>IF($A577="",0,IF($I577="",0,$F577))</f>
        <v/>
      </c>
      <c r="H577" s="12">
        <f>IF($A577="","",$F577-$G577)</f>
        <v/>
      </c>
      <c r="I577" s="9" t="n"/>
      <c r="J577" s="9" t="n"/>
    </row>
    <row r="578">
      <c r="A578" s="9" t="n"/>
      <c r="B578" s="19" t="n"/>
      <c r="C578" s="9" t="n"/>
      <c r="D578" s="9" t="n"/>
      <c r="E578" s="9" t="n"/>
      <c r="F578" s="10" t="n"/>
      <c r="G578" s="12">
        <f>IF($A578="",0,IF($I578="",0,$F578))</f>
        <v/>
      </c>
      <c r="H578" s="12">
        <f>IF($A578="","",$F578-$G578)</f>
        <v/>
      </c>
      <c r="I578" s="9" t="n"/>
      <c r="J578" s="9" t="n"/>
    </row>
    <row r="579">
      <c r="A579" s="9" t="n"/>
      <c r="B579" s="19" t="n"/>
      <c r="C579" s="9" t="n"/>
      <c r="D579" s="9" t="n"/>
      <c r="E579" s="9" t="n"/>
      <c r="F579" s="10" t="n"/>
      <c r="G579" s="12">
        <f>IF($A579="",0,IF($I579="",0,$F579))</f>
        <v/>
      </c>
      <c r="H579" s="12">
        <f>IF($A579="","",$F579-$G579)</f>
        <v/>
      </c>
      <c r="I579" s="9" t="n"/>
      <c r="J579" s="9" t="n"/>
    </row>
    <row r="580">
      <c r="A580" s="9" t="n"/>
      <c r="B580" s="19" t="n"/>
      <c r="C580" s="9" t="n"/>
      <c r="D580" s="9" t="n"/>
      <c r="E580" s="9" t="n"/>
      <c r="F580" s="10" t="n"/>
      <c r="G580" s="12">
        <f>IF($A580="",0,IF($I580="",0,$F580))</f>
        <v/>
      </c>
      <c r="H580" s="12">
        <f>IF($A580="","",$F580-$G580)</f>
        <v/>
      </c>
      <c r="I580" s="9" t="n"/>
      <c r="J580" s="9" t="n"/>
    </row>
    <row r="581">
      <c r="A581" s="9" t="n"/>
      <c r="B581" s="19" t="n"/>
      <c r="C581" s="9" t="n"/>
      <c r="D581" s="9" t="n"/>
      <c r="E581" s="9" t="n"/>
      <c r="F581" s="10" t="n"/>
      <c r="G581" s="12">
        <f>IF($A581="",0,IF($I581="",0,$F581))</f>
        <v/>
      </c>
      <c r="H581" s="12">
        <f>IF($A581="","",$F581-$G581)</f>
        <v/>
      </c>
      <c r="I581" s="9" t="n"/>
      <c r="J581" s="9" t="n"/>
    </row>
    <row r="582">
      <c r="A582" s="9" t="n"/>
      <c r="B582" s="19" t="n"/>
      <c r="C582" s="9" t="n"/>
      <c r="D582" s="9" t="n"/>
      <c r="E582" s="9" t="n"/>
      <c r="F582" s="10" t="n"/>
      <c r="G582" s="12">
        <f>IF($A582="",0,IF($I582="",0,$F582))</f>
        <v/>
      </c>
      <c r="H582" s="12">
        <f>IF($A582="","",$F582-$G582)</f>
        <v/>
      </c>
      <c r="I582" s="9" t="n"/>
      <c r="J582" s="9" t="n"/>
    </row>
    <row r="583">
      <c r="A583" s="9" t="n"/>
      <c r="B583" s="19" t="n"/>
      <c r="C583" s="9" t="n"/>
      <c r="D583" s="9" t="n"/>
      <c r="E583" s="9" t="n"/>
      <c r="F583" s="10" t="n"/>
      <c r="G583" s="12">
        <f>IF($A583="",0,IF($I583="",0,$F583))</f>
        <v/>
      </c>
      <c r="H583" s="12">
        <f>IF($A583="","",$F583-$G583)</f>
        <v/>
      </c>
      <c r="I583" s="9" t="n"/>
      <c r="J583" s="9" t="n"/>
    </row>
    <row r="584">
      <c r="A584" s="9" t="n"/>
      <c r="B584" s="19" t="n"/>
      <c r="C584" s="9" t="n"/>
      <c r="D584" s="9" t="n"/>
      <c r="E584" s="9" t="n"/>
      <c r="F584" s="10" t="n"/>
      <c r="G584" s="12">
        <f>IF($A584="",0,IF($I584="",0,$F584))</f>
        <v/>
      </c>
      <c r="H584" s="12">
        <f>IF($A584="","",$F584-$G584)</f>
        <v/>
      </c>
      <c r="I584" s="9" t="n"/>
      <c r="J584" s="9" t="n"/>
    </row>
    <row r="585">
      <c r="A585" s="9" t="n"/>
      <c r="B585" s="19" t="n"/>
      <c r="C585" s="9" t="n"/>
      <c r="D585" s="9" t="n"/>
      <c r="E585" s="9" t="n"/>
      <c r="F585" s="10" t="n"/>
      <c r="G585" s="12">
        <f>IF($A585="",0,IF($I585="",0,$F585))</f>
        <v/>
      </c>
      <c r="H585" s="12">
        <f>IF($A585="","",$F585-$G585)</f>
        <v/>
      </c>
      <c r="I585" s="9" t="n"/>
      <c r="J585" s="9" t="n"/>
    </row>
    <row r="586">
      <c r="A586" s="9" t="n"/>
      <c r="B586" s="19" t="n"/>
      <c r="C586" s="9" t="n"/>
      <c r="D586" s="9" t="n"/>
      <c r="E586" s="9" t="n"/>
      <c r="F586" s="10" t="n"/>
      <c r="G586" s="12">
        <f>IF($A586="",0,IF($I586="",0,$F586))</f>
        <v/>
      </c>
      <c r="H586" s="12">
        <f>IF($A586="","",$F586-$G586)</f>
        <v/>
      </c>
      <c r="I586" s="9" t="n"/>
      <c r="J586" s="9" t="n"/>
    </row>
    <row r="587">
      <c r="A587" s="9" t="n"/>
      <c r="B587" s="19" t="n"/>
      <c r="C587" s="9" t="n"/>
      <c r="D587" s="9" t="n"/>
      <c r="E587" s="9" t="n"/>
      <c r="F587" s="10" t="n"/>
      <c r="G587" s="12">
        <f>IF($A587="",0,IF($I587="",0,$F587))</f>
        <v/>
      </c>
      <c r="H587" s="12">
        <f>IF($A587="","",$F587-$G587)</f>
        <v/>
      </c>
      <c r="I587" s="9" t="n"/>
      <c r="J587" s="9" t="n"/>
    </row>
    <row r="588">
      <c r="A588" s="9" t="n"/>
      <c r="B588" s="19" t="n"/>
      <c r="C588" s="9" t="n"/>
      <c r="D588" s="9" t="n"/>
      <c r="E588" s="9" t="n"/>
      <c r="F588" s="10" t="n"/>
      <c r="G588" s="12">
        <f>IF($A588="",0,IF($I588="",0,$F588))</f>
        <v/>
      </c>
      <c r="H588" s="12">
        <f>IF($A588="","",$F588-$G588)</f>
        <v/>
      </c>
      <c r="I588" s="9" t="n"/>
      <c r="J588" s="9" t="n"/>
    </row>
    <row r="589">
      <c r="A589" s="9" t="n"/>
      <c r="B589" s="19" t="n"/>
      <c r="C589" s="9" t="n"/>
      <c r="D589" s="9" t="n"/>
      <c r="E589" s="9" t="n"/>
      <c r="F589" s="10" t="n"/>
      <c r="G589" s="12">
        <f>IF($A589="",0,IF($I589="",0,$F589))</f>
        <v/>
      </c>
      <c r="H589" s="12">
        <f>IF($A589="","",$F589-$G589)</f>
        <v/>
      </c>
      <c r="I589" s="9" t="n"/>
      <c r="J589" s="9" t="n"/>
    </row>
    <row r="590">
      <c r="A590" s="9" t="n"/>
      <c r="B590" s="19" t="n"/>
      <c r="C590" s="9" t="n"/>
      <c r="D590" s="9" t="n"/>
      <c r="E590" s="9" t="n"/>
      <c r="F590" s="10" t="n"/>
      <c r="G590" s="12">
        <f>IF($A590="",0,IF($I590="",0,$F590))</f>
        <v/>
      </c>
      <c r="H590" s="12">
        <f>IF($A590="","",$F590-$G590)</f>
        <v/>
      </c>
      <c r="I590" s="9" t="n"/>
      <c r="J590" s="9" t="n"/>
    </row>
    <row r="591">
      <c r="A591" s="9" t="n"/>
      <c r="B591" s="19" t="n"/>
      <c r="C591" s="9" t="n"/>
      <c r="D591" s="9" t="n"/>
      <c r="E591" s="9" t="n"/>
      <c r="F591" s="10" t="n"/>
      <c r="G591" s="12">
        <f>IF($A591="",0,IF($I591="",0,$F591))</f>
        <v/>
      </c>
      <c r="H591" s="12">
        <f>IF($A591="","",$F591-$G591)</f>
        <v/>
      </c>
      <c r="I591" s="9" t="n"/>
      <c r="J591" s="9" t="n"/>
    </row>
    <row r="592">
      <c r="A592" s="9" t="n"/>
      <c r="B592" s="19" t="n"/>
      <c r="C592" s="9" t="n"/>
      <c r="D592" s="9" t="n"/>
      <c r="E592" s="9" t="n"/>
      <c r="F592" s="10" t="n"/>
      <c r="G592" s="12">
        <f>IF($A592="",0,IF($I592="",0,$F592))</f>
        <v/>
      </c>
      <c r="H592" s="12">
        <f>IF($A592="","",$F592-$G592)</f>
        <v/>
      </c>
      <c r="I592" s="9" t="n"/>
      <c r="J592" s="9" t="n"/>
    </row>
    <row r="593">
      <c r="A593" s="9" t="n"/>
      <c r="B593" s="19" t="n"/>
      <c r="C593" s="9" t="n"/>
      <c r="D593" s="9" t="n"/>
      <c r="E593" s="9" t="n"/>
      <c r="F593" s="10" t="n"/>
      <c r="G593" s="12">
        <f>IF($A593="",0,IF($I593="",0,$F593))</f>
        <v/>
      </c>
      <c r="H593" s="12">
        <f>IF($A593="","",$F593-$G593)</f>
        <v/>
      </c>
      <c r="I593" s="9" t="n"/>
      <c r="J593" s="9" t="n"/>
    </row>
    <row r="594">
      <c r="A594" s="9" t="n"/>
      <c r="B594" s="19" t="n"/>
      <c r="C594" s="9" t="n"/>
      <c r="D594" s="9" t="n"/>
      <c r="E594" s="9" t="n"/>
      <c r="F594" s="10" t="n"/>
      <c r="G594" s="12">
        <f>IF($A594="",0,IF($I594="",0,$F594))</f>
        <v/>
      </c>
      <c r="H594" s="12">
        <f>IF($A594="","",$F594-$G594)</f>
        <v/>
      </c>
      <c r="I594" s="9" t="n"/>
      <c r="J594" s="9" t="n"/>
    </row>
    <row r="595">
      <c r="A595" s="9" t="n"/>
      <c r="B595" s="19" t="n"/>
      <c r="C595" s="9" t="n"/>
      <c r="D595" s="9" t="n"/>
      <c r="E595" s="9" t="n"/>
      <c r="F595" s="10" t="n"/>
      <c r="G595" s="12">
        <f>IF($A595="",0,IF($I595="",0,$F595))</f>
        <v/>
      </c>
      <c r="H595" s="12">
        <f>IF($A595="","",$F595-$G595)</f>
        <v/>
      </c>
      <c r="I595" s="9" t="n"/>
      <c r="J595" s="9" t="n"/>
    </row>
    <row r="596">
      <c r="A596" s="9" t="n"/>
      <c r="B596" s="19" t="n"/>
      <c r="C596" s="9" t="n"/>
      <c r="D596" s="9" t="n"/>
      <c r="E596" s="9" t="n"/>
      <c r="F596" s="10" t="n"/>
      <c r="G596" s="12">
        <f>IF($A596="",0,IF($I596="",0,$F596))</f>
        <v/>
      </c>
      <c r="H596" s="12">
        <f>IF($A596="","",$F596-$G596)</f>
        <v/>
      </c>
      <c r="I596" s="9" t="n"/>
      <c r="J596" s="9" t="n"/>
    </row>
    <row r="597">
      <c r="A597" s="9" t="n"/>
      <c r="B597" s="19" t="n"/>
      <c r="C597" s="9" t="n"/>
      <c r="D597" s="9" t="n"/>
      <c r="E597" s="9" t="n"/>
      <c r="F597" s="10" t="n"/>
      <c r="G597" s="12">
        <f>IF($A597="",0,IF($I597="",0,$F597))</f>
        <v/>
      </c>
      <c r="H597" s="12">
        <f>IF($A597="","",$F597-$G597)</f>
        <v/>
      </c>
      <c r="I597" s="9" t="n"/>
      <c r="J597" s="9" t="n"/>
    </row>
    <row r="598">
      <c r="A598" s="9" t="n"/>
      <c r="B598" s="19" t="n"/>
      <c r="C598" s="9" t="n"/>
      <c r="D598" s="9" t="n"/>
      <c r="E598" s="9" t="n"/>
      <c r="F598" s="10" t="n"/>
      <c r="G598" s="12">
        <f>IF($A598="",0,IF($I598="",0,$F598))</f>
        <v/>
      </c>
      <c r="H598" s="12">
        <f>IF($A598="","",$F598-$G598)</f>
        <v/>
      </c>
      <c r="I598" s="9" t="n"/>
      <c r="J598" s="9" t="n"/>
    </row>
    <row r="599">
      <c r="A599" s="9" t="n"/>
      <c r="B599" s="19" t="n"/>
      <c r="C599" s="9" t="n"/>
      <c r="D599" s="9" t="n"/>
      <c r="E599" s="9" t="n"/>
      <c r="F599" s="10" t="n"/>
      <c r="G599" s="12">
        <f>IF($A599="",0,IF($I599="",0,$F599))</f>
        <v/>
      </c>
      <c r="H599" s="12">
        <f>IF($A599="","",$F599-$G599)</f>
        <v/>
      </c>
      <c r="I599" s="9" t="n"/>
      <c r="J599" s="9" t="n"/>
    </row>
    <row r="600">
      <c r="A600" s="9" t="n"/>
      <c r="B600" s="19" t="n"/>
      <c r="C600" s="9" t="n"/>
      <c r="D600" s="9" t="n"/>
      <c r="E600" s="9" t="n"/>
      <c r="F600" s="10" t="n"/>
      <c r="G600" s="12">
        <f>IF($A600="",0,IF($I600="",0,$F600))</f>
        <v/>
      </c>
      <c r="H600" s="12">
        <f>IF($A600="","",$F600-$G600)</f>
        <v/>
      </c>
      <c r="I600" s="9" t="n"/>
      <c r="J600" s="9" t="n"/>
    </row>
    <row r="601">
      <c r="A601" s="9" t="n"/>
      <c r="B601" s="19" t="n"/>
      <c r="C601" s="9" t="n"/>
      <c r="D601" s="9" t="n"/>
      <c r="E601" s="9" t="n"/>
      <c r="F601" s="10" t="n"/>
      <c r="G601" s="12">
        <f>IF($A601="",0,IF($I601="",0,$F601))</f>
        <v/>
      </c>
      <c r="H601" s="12">
        <f>IF($A601="","",$F601-$G601)</f>
        <v/>
      </c>
      <c r="I601" s="9" t="n"/>
      <c r="J601" s="9" t="n"/>
    </row>
    <row r="602">
      <c r="A602" s="9" t="n"/>
      <c r="B602" s="19" t="n"/>
      <c r="C602" s="9" t="n"/>
      <c r="D602" s="9" t="n"/>
      <c r="E602" s="9" t="n"/>
      <c r="F602" s="10" t="n"/>
      <c r="G602" s="12">
        <f>IF($A602="",0,IF($I602="",0,$F602))</f>
        <v/>
      </c>
      <c r="H602" s="12">
        <f>IF($A602="","",$F602-$G602)</f>
        <v/>
      </c>
      <c r="I602" s="9" t="n"/>
      <c r="J602" s="9" t="n"/>
    </row>
    <row r="603">
      <c r="A603" s="9" t="n"/>
      <c r="B603" s="19" t="n"/>
      <c r="C603" s="9" t="n"/>
      <c r="D603" s="9" t="n"/>
      <c r="E603" s="9" t="n"/>
      <c r="F603" s="10" t="n"/>
      <c r="G603" s="12">
        <f>IF($A603="",0,IF($I603="",0,$F603))</f>
        <v/>
      </c>
      <c r="H603" s="12">
        <f>IF($A603="","",$F603-$G603)</f>
        <v/>
      </c>
      <c r="I603" s="9" t="n"/>
      <c r="J603" s="9" t="n"/>
    </row>
    <row r="604">
      <c r="A604" s="9" t="n"/>
      <c r="B604" s="19" t="n"/>
      <c r="C604" s="9" t="n"/>
      <c r="D604" s="9" t="n"/>
      <c r="E604" s="9" t="n"/>
      <c r="F604" s="10" t="n"/>
      <c r="G604" s="12">
        <f>IF($A604="",0,IF($I604="",0,$F604))</f>
        <v/>
      </c>
      <c r="H604" s="12">
        <f>IF($A604="","",$F604-$G604)</f>
        <v/>
      </c>
      <c r="I604" s="9" t="n"/>
      <c r="J604" s="9" t="n"/>
    </row>
    <row r="605">
      <c r="A605" s="9" t="n"/>
      <c r="B605" s="19" t="n"/>
      <c r="C605" s="9" t="n"/>
      <c r="D605" s="9" t="n"/>
      <c r="E605" s="9" t="n"/>
      <c r="F605" s="10" t="n"/>
      <c r="G605" s="12">
        <f>IF($A605="",0,IF($I605="",0,$F605))</f>
        <v/>
      </c>
      <c r="H605" s="12">
        <f>IF($A605="","",$F605-$G605)</f>
        <v/>
      </c>
      <c r="I605" s="9" t="n"/>
      <c r="J605" s="9" t="n"/>
    </row>
    <row r="606">
      <c r="A606" s="9" t="n"/>
      <c r="B606" s="19" t="n"/>
      <c r="C606" s="9" t="n"/>
      <c r="D606" s="9" t="n"/>
      <c r="E606" s="9" t="n"/>
      <c r="F606" s="10" t="n"/>
      <c r="G606" s="12">
        <f>IF($A606="",0,IF($I606="",0,$F606))</f>
        <v/>
      </c>
      <c r="H606" s="12">
        <f>IF($A606="","",$F606-$G606)</f>
        <v/>
      </c>
      <c r="I606" s="9" t="n"/>
      <c r="J606" s="9" t="n"/>
    </row>
    <row r="607">
      <c r="A607" s="9" t="n"/>
      <c r="B607" s="19" t="n"/>
      <c r="C607" s="9" t="n"/>
      <c r="D607" s="9" t="n"/>
      <c r="E607" s="9" t="n"/>
      <c r="F607" s="10" t="n"/>
      <c r="G607" s="12">
        <f>IF($A607="",0,IF($I607="",0,$F607))</f>
        <v/>
      </c>
      <c r="H607" s="12">
        <f>IF($A607="","",$F607-$G607)</f>
        <v/>
      </c>
      <c r="I607" s="9" t="n"/>
      <c r="J607" s="9" t="n"/>
    </row>
    <row r="608">
      <c r="A608" s="9" t="n"/>
      <c r="B608" s="19" t="n"/>
      <c r="C608" s="9" t="n"/>
      <c r="D608" s="9" t="n"/>
      <c r="E608" s="9" t="n"/>
      <c r="F608" s="10" t="n"/>
      <c r="G608" s="12">
        <f>IF($A608="",0,IF($I608="",0,$F608))</f>
        <v/>
      </c>
      <c r="H608" s="12">
        <f>IF($A608="","",$F608-$G608)</f>
        <v/>
      </c>
      <c r="I608" s="9" t="n"/>
      <c r="J608" s="9" t="n"/>
    </row>
    <row r="609">
      <c r="A609" s="9" t="n"/>
      <c r="B609" s="19" t="n"/>
      <c r="C609" s="9" t="n"/>
      <c r="D609" s="9" t="n"/>
      <c r="E609" s="9" t="n"/>
      <c r="F609" s="10" t="n"/>
      <c r="G609" s="12">
        <f>IF($A609="",0,IF($I609="",0,$F609))</f>
        <v/>
      </c>
      <c r="H609" s="12">
        <f>IF($A609="","",$F609-$G609)</f>
        <v/>
      </c>
      <c r="I609" s="9" t="n"/>
      <c r="J609" s="9" t="n"/>
    </row>
    <row r="610">
      <c r="A610" s="9" t="n"/>
      <c r="B610" s="19" t="n"/>
      <c r="C610" s="9" t="n"/>
      <c r="D610" s="9" t="n"/>
      <c r="E610" s="9" t="n"/>
      <c r="F610" s="10" t="n"/>
      <c r="G610" s="12">
        <f>IF($A610="",0,IF($I610="",0,$F610))</f>
        <v/>
      </c>
      <c r="H610" s="12">
        <f>IF($A610="","",$F610-$G610)</f>
        <v/>
      </c>
      <c r="I610" s="9" t="n"/>
      <c r="J610" s="9" t="n"/>
    </row>
    <row r="611">
      <c r="A611" s="9" t="n"/>
      <c r="B611" s="19" t="n"/>
      <c r="C611" s="9" t="n"/>
      <c r="D611" s="9" t="n"/>
      <c r="E611" s="9" t="n"/>
      <c r="F611" s="10" t="n"/>
      <c r="G611" s="12">
        <f>IF($A611="",0,IF($I611="",0,$F611))</f>
        <v/>
      </c>
      <c r="H611" s="12">
        <f>IF($A611="","",$F611-$G611)</f>
        <v/>
      </c>
      <c r="I611" s="9" t="n"/>
      <c r="J611" s="9" t="n"/>
    </row>
    <row r="612">
      <c r="A612" s="9" t="n"/>
      <c r="B612" s="19" t="n"/>
      <c r="C612" s="9" t="n"/>
      <c r="D612" s="9" t="n"/>
      <c r="E612" s="9" t="n"/>
      <c r="F612" s="10" t="n"/>
      <c r="G612" s="12">
        <f>IF($A612="",0,IF($I612="",0,$F612))</f>
        <v/>
      </c>
      <c r="H612" s="12">
        <f>IF($A612="","",$F612-$G612)</f>
        <v/>
      </c>
      <c r="I612" s="9" t="n"/>
      <c r="J612" s="9" t="n"/>
    </row>
    <row r="613">
      <c r="A613" s="9" t="n"/>
      <c r="B613" s="19" t="n"/>
      <c r="C613" s="9" t="n"/>
      <c r="D613" s="9" t="n"/>
      <c r="E613" s="9" t="n"/>
      <c r="F613" s="10" t="n"/>
      <c r="G613" s="12">
        <f>IF($A613="",0,IF($I613="",0,$F613))</f>
        <v/>
      </c>
      <c r="H613" s="12">
        <f>IF($A613="","",$F613-$G613)</f>
        <v/>
      </c>
      <c r="I613" s="9" t="n"/>
      <c r="J613" s="9" t="n"/>
    </row>
    <row r="614">
      <c r="A614" s="9" t="n"/>
      <c r="B614" s="19" t="n"/>
      <c r="C614" s="9" t="n"/>
      <c r="D614" s="9" t="n"/>
      <c r="E614" s="9" t="n"/>
      <c r="F614" s="10" t="n"/>
      <c r="G614" s="12">
        <f>IF($A614="",0,IF($I614="",0,$F614))</f>
        <v/>
      </c>
      <c r="H614" s="12">
        <f>IF($A614="","",$F614-$G614)</f>
        <v/>
      </c>
      <c r="I614" s="9" t="n"/>
      <c r="J614" s="9" t="n"/>
    </row>
    <row r="615">
      <c r="A615" s="9" t="n"/>
      <c r="B615" s="19" t="n"/>
      <c r="C615" s="9" t="n"/>
      <c r="D615" s="9" t="n"/>
      <c r="E615" s="9" t="n"/>
      <c r="F615" s="10" t="n"/>
      <c r="G615" s="12">
        <f>IF($A615="",0,IF($I615="",0,$F615))</f>
        <v/>
      </c>
      <c r="H615" s="12">
        <f>IF($A615="","",$F615-$G615)</f>
        <v/>
      </c>
      <c r="I615" s="9" t="n"/>
      <c r="J615" s="9" t="n"/>
    </row>
    <row r="616">
      <c r="A616" s="9" t="n"/>
      <c r="B616" s="19" t="n"/>
      <c r="C616" s="9" t="n"/>
      <c r="D616" s="9" t="n"/>
      <c r="E616" s="9" t="n"/>
      <c r="F616" s="10" t="n"/>
      <c r="G616" s="12">
        <f>IF($A616="",0,IF($I616="",0,$F616))</f>
        <v/>
      </c>
      <c r="H616" s="12">
        <f>IF($A616="","",$F616-$G616)</f>
        <v/>
      </c>
      <c r="I616" s="9" t="n"/>
      <c r="J616" s="9" t="n"/>
    </row>
    <row r="617">
      <c r="A617" s="9" t="n"/>
      <c r="B617" s="19" t="n"/>
      <c r="C617" s="9" t="n"/>
      <c r="D617" s="9" t="n"/>
      <c r="E617" s="9" t="n"/>
      <c r="F617" s="10" t="n"/>
      <c r="G617" s="12">
        <f>IF($A617="",0,IF($I617="",0,$F617))</f>
        <v/>
      </c>
      <c r="H617" s="12">
        <f>IF($A617="","",$F617-$G617)</f>
        <v/>
      </c>
      <c r="I617" s="9" t="n"/>
      <c r="J617" s="9" t="n"/>
    </row>
    <row r="618">
      <c r="A618" s="9" t="n"/>
      <c r="B618" s="19" t="n"/>
      <c r="C618" s="9" t="n"/>
      <c r="D618" s="9" t="n"/>
      <c r="E618" s="9" t="n"/>
      <c r="F618" s="10" t="n"/>
      <c r="G618" s="12">
        <f>IF($A618="",0,IF($I618="",0,$F618))</f>
        <v/>
      </c>
      <c r="H618" s="12">
        <f>IF($A618="","",$F618-$G618)</f>
        <v/>
      </c>
      <c r="I618" s="9" t="n"/>
      <c r="J618" s="9" t="n"/>
    </row>
    <row r="619">
      <c r="A619" s="9" t="n"/>
      <c r="B619" s="19" t="n"/>
      <c r="C619" s="9" t="n"/>
      <c r="D619" s="9" t="n"/>
      <c r="E619" s="9" t="n"/>
      <c r="F619" s="10" t="n"/>
      <c r="G619" s="12">
        <f>IF($A619="",0,IF($I619="",0,$F619))</f>
        <v/>
      </c>
      <c r="H619" s="12">
        <f>IF($A619="","",$F619-$G619)</f>
        <v/>
      </c>
      <c r="I619" s="9" t="n"/>
      <c r="J619" s="9" t="n"/>
    </row>
    <row r="620">
      <c r="A620" s="9" t="n"/>
      <c r="B620" s="19" t="n"/>
      <c r="C620" s="9" t="n"/>
      <c r="D620" s="9" t="n"/>
      <c r="E620" s="9" t="n"/>
      <c r="F620" s="10" t="n"/>
      <c r="G620" s="12">
        <f>IF($A620="",0,IF($I620="",0,$F620))</f>
        <v/>
      </c>
      <c r="H620" s="12">
        <f>IF($A620="","",$F620-$G620)</f>
        <v/>
      </c>
      <c r="I620" s="9" t="n"/>
      <c r="J620" s="9" t="n"/>
    </row>
    <row r="621">
      <c r="A621" s="9" t="n"/>
      <c r="B621" s="19" t="n"/>
      <c r="C621" s="9" t="n"/>
      <c r="D621" s="9" t="n"/>
      <c r="E621" s="9" t="n"/>
      <c r="F621" s="10" t="n"/>
      <c r="G621" s="12">
        <f>IF($A621="",0,IF($I621="",0,$F621))</f>
        <v/>
      </c>
      <c r="H621" s="12">
        <f>IF($A621="","",$F621-$G621)</f>
        <v/>
      </c>
      <c r="I621" s="9" t="n"/>
      <c r="J621" s="9" t="n"/>
    </row>
    <row r="622">
      <c r="A622" s="9" t="n"/>
      <c r="B622" s="19" t="n"/>
      <c r="C622" s="9" t="n"/>
      <c r="D622" s="9" t="n"/>
      <c r="E622" s="9" t="n"/>
      <c r="F622" s="10" t="n"/>
      <c r="G622" s="12">
        <f>IF($A622="",0,IF($I622="",0,$F622))</f>
        <v/>
      </c>
      <c r="H622" s="12">
        <f>IF($A622="","",$F622-$G622)</f>
        <v/>
      </c>
      <c r="I622" s="9" t="n"/>
      <c r="J622" s="9" t="n"/>
    </row>
    <row r="623">
      <c r="A623" s="9" t="n"/>
      <c r="B623" s="19" t="n"/>
      <c r="C623" s="9" t="n"/>
      <c r="D623" s="9" t="n"/>
      <c r="E623" s="9" t="n"/>
      <c r="F623" s="10" t="n"/>
      <c r="G623" s="12">
        <f>IF($A623="",0,IF($I623="",0,$F623))</f>
        <v/>
      </c>
      <c r="H623" s="12">
        <f>IF($A623="","",$F623-$G623)</f>
        <v/>
      </c>
      <c r="I623" s="9" t="n"/>
      <c r="J623" s="9" t="n"/>
    </row>
    <row r="624">
      <c r="A624" s="9" t="n"/>
      <c r="B624" s="19" t="n"/>
      <c r="C624" s="9" t="n"/>
      <c r="D624" s="9" t="n"/>
      <c r="E624" s="9" t="n"/>
      <c r="F624" s="10" t="n"/>
      <c r="G624" s="12">
        <f>IF($A624="",0,IF($I624="",0,$F624))</f>
        <v/>
      </c>
      <c r="H624" s="12">
        <f>IF($A624="","",$F624-$G624)</f>
        <v/>
      </c>
      <c r="I624" s="9" t="n"/>
      <c r="J624" s="9" t="n"/>
    </row>
    <row r="625">
      <c r="A625" s="9" t="n"/>
      <c r="B625" s="19" t="n"/>
      <c r="C625" s="9" t="n"/>
      <c r="D625" s="9" t="n"/>
      <c r="E625" s="9" t="n"/>
      <c r="F625" s="10" t="n"/>
      <c r="G625" s="12">
        <f>IF($A625="",0,IF($I625="",0,$F625))</f>
        <v/>
      </c>
      <c r="H625" s="12">
        <f>IF($A625="","",$F625-$G625)</f>
        <v/>
      </c>
      <c r="I625" s="9" t="n"/>
      <c r="J625" s="9" t="n"/>
    </row>
    <row r="626">
      <c r="A626" s="9" t="n"/>
      <c r="B626" s="19" t="n"/>
      <c r="C626" s="9" t="n"/>
      <c r="D626" s="9" t="n"/>
      <c r="E626" s="9" t="n"/>
      <c r="F626" s="10" t="n"/>
      <c r="G626" s="12">
        <f>IF($A626="",0,IF($I626="",0,$F626))</f>
        <v/>
      </c>
      <c r="H626" s="12">
        <f>IF($A626="","",$F626-$G626)</f>
        <v/>
      </c>
      <c r="I626" s="9" t="n"/>
      <c r="J626" s="9" t="n"/>
    </row>
    <row r="627">
      <c r="A627" s="9" t="n"/>
      <c r="B627" s="19" t="n"/>
      <c r="C627" s="9" t="n"/>
      <c r="D627" s="9" t="n"/>
      <c r="E627" s="9" t="n"/>
      <c r="F627" s="10" t="n"/>
      <c r="G627" s="12">
        <f>IF($A627="",0,IF($I627="",0,$F627))</f>
        <v/>
      </c>
      <c r="H627" s="12">
        <f>IF($A627="","",$F627-$G627)</f>
        <v/>
      </c>
      <c r="I627" s="9" t="n"/>
      <c r="J627" s="9" t="n"/>
    </row>
    <row r="628">
      <c r="A628" s="9" t="n"/>
      <c r="B628" s="19" t="n"/>
      <c r="C628" s="9" t="n"/>
      <c r="D628" s="9" t="n"/>
      <c r="E628" s="9" t="n"/>
      <c r="F628" s="10" t="n"/>
      <c r="G628" s="12">
        <f>IF($A628="",0,IF($I628="",0,$F628))</f>
        <v/>
      </c>
      <c r="H628" s="12">
        <f>IF($A628="","",$F628-$G628)</f>
        <v/>
      </c>
      <c r="I628" s="9" t="n"/>
      <c r="J628" s="9" t="n"/>
    </row>
    <row r="629">
      <c r="A629" s="9" t="n"/>
      <c r="B629" s="19" t="n"/>
      <c r="C629" s="9" t="n"/>
      <c r="D629" s="9" t="n"/>
      <c r="E629" s="9" t="n"/>
      <c r="F629" s="10" t="n"/>
      <c r="G629" s="12">
        <f>IF($A629="",0,IF($I629="",0,$F629))</f>
        <v/>
      </c>
      <c r="H629" s="12">
        <f>IF($A629="","",$F629-$G629)</f>
        <v/>
      </c>
      <c r="I629" s="9" t="n"/>
      <c r="J629" s="9" t="n"/>
    </row>
    <row r="630">
      <c r="A630" s="9" t="n"/>
      <c r="B630" s="19" t="n"/>
      <c r="C630" s="9" t="n"/>
      <c r="D630" s="9" t="n"/>
      <c r="E630" s="9" t="n"/>
      <c r="F630" s="10" t="n"/>
      <c r="G630" s="12">
        <f>IF($A630="",0,IF($I630="",0,$F630))</f>
        <v/>
      </c>
      <c r="H630" s="12">
        <f>IF($A630="","",$F630-$G630)</f>
        <v/>
      </c>
      <c r="I630" s="9" t="n"/>
      <c r="J630" s="9" t="n"/>
    </row>
    <row r="631">
      <c r="A631" s="9" t="n"/>
      <c r="B631" s="19" t="n"/>
      <c r="C631" s="9" t="n"/>
      <c r="D631" s="9" t="n"/>
      <c r="E631" s="9" t="n"/>
      <c r="F631" s="10" t="n"/>
      <c r="G631" s="12">
        <f>IF($A631="",0,IF($I631="",0,$F631))</f>
        <v/>
      </c>
      <c r="H631" s="12">
        <f>IF($A631="","",$F631-$G631)</f>
        <v/>
      </c>
      <c r="I631" s="9" t="n"/>
      <c r="J631" s="9" t="n"/>
    </row>
    <row r="632">
      <c r="A632" s="9" t="n"/>
      <c r="B632" s="19" t="n"/>
      <c r="C632" s="9" t="n"/>
      <c r="D632" s="9" t="n"/>
      <c r="E632" s="9" t="n"/>
      <c r="F632" s="10" t="n"/>
      <c r="G632" s="12">
        <f>IF($A632="",0,IF($I632="",0,$F632))</f>
        <v/>
      </c>
      <c r="H632" s="12">
        <f>IF($A632="","",$F632-$G632)</f>
        <v/>
      </c>
      <c r="I632" s="9" t="n"/>
      <c r="J632" s="9" t="n"/>
    </row>
    <row r="633">
      <c r="A633" s="9" t="n"/>
      <c r="B633" s="19" t="n"/>
      <c r="C633" s="9" t="n"/>
      <c r="D633" s="9" t="n"/>
      <c r="E633" s="9" t="n"/>
      <c r="F633" s="10" t="n"/>
      <c r="G633" s="12">
        <f>IF($A633="",0,IF($I633="",0,$F633))</f>
        <v/>
      </c>
      <c r="H633" s="12">
        <f>IF($A633="","",$F633-$G633)</f>
        <v/>
      </c>
      <c r="I633" s="9" t="n"/>
      <c r="J633" s="9" t="n"/>
    </row>
    <row r="634">
      <c r="A634" s="9" t="n"/>
      <c r="B634" s="19" t="n"/>
      <c r="C634" s="9" t="n"/>
      <c r="D634" s="9" t="n"/>
      <c r="E634" s="9" t="n"/>
      <c r="F634" s="10" t="n"/>
      <c r="G634" s="12">
        <f>IF($A634="",0,IF($I634="",0,$F634))</f>
        <v/>
      </c>
      <c r="H634" s="12">
        <f>IF($A634="","",$F634-$G634)</f>
        <v/>
      </c>
      <c r="I634" s="9" t="n"/>
      <c r="J634" s="9" t="n"/>
    </row>
    <row r="635">
      <c r="A635" s="9" t="n"/>
      <c r="B635" s="19" t="n"/>
      <c r="C635" s="9" t="n"/>
      <c r="D635" s="9" t="n"/>
      <c r="E635" s="9" t="n"/>
      <c r="F635" s="10" t="n"/>
      <c r="G635" s="12">
        <f>IF($A635="",0,IF($I635="",0,$F635))</f>
        <v/>
      </c>
      <c r="H635" s="12">
        <f>IF($A635="","",$F635-$G635)</f>
        <v/>
      </c>
      <c r="I635" s="9" t="n"/>
      <c r="J635" s="9" t="n"/>
    </row>
    <row r="636">
      <c r="A636" s="9" t="n"/>
      <c r="B636" s="19" t="n"/>
      <c r="C636" s="9" t="n"/>
      <c r="D636" s="9" t="n"/>
      <c r="E636" s="9" t="n"/>
      <c r="F636" s="10" t="n"/>
      <c r="G636" s="12">
        <f>IF($A636="",0,IF($I636="",0,$F636))</f>
        <v/>
      </c>
      <c r="H636" s="12">
        <f>IF($A636="","",$F636-$G636)</f>
        <v/>
      </c>
      <c r="I636" s="9" t="n"/>
      <c r="J636" s="9" t="n"/>
    </row>
    <row r="637">
      <c r="A637" s="9" t="n"/>
      <c r="B637" s="19" t="n"/>
      <c r="C637" s="9" t="n"/>
      <c r="D637" s="9" t="n"/>
      <c r="E637" s="9" t="n"/>
      <c r="F637" s="10" t="n"/>
      <c r="G637" s="12">
        <f>IF($A637="",0,IF($I637="",0,$F637))</f>
        <v/>
      </c>
      <c r="H637" s="12">
        <f>IF($A637="","",$F637-$G637)</f>
        <v/>
      </c>
      <c r="I637" s="9" t="n"/>
      <c r="J637" s="9" t="n"/>
    </row>
    <row r="638">
      <c r="A638" s="9" t="n"/>
      <c r="B638" s="19" t="n"/>
      <c r="C638" s="9" t="n"/>
      <c r="D638" s="9" t="n"/>
      <c r="E638" s="9" t="n"/>
      <c r="F638" s="10" t="n"/>
      <c r="G638" s="12">
        <f>IF($A638="",0,IF($I638="",0,$F638))</f>
        <v/>
      </c>
      <c r="H638" s="12">
        <f>IF($A638="","",$F638-$G638)</f>
        <v/>
      </c>
      <c r="I638" s="9" t="n"/>
      <c r="J638" s="9" t="n"/>
    </row>
    <row r="639">
      <c r="A639" s="9" t="n"/>
      <c r="B639" s="19" t="n"/>
      <c r="C639" s="9" t="n"/>
      <c r="D639" s="9" t="n"/>
      <c r="E639" s="9" t="n"/>
      <c r="F639" s="10" t="n"/>
      <c r="G639" s="12">
        <f>IF($A639="",0,IF($I639="",0,$F639))</f>
        <v/>
      </c>
      <c r="H639" s="12">
        <f>IF($A639="","",$F639-$G639)</f>
        <v/>
      </c>
      <c r="I639" s="9" t="n"/>
      <c r="J639" s="9" t="n"/>
    </row>
    <row r="640">
      <c r="A640" s="9" t="n"/>
      <c r="B640" s="19" t="n"/>
      <c r="C640" s="9" t="n"/>
      <c r="D640" s="9" t="n"/>
      <c r="E640" s="9" t="n"/>
      <c r="F640" s="10" t="n"/>
      <c r="G640" s="12">
        <f>IF($A640="",0,IF($I640="",0,$F640))</f>
        <v/>
      </c>
      <c r="H640" s="12">
        <f>IF($A640="","",$F640-$G640)</f>
        <v/>
      </c>
      <c r="I640" s="9" t="n"/>
      <c r="J640" s="9" t="n"/>
    </row>
    <row r="641">
      <c r="A641" s="9" t="n"/>
      <c r="B641" s="19" t="n"/>
      <c r="C641" s="9" t="n"/>
      <c r="D641" s="9" t="n"/>
      <c r="E641" s="9" t="n"/>
      <c r="F641" s="10" t="n"/>
      <c r="G641" s="12">
        <f>IF($A641="",0,IF($I641="",0,$F641))</f>
        <v/>
      </c>
      <c r="H641" s="12">
        <f>IF($A641="","",$F641-$G641)</f>
        <v/>
      </c>
      <c r="I641" s="9" t="n"/>
      <c r="J641" s="9" t="n"/>
    </row>
    <row r="642">
      <c r="A642" s="9" t="n"/>
      <c r="B642" s="19" t="n"/>
      <c r="C642" s="9" t="n"/>
      <c r="D642" s="9" t="n"/>
      <c r="E642" s="9" t="n"/>
      <c r="F642" s="10" t="n"/>
      <c r="G642" s="12">
        <f>IF($A642="",0,IF($I642="",0,$F642))</f>
        <v/>
      </c>
      <c r="H642" s="12">
        <f>IF($A642="","",$F642-$G642)</f>
        <v/>
      </c>
      <c r="I642" s="9" t="n"/>
      <c r="J642" s="9" t="n"/>
    </row>
    <row r="643">
      <c r="A643" s="9" t="n"/>
      <c r="B643" s="19" t="n"/>
      <c r="C643" s="9" t="n"/>
      <c r="D643" s="9" t="n"/>
      <c r="E643" s="9" t="n"/>
      <c r="F643" s="10" t="n"/>
      <c r="G643" s="12">
        <f>IF($A643="",0,IF($I643="",0,$F643))</f>
        <v/>
      </c>
      <c r="H643" s="12">
        <f>IF($A643="","",$F643-$G643)</f>
        <v/>
      </c>
      <c r="I643" s="9" t="n"/>
      <c r="J643" s="9" t="n"/>
    </row>
    <row r="644">
      <c r="A644" s="9" t="n"/>
      <c r="B644" s="19" t="n"/>
      <c r="C644" s="9" t="n"/>
      <c r="D644" s="9" t="n"/>
      <c r="E644" s="9" t="n"/>
      <c r="F644" s="10" t="n"/>
      <c r="G644" s="12">
        <f>IF($A644="",0,IF($I644="",0,$F644))</f>
        <v/>
      </c>
      <c r="H644" s="12">
        <f>IF($A644="","",$F644-$G644)</f>
        <v/>
      </c>
      <c r="I644" s="9" t="n"/>
      <c r="J644" s="9" t="n"/>
    </row>
    <row r="645">
      <c r="A645" s="9" t="n"/>
      <c r="B645" s="19" t="n"/>
      <c r="C645" s="9" t="n"/>
      <c r="D645" s="9" t="n"/>
      <c r="E645" s="9" t="n"/>
      <c r="F645" s="10" t="n"/>
      <c r="G645" s="12">
        <f>IF($A645="",0,IF($I645="",0,$F645))</f>
        <v/>
      </c>
      <c r="H645" s="12">
        <f>IF($A645="","",$F645-$G645)</f>
        <v/>
      </c>
      <c r="I645" s="9" t="n"/>
      <c r="J645" s="9" t="n"/>
    </row>
    <row r="646">
      <c r="A646" s="9" t="n"/>
      <c r="B646" s="19" t="n"/>
      <c r="C646" s="9" t="n"/>
      <c r="D646" s="9" t="n"/>
      <c r="E646" s="9" t="n"/>
      <c r="F646" s="10" t="n"/>
      <c r="G646" s="12">
        <f>IF($A646="",0,IF($I646="",0,$F646))</f>
        <v/>
      </c>
      <c r="H646" s="12">
        <f>IF($A646="","",$F646-$G646)</f>
        <v/>
      </c>
      <c r="I646" s="9" t="n"/>
      <c r="J646" s="9" t="n"/>
    </row>
    <row r="647">
      <c r="A647" s="9" t="n"/>
      <c r="B647" s="19" t="n"/>
      <c r="C647" s="9" t="n"/>
      <c r="D647" s="9" t="n"/>
      <c r="E647" s="9" t="n"/>
      <c r="F647" s="10" t="n"/>
      <c r="G647" s="12">
        <f>IF($A647="",0,IF($I647="",0,$F647))</f>
        <v/>
      </c>
      <c r="H647" s="12">
        <f>IF($A647="","",$F647-$G647)</f>
        <v/>
      </c>
      <c r="I647" s="9" t="n"/>
      <c r="J647" s="9" t="n"/>
    </row>
    <row r="648">
      <c r="A648" s="9" t="n"/>
      <c r="B648" s="19" t="n"/>
      <c r="C648" s="9" t="n"/>
      <c r="D648" s="9" t="n"/>
      <c r="E648" s="9" t="n"/>
      <c r="F648" s="10" t="n"/>
      <c r="G648" s="12">
        <f>IF($A648="",0,IF($I648="",0,$F648))</f>
        <v/>
      </c>
      <c r="H648" s="12">
        <f>IF($A648="","",$F648-$G648)</f>
        <v/>
      </c>
      <c r="I648" s="9" t="n"/>
      <c r="J648" s="9" t="n"/>
    </row>
    <row r="649">
      <c r="A649" s="9" t="n"/>
      <c r="B649" s="19" t="n"/>
      <c r="C649" s="9" t="n"/>
      <c r="D649" s="9" t="n"/>
      <c r="E649" s="9" t="n"/>
      <c r="F649" s="10" t="n"/>
      <c r="G649" s="12">
        <f>IF($A649="",0,IF($I649="",0,$F649))</f>
        <v/>
      </c>
      <c r="H649" s="12">
        <f>IF($A649="","",$F649-$G649)</f>
        <v/>
      </c>
      <c r="I649" s="9" t="n"/>
      <c r="J649" s="9" t="n"/>
    </row>
    <row r="650">
      <c r="A650" s="9" t="n"/>
      <c r="B650" s="19" t="n"/>
      <c r="C650" s="9" t="n"/>
      <c r="D650" s="9" t="n"/>
      <c r="E650" s="9" t="n"/>
      <c r="F650" s="10" t="n"/>
      <c r="G650" s="12">
        <f>IF($A650="",0,IF($I650="",0,$F650))</f>
        <v/>
      </c>
      <c r="H650" s="12">
        <f>IF($A650="","",$F650-$G650)</f>
        <v/>
      </c>
      <c r="I650" s="9" t="n"/>
      <c r="J650" s="9" t="n"/>
    </row>
    <row r="651">
      <c r="A651" s="9" t="n"/>
      <c r="B651" s="19" t="n"/>
      <c r="C651" s="9" t="n"/>
      <c r="D651" s="9" t="n"/>
      <c r="E651" s="9" t="n"/>
      <c r="F651" s="10" t="n"/>
      <c r="G651" s="12">
        <f>IF($A651="",0,IF($I651="",0,$F651))</f>
        <v/>
      </c>
      <c r="H651" s="12">
        <f>IF($A651="","",$F651-$G651)</f>
        <v/>
      </c>
      <c r="I651" s="9" t="n"/>
      <c r="J651" s="9" t="n"/>
    </row>
    <row r="652">
      <c r="A652" s="9" t="n"/>
      <c r="B652" s="19" t="n"/>
      <c r="C652" s="9" t="n"/>
      <c r="D652" s="9" t="n"/>
      <c r="E652" s="9" t="n"/>
      <c r="F652" s="10" t="n"/>
      <c r="G652" s="12">
        <f>IF($A652="",0,IF($I652="",0,$F652))</f>
        <v/>
      </c>
      <c r="H652" s="12">
        <f>IF($A652="","",$F652-$G652)</f>
        <v/>
      </c>
      <c r="I652" s="9" t="n"/>
      <c r="J652" s="9" t="n"/>
    </row>
    <row r="653">
      <c r="A653" s="9" t="n"/>
      <c r="B653" s="19" t="n"/>
      <c r="C653" s="9" t="n"/>
      <c r="D653" s="9" t="n"/>
      <c r="E653" s="9" t="n"/>
      <c r="F653" s="10" t="n"/>
      <c r="G653" s="12">
        <f>IF($A653="",0,IF($I653="",0,$F653))</f>
        <v/>
      </c>
      <c r="H653" s="12">
        <f>IF($A653="","",$F653-$G653)</f>
        <v/>
      </c>
      <c r="I653" s="9" t="n"/>
      <c r="J653" s="9" t="n"/>
    </row>
    <row r="654">
      <c r="A654" s="9" t="n"/>
      <c r="B654" s="19" t="n"/>
      <c r="C654" s="9" t="n"/>
      <c r="D654" s="9" t="n"/>
      <c r="E654" s="9" t="n"/>
      <c r="F654" s="10" t="n"/>
      <c r="G654" s="12">
        <f>IF($A654="",0,IF($I654="",0,$F654))</f>
        <v/>
      </c>
      <c r="H654" s="12">
        <f>IF($A654="","",$F654-$G654)</f>
        <v/>
      </c>
      <c r="I654" s="9" t="n"/>
      <c r="J654" s="9" t="n"/>
    </row>
    <row r="655">
      <c r="A655" s="9" t="n"/>
      <c r="B655" s="19" t="n"/>
      <c r="C655" s="9" t="n"/>
      <c r="D655" s="9" t="n"/>
      <c r="E655" s="9" t="n"/>
      <c r="F655" s="10" t="n"/>
      <c r="G655" s="12">
        <f>IF($A655="",0,IF($I655="",0,$F655))</f>
        <v/>
      </c>
      <c r="H655" s="12">
        <f>IF($A655="","",$F655-$G655)</f>
        <v/>
      </c>
      <c r="I655" s="9" t="n"/>
      <c r="J655" s="9" t="n"/>
    </row>
    <row r="656">
      <c r="A656" s="9" t="n"/>
      <c r="B656" s="19" t="n"/>
      <c r="C656" s="9" t="n"/>
      <c r="D656" s="9" t="n"/>
      <c r="E656" s="9" t="n"/>
      <c r="F656" s="10" t="n"/>
      <c r="G656" s="12">
        <f>IF($A656="",0,IF($I656="",0,$F656))</f>
        <v/>
      </c>
      <c r="H656" s="12">
        <f>IF($A656="","",$F656-$G656)</f>
        <v/>
      </c>
      <c r="I656" s="9" t="n"/>
      <c r="J656" s="9" t="n"/>
    </row>
    <row r="657">
      <c r="A657" s="9" t="n"/>
      <c r="B657" s="19" t="n"/>
      <c r="C657" s="9" t="n"/>
      <c r="D657" s="9" t="n"/>
      <c r="E657" s="9" t="n"/>
      <c r="F657" s="10" t="n"/>
      <c r="G657" s="12">
        <f>IF($A657="",0,IF($I657="",0,$F657))</f>
        <v/>
      </c>
      <c r="H657" s="12">
        <f>IF($A657="","",$F657-$G657)</f>
        <v/>
      </c>
      <c r="I657" s="9" t="n"/>
      <c r="J657" s="9" t="n"/>
    </row>
    <row r="658">
      <c r="A658" s="9" t="n"/>
      <c r="B658" s="19" t="n"/>
      <c r="C658" s="9" t="n"/>
      <c r="D658" s="9" t="n"/>
      <c r="E658" s="9" t="n"/>
      <c r="F658" s="10" t="n"/>
      <c r="G658" s="12">
        <f>IF($A658="",0,IF($I658="",0,$F658))</f>
        <v/>
      </c>
      <c r="H658" s="12">
        <f>IF($A658="","",$F658-$G658)</f>
        <v/>
      </c>
      <c r="I658" s="9" t="n"/>
      <c r="J658" s="9" t="n"/>
    </row>
    <row r="659">
      <c r="A659" s="9" t="n"/>
      <c r="B659" s="19" t="n"/>
      <c r="C659" s="9" t="n"/>
      <c r="D659" s="9" t="n"/>
      <c r="E659" s="9" t="n"/>
      <c r="F659" s="10" t="n"/>
      <c r="G659" s="12">
        <f>IF($A659="",0,IF($I659="",0,$F659))</f>
        <v/>
      </c>
      <c r="H659" s="12">
        <f>IF($A659="","",$F659-$G659)</f>
        <v/>
      </c>
      <c r="I659" s="9" t="n"/>
      <c r="J659" s="9" t="n"/>
    </row>
    <row r="660">
      <c r="A660" s="9" t="n"/>
      <c r="B660" s="19" t="n"/>
      <c r="C660" s="9" t="n"/>
      <c r="D660" s="9" t="n"/>
      <c r="E660" s="9" t="n"/>
      <c r="F660" s="10" t="n"/>
      <c r="G660" s="12">
        <f>IF($A660="",0,IF($I660="",0,$F660))</f>
        <v/>
      </c>
      <c r="H660" s="12">
        <f>IF($A660="","",$F660-$G660)</f>
        <v/>
      </c>
      <c r="I660" s="9" t="n"/>
      <c r="J660" s="9" t="n"/>
    </row>
    <row r="661">
      <c r="A661" s="9" t="n"/>
      <c r="B661" s="19" t="n"/>
      <c r="C661" s="9" t="n"/>
      <c r="D661" s="9" t="n"/>
      <c r="E661" s="9" t="n"/>
      <c r="F661" s="10" t="n"/>
      <c r="G661" s="12">
        <f>IF($A661="",0,IF($I661="",0,$F661))</f>
        <v/>
      </c>
      <c r="H661" s="12">
        <f>IF($A661="","",$F661-$G661)</f>
        <v/>
      </c>
      <c r="I661" s="9" t="n"/>
      <c r="J661" s="9" t="n"/>
    </row>
    <row r="662">
      <c r="A662" s="9" t="n"/>
      <c r="B662" s="19" t="n"/>
      <c r="C662" s="9" t="n"/>
      <c r="D662" s="9" t="n"/>
      <c r="E662" s="9" t="n"/>
      <c r="F662" s="10" t="n"/>
      <c r="G662" s="12">
        <f>IF($A662="",0,IF($I662="",0,$F662))</f>
        <v/>
      </c>
      <c r="H662" s="12">
        <f>IF($A662="","",$F662-$G662)</f>
        <v/>
      </c>
      <c r="I662" s="9" t="n"/>
      <c r="J662" s="9" t="n"/>
    </row>
    <row r="663">
      <c r="A663" s="9" t="n"/>
      <c r="B663" s="19" t="n"/>
      <c r="C663" s="9" t="n"/>
      <c r="D663" s="9" t="n"/>
      <c r="E663" s="9" t="n"/>
      <c r="F663" s="10" t="n"/>
      <c r="G663" s="12">
        <f>IF($A663="",0,IF($I663="",0,$F663))</f>
        <v/>
      </c>
      <c r="H663" s="12">
        <f>IF($A663="","",$F663-$G663)</f>
        <v/>
      </c>
      <c r="I663" s="9" t="n"/>
      <c r="J663" s="9" t="n"/>
    </row>
    <row r="664">
      <c r="A664" s="9" t="n"/>
      <c r="B664" s="19" t="n"/>
      <c r="C664" s="9" t="n"/>
      <c r="D664" s="9" t="n"/>
      <c r="E664" s="9" t="n"/>
      <c r="F664" s="10" t="n"/>
      <c r="G664" s="12">
        <f>IF($A664="",0,IF($I664="",0,$F664))</f>
        <v/>
      </c>
      <c r="H664" s="12">
        <f>IF($A664="","",$F664-$G664)</f>
        <v/>
      </c>
      <c r="I664" s="9" t="n"/>
      <c r="J664" s="9" t="n"/>
    </row>
    <row r="665">
      <c r="A665" s="9" t="n"/>
      <c r="B665" s="19" t="n"/>
      <c r="C665" s="9" t="n"/>
      <c r="D665" s="9" t="n"/>
      <c r="E665" s="9" t="n"/>
      <c r="F665" s="10" t="n"/>
      <c r="G665" s="12">
        <f>IF($A665="",0,IF($I665="",0,$F665))</f>
        <v/>
      </c>
      <c r="H665" s="12">
        <f>IF($A665="","",$F665-$G665)</f>
        <v/>
      </c>
      <c r="I665" s="9" t="n"/>
      <c r="J665" s="9" t="n"/>
    </row>
    <row r="666">
      <c r="A666" s="9" t="n"/>
      <c r="B666" s="19" t="n"/>
      <c r="C666" s="9" t="n"/>
      <c r="D666" s="9" t="n"/>
      <c r="E666" s="9" t="n"/>
      <c r="F666" s="10" t="n"/>
      <c r="G666" s="12">
        <f>IF($A666="",0,IF($I666="",0,$F666))</f>
        <v/>
      </c>
      <c r="H666" s="12">
        <f>IF($A666="","",$F666-$G666)</f>
        <v/>
      </c>
      <c r="I666" s="9" t="n"/>
      <c r="J666" s="9" t="n"/>
    </row>
    <row r="667">
      <c r="A667" s="9" t="n"/>
      <c r="B667" s="19" t="n"/>
      <c r="C667" s="9" t="n"/>
      <c r="D667" s="9" t="n"/>
      <c r="E667" s="9" t="n"/>
      <c r="F667" s="10" t="n"/>
      <c r="G667" s="12">
        <f>IF($A667="",0,IF($I667="",0,$F667))</f>
        <v/>
      </c>
      <c r="H667" s="12">
        <f>IF($A667="","",$F667-$G667)</f>
        <v/>
      </c>
      <c r="I667" s="9" t="n"/>
      <c r="J667" s="9" t="n"/>
    </row>
    <row r="668">
      <c r="A668" s="9" t="n"/>
      <c r="B668" s="19" t="n"/>
      <c r="C668" s="9" t="n"/>
      <c r="D668" s="9" t="n"/>
      <c r="E668" s="9" t="n"/>
      <c r="F668" s="10" t="n"/>
      <c r="G668" s="12">
        <f>IF($A668="",0,IF($I668="",0,$F668))</f>
        <v/>
      </c>
      <c r="H668" s="12">
        <f>IF($A668="","",$F668-$G668)</f>
        <v/>
      </c>
      <c r="I668" s="9" t="n"/>
      <c r="J668" s="9" t="n"/>
    </row>
    <row r="669">
      <c r="A669" s="9" t="n"/>
      <c r="B669" s="19" t="n"/>
      <c r="C669" s="9" t="n"/>
      <c r="D669" s="9" t="n"/>
      <c r="E669" s="9" t="n"/>
      <c r="F669" s="10" t="n"/>
      <c r="G669" s="12">
        <f>IF($A669="",0,IF($I669="",0,$F669))</f>
        <v/>
      </c>
      <c r="H669" s="12">
        <f>IF($A669="","",$F669-$G669)</f>
        <v/>
      </c>
      <c r="I669" s="9" t="n"/>
      <c r="J669" s="9" t="n"/>
    </row>
    <row r="670">
      <c r="A670" s="9" t="n"/>
      <c r="B670" s="19" t="n"/>
      <c r="C670" s="9" t="n"/>
      <c r="D670" s="9" t="n"/>
      <c r="E670" s="9" t="n"/>
      <c r="F670" s="10" t="n"/>
      <c r="G670" s="12">
        <f>IF($A670="",0,IF($I670="",0,$F670))</f>
        <v/>
      </c>
      <c r="H670" s="12">
        <f>IF($A670="","",$F670-$G670)</f>
        <v/>
      </c>
      <c r="I670" s="9" t="n"/>
      <c r="J670" s="9" t="n"/>
    </row>
    <row r="671">
      <c r="A671" s="9" t="n"/>
      <c r="B671" s="19" t="n"/>
      <c r="C671" s="9" t="n"/>
      <c r="D671" s="9" t="n"/>
      <c r="E671" s="9" t="n"/>
      <c r="F671" s="10" t="n"/>
      <c r="G671" s="12">
        <f>IF($A671="",0,IF($I671="",0,$F671))</f>
        <v/>
      </c>
      <c r="H671" s="12">
        <f>IF($A671="","",$F671-$G671)</f>
        <v/>
      </c>
      <c r="I671" s="9" t="n"/>
      <c r="J671" s="9" t="n"/>
    </row>
    <row r="672">
      <c r="A672" s="9" t="n"/>
      <c r="B672" s="19" t="n"/>
      <c r="C672" s="9" t="n"/>
      <c r="D672" s="9" t="n"/>
      <c r="E672" s="9" t="n"/>
      <c r="F672" s="10" t="n"/>
      <c r="G672" s="12">
        <f>IF($A672="",0,IF($I672="",0,$F672))</f>
        <v/>
      </c>
      <c r="H672" s="12">
        <f>IF($A672="","",$F672-$G672)</f>
        <v/>
      </c>
      <c r="I672" s="9" t="n"/>
      <c r="J672" s="9" t="n"/>
    </row>
    <row r="673">
      <c r="A673" s="9" t="n"/>
      <c r="B673" s="19" t="n"/>
      <c r="C673" s="9" t="n"/>
      <c r="D673" s="9" t="n"/>
      <c r="E673" s="9" t="n"/>
      <c r="F673" s="10" t="n"/>
      <c r="G673" s="12">
        <f>IF($A673="",0,IF($I673="",0,$F673))</f>
        <v/>
      </c>
      <c r="H673" s="12">
        <f>IF($A673="","",$F673-$G673)</f>
        <v/>
      </c>
      <c r="I673" s="9" t="n"/>
      <c r="J673" s="9" t="n"/>
    </row>
    <row r="674">
      <c r="A674" s="9" t="n"/>
      <c r="B674" s="19" t="n"/>
      <c r="C674" s="9" t="n"/>
      <c r="D674" s="9" t="n"/>
      <c r="E674" s="9" t="n"/>
      <c r="F674" s="10" t="n"/>
      <c r="G674" s="12">
        <f>IF($A674="",0,IF($I674="",0,$F674))</f>
        <v/>
      </c>
      <c r="H674" s="12">
        <f>IF($A674="","",$F674-$G674)</f>
        <v/>
      </c>
      <c r="I674" s="9" t="n"/>
      <c r="J674" s="9" t="n"/>
    </row>
    <row r="675">
      <c r="A675" s="9" t="n"/>
      <c r="B675" s="19" t="n"/>
      <c r="C675" s="9" t="n"/>
      <c r="D675" s="9" t="n"/>
      <c r="E675" s="9" t="n"/>
      <c r="F675" s="10" t="n"/>
      <c r="G675" s="12">
        <f>IF($A675="",0,IF($I675="",0,$F675))</f>
        <v/>
      </c>
      <c r="H675" s="12">
        <f>IF($A675="","",$F675-$G675)</f>
        <v/>
      </c>
      <c r="I675" s="9" t="n"/>
      <c r="J675" s="9" t="n"/>
    </row>
    <row r="676">
      <c r="A676" s="9" t="n"/>
      <c r="B676" s="19" t="n"/>
      <c r="C676" s="9" t="n"/>
      <c r="D676" s="9" t="n"/>
      <c r="E676" s="9" t="n"/>
      <c r="F676" s="10" t="n"/>
      <c r="G676" s="12">
        <f>IF($A676="",0,IF($I676="",0,$F676))</f>
        <v/>
      </c>
      <c r="H676" s="12">
        <f>IF($A676="","",$F676-$G676)</f>
        <v/>
      </c>
      <c r="I676" s="9" t="n"/>
      <c r="J676" s="9" t="n"/>
    </row>
    <row r="677">
      <c r="A677" s="9" t="n"/>
      <c r="B677" s="19" t="n"/>
      <c r="C677" s="9" t="n"/>
      <c r="D677" s="9" t="n"/>
      <c r="E677" s="9" t="n"/>
      <c r="F677" s="10" t="n"/>
      <c r="G677" s="12">
        <f>IF($A677="",0,IF($I677="",0,$F677))</f>
        <v/>
      </c>
      <c r="H677" s="12">
        <f>IF($A677="","",$F677-$G677)</f>
        <v/>
      </c>
      <c r="I677" s="9" t="n"/>
      <c r="J677" s="9" t="n"/>
    </row>
    <row r="678">
      <c r="A678" s="9" t="n"/>
      <c r="B678" s="19" t="n"/>
      <c r="C678" s="9" t="n"/>
      <c r="D678" s="9" t="n"/>
      <c r="E678" s="9" t="n"/>
      <c r="F678" s="10" t="n"/>
      <c r="G678" s="12">
        <f>IF($A678="",0,IF($I678="",0,$F678))</f>
        <v/>
      </c>
      <c r="H678" s="12">
        <f>IF($A678="","",$F678-$G678)</f>
        <v/>
      </c>
      <c r="I678" s="9" t="n"/>
      <c r="J678" s="9" t="n"/>
    </row>
    <row r="679">
      <c r="A679" s="9" t="n"/>
      <c r="B679" s="19" t="n"/>
      <c r="C679" s="9" t="n"/>
      <c r="D679" s="9" t="n"/>
      <c r="E679" s="9" t="n"/>
      <c r="F679" s="10" t="n"/>
      <c r="G679" s="12">
        <f>IF($A679="",0,IF($I679="",0,$F679))</f>
        <v/>
      </c>
      <c r="H679" s="12">
        <f>IF($A679="","",$F679-$G679)</f>
        <v/>
      </c>
      <c r="I679" s="9" t="n"/>
      <c r="J679" s="9" t="n"/>
    </row>
    <row r="680">
      <c r="A680" s="9" t="n"/>
      <c r="B680" s="19" t="n"/>
      <c r="C680" s="9" t="n"/>
      <c r="D680" s="9" t="n"/>
      <c r="E680" s="9" t="n"/>
      <c r="F680" s="10" t="n"/>
      <c r="G680" s="12">
        <f>IF($A680="",0,IF($I680="",0,$F680))</f>
        <v/>
      </c>
      <c r="H680" s="12">
        <f>IF($A680="","",$F680-$G680)</f>
        <v/>
      </c>
      <c r="I680" s="9" t="n"/>
      <c r="J680" s="9" t="n"/>
    </row>
    <row r="681">
      <c r="A681" s="9" t="n"/>
      <c r="B681" s="19" t="n"/>
      <c r="C681" s="9" t="n"/>
      <c r="D681" s="9" t="n"/>
      <c r="E681" s="9" t="n"/>
      <c r="F681" s="10" t="n"/>
      <c r="G681" s="12">
        <f>IF($A681="",0,IF($I681="",0,$F681))</f>
        <v/>
      </c>
      <c r="H681" s="12">
        <f>IF($A681="","",$F681-$G681)</f>
        <v/>
      </c>
      <c r="I681" s="9" t="n"/>
      <c r="J681" s="9" t="n"/>
    </row>
    <row r="682">
      <c r="A682" s="9" t="n"/>
      <c r="B682" s="19" t="n"/>
      <c r="C682" s="9" t="n"/>
      <c r="D682" s="9" t="n"/>
      <c r="E682" s="9" t="n"/>
      <c r="F682" s="10" t="n"/>
      <c r="G682" s="12">
        <f>IF($A682="",0,IF($I682="",0,$F682))</f>
        <v/>
      </c>
      <c r="H682" s="12">
        <f>IF($A682="","",$F682-$G682)</f>
        <v/>
      </c>
      <c r="I682" s="9" t="n"/>
      <c r="J682" s="9" t="n"/>
    </row>
    <row r="683">
      <c r="A683" s="9" t="n"/>
      <c r="B683" s="19" t="n"/>
      <c r="C683" s="9" t="n"/>
      <c r="D683" s="9" t="n"/>
      <c r="E683" s="9" t="n"/>
      <c r="F683" s="10" t="n"/>
      <c r="G683" s="12">
        <f>IF($A683="",0,IF($I683="",0,$F683))</f>
        <v/>
      </c>
      <c r="H683" s="12">
        <f>IF($A683="","",$F683-$G683)</f>
        <v/>
      </c>
      <c r="I683" s="9" t="n"/>
      <c r="J683" s="9" t="n"/>
    </row>
    <row r="684">
      <c r="A684" s="9" t="n"/>
      <c r="B684" s="19" t="n"/>
      <c r="C684" s="9" t="n"/>
      <c r="D684" s="9" t="n"/>
      <c r="E684" s="9" t="n"/>
      <c r="F684" s="10" t="n"/>
      <c r="G684" s="12">
        <f>IF($A684="",0,IF($I684="",0,$F684))</f>
        <v/>
      </c>
      <c r="H684" s="12">
        <f>IF($A684="","",$F684-$G684)</f>
        <v/>
      </c>
      <c r="I684" s="9" t="n"/>
      <c r="J684" s="9" t="n"/>
    </row>
    <row r="685">
      <c r="A685" s="9" t="n"/>
      <c r="B685" s="19" t="n"/>
      <c r="C685" s="9" t="n"/>
      <c r="D685" s="9" t="n"/>
      <c r="E685" s="9" t="n"/>
      <c r="F685" s="10" t="n"/>
      <c r="G685" s="12">
        <f>IF($A685="",0,IF($I685="",0,$F685))</f>
        <v/>
      </c>
      <c r="H685" s="12">
        <f>IF($A685="","",$F685-$G685)</f>
        <v/>
      </c>
      <c r="I685" s="9" t="n"/>
      <c r="J685" s="9" t="n"/>
    </row>
    <row r="686">
      <c r="A686" s="9" t="n"/>
      <c r="B686" s="19" t="n"/>
      <c r="C686" s="9" t="n"/>
      <c r="D686" s="9" t="n"/>
      <c r="E686" s="9" t="n"/>
      <c r="F686" s="10" t="n"/>
      <c r="G686" s="12">
        <f>IF($A686="",0,IF($I686="",0,$F686))</f>
        <v/>
      </c>
      <c r="H686" s="12">
        <f>IF($A686="","",$F686-$G686)</f>
        <v/>
      </c>
      <c r="I686" s="9" t="n"/>
      <c r="J686" s="9" t="n"/>
    </row>
    <row r="687">
      <c r="A687" s="9" t="n"/>
      <c r="B687" s="19" t="n"/>
      <c r="C687" s="9" t="n"/>
      <c r="D687" s="9" t="n"/>
      <c r="E687" s="9" t="n"/>
      <c r="F687" s="10" t="n"/>
      <c r="G687" s="12">
        <f>IF($A687="",0,IF($I687="",0,$F687))</f>
        <v/>
      </c>
      <c r="H687" s="12">
        <f>IF($A687="","",$F687-$G687)</f>
        <v/>
      </c>
      <c r="I687" s="9" t="n"/>
      <c r="J687" s="9" t="n"/>
    </row>
    <row r="688">
      <c r="A688" s="9" t="n"/>
      <c r="B688" s="19" t="n"/>
      <c r="C688" s="9" t="n"/>
      <c r="D688" s="9" t="n"/>
      <c r="E688" s="9" t="n"/>
      <c r="F688" s="10" t="n"/>
      <c r="G688" s="12">
        <f>IF($A688="",0,IF($I688="",0,$F688))</f>
        <v/>
      </c>
      <c r="H688" s="12">
        <f>IF($A688="","",$F688-$G688)</f>
        <v/>
      </c>
      <c r="I688" s="9" t="n"/>
      <c r="J688" s="9" t="n"/>
    </row>
    <row r="689">
      <c r="A689" s="9" t="n"/>
      <c r="B689" s="19" t="n"/>
      <c r="C689" s="9" t="n"/>
      <c r="D689" s="9" t="n"/>
      <c r="E689" s="9" t="n"/>
      <c r="F689" s="10" t="n"/>
      <c r="G689" s="12">
        <f>IF($A689="",0,IF($I689="",0,$F689))</f>
        <v/>
      </c>
      <c r="H689" s="12">
        <f>IF($A689="","",$F689-$G689)</f>
        <v/>
      </c>
      <c r="I689" s="9" t="n"/>
      <c r="J689" s="9" t="n"/>
    </row>
    <row r="690">
      <c r="A690" s="9" t="n"/>
      <c r="B690" s="19" t="n"/>
      <c r="C690" s="9" t="n"/>
      <c r="D690" s="9" t="n"/>
      <c r="E690" s="9" t="n"/>
      <c r="F690" s="10" t="n"/>
      <c r="G690" s="12">
        <f>IF($A690="",0,IF($I690="",0,$F690))</f>
        <v/>
      </c>
      <c r="H690" s="12">
        <f>IF($A690="","",$F690-$G690)</f>
        <v/>
      </c>
      <c r="I690" s="9" t="n"/>
      <c r="J690" s="9" t="n"/>
    </row>
    <row r="691">
      <c r="A691" s="9" t="n"/>
      <c r="B691" s="19" t="n"/>
      <c r="C691" s="9" t="n"/>
      <c r="D691" s="9" t="n"/>
      <c r="E691" s="9" t="n"/>
      <c r="F691" s="10" t="n"/>
      <c r="G691" s="12">
        <f>IF($A691="",0,IF($I691="",0,$F691))</f>
        <v/>
      </c>
      <c r="H691" s="12">
        <f>IF($A691="","",$F691-$G691)</f>
        <v/>
      </c>
      <c r="I691" s="9" t="n"/>
      <c r="J691" s="9" t="n"/>
    </row>
    <row r="692">
      <c r="A692" s="9" t="n"/>
      <c r="B692" s="19" t="n"/>
      <c r="C692" s="9" t="n"/>
      <c r="D692" s="9" t="n"/>
      <c r="E692" s="9" t="n"/>
      <c r="F692" s="10" t="n"/>
      <c r="G692" s="12">
        <f>IF($A692="",0,IF($I692="",0,$F692))</f>
        <v/>
      </c>
      <c r="H692" s="12">
        <f>IF($A692="","",$F692-$G692)</f>
        <v/>
      </c>
      <c r="I692" s="9" t="n"/>
      <c r="J692" s="9" t="n"/>
    </row>
    <row r="693">
      <c r="A693" s="9" t="n"/>
      <c r="B693" s="19" t="n"/>
      <c r="C693" s="9" t="n"/>
      <c r="D693" s="9" t="n"/>
      <c r="E693" s="9" t="n"/>
      <c r="F693" s="10" t="n"/>
      <c r="G693" s="12">
        <f>IF($A693="",0,IF($I693="",0,$F693))</f>
        <v/>
      </c>
      <c r="H693" s="12">
        <f>IF($A693="","",$F693-$G693)</f>
        <v/>
      </c>
      <c r="I693" s="9" t="n"/>
      <c r="J693" s="9" t="n"/>
    </row>
    <row r="694">
      <c r="A694" s="9" t="n"/>
      <c r="B694" s="19" t="n"/>
      <c r="C694" s="9" t="n"/>
      <c r="D694" s="9" t="n"/>
      <c r="E694" s="9" t="n"/>
      <c r="F694" s="10" t="n"/>
      <c r="G694" s="12">
        <f>IF($A694="",0,IF($I694="",0,$F694))</f>
        <v/>
      </c>
      <c r="H694" s="12">
        <f>IF($A694="","",$F694-$G694)</f>
        <v/>
      </c>
      <c r="I694" s="9" t="n"/>
      <c r="J694" s="9" t="n"/>
    </row>
    <row r="695">
      <c r="A695" s="9" t="n"/>
      <c r="B695" s="19" t="n"/>
      <c r="C695" s="9" t="n"/>
      <c r="D695" s="9" t="n"/>
      <c r="E695" s="9" t="n"/>
      <c r="F695" s="10" t="n"/>
      <c r="G695" s="12">
        <f>IF($A695="",0,IF($I695="",0,$F695))</f>
        <v/>
      </c>
      <c r="H695" s="12">
        <f>IF($A695="","",$F695-$G695)</f>
        <v/>
      </c>
      <c r="I695" s="9" t="n"/>
      <c r="J695" s="9" t="n"/>
    </row>
    <row r="696">
      <c r="A696" s="9" t="n"/>
      <c r="B696" s="19" t="n"/>
      <c r="C696" s="9" t="n"/>
      <c r="D696" s="9" t="n"/>
      <c r="E696" s="9" t="n"/>
      <c r="F696" s="10" t="n"/>
      <c r="G696" s="12">
        <f>IF($A696="",0,IF($I696="",0,$F696))</f>
        <v/>
      </c>
      <c r="H696" s="12">
        <f>IF($A696="","",$F696-$G696)</f>
        <v/>
      </c>
      <c r="I696" s="9" t="n"/>
      <c r="J696" s="9" t="n"/>
    </row>
    <row r="697">
      <c r="A697" s="9" t="n"/>
      <c r="B697" s="19" t="n"/>
      <c r="C697" s="9" t="n"/>
      <c r="D697" s="9" t="n"/>
      <c r="E697" s="9" t="n"/>
      <c r="F697" s="10" t="n"/>
      <c r="G697" s="12">
        <f>IF($A697="",0,IF($I697="",0,$F697))</f>
        <v/>
      </c>
      <c r="H697" s="12">
        <f>IF($A697="","",$F697-$G697)</f>
        <v/>
      </c>
      <c r="I697" s="9" t="n"/>
      <c r="J697" s="9" t="n"/>
    </row>
    <row r="698">
      <c r="A698" s="9" t="n"/>
      <c r="B698" s="19" t="n"/>
      <c r="C698" s="9" t="n"/>
      <c r="D698" s="9" t="n"/>
      <c r="E698" s="9" t="n"/>
      <c r="F698" s="10" t="n"/>
      <c r="G698" s="12">
        <f>IF($A698="",0,IF($I698="",0,$F698))</f>
        <v/>
      </c>
      <c r="H698" s="12">
        <f>IF($A698="","",$F698-$G698)</f>
        <v/>
      </c>
      <c r="I698" s="9" t="n"/>
      <c r="J698" s="9" t="n"/>
    </row>
    <row r="699">
      <c r="A699" s="9" t="n"/>
      <c r="B699" s="19" t="n"/>
      <c r="C699" s="9" t="n"/>
      <c r="D699" s="9" t="n"/>
      <c r="E699" s="9" t="n"/>
      <c r="F699" s="10" t="n"/>
      <c r="G699" s="12">
        <f>IF($A699="",0,IF($I699="",0,$F699))</f>
        <v/>
      </c>
      <c r="H699" s="12">
        <f>IF($A699="","",$F699-$G699)</f>
        <v/>
      </c>
      <c r="I699" s="9" t="n"/>
      <c r="J699" s="9" t="n"/>
    </row>
    <row r="700">
      <c r="A700" s="9" t="n"/>
      <c r="B700" s="19" t="n"/>
      <c r="C700" s="9" t="n"/>
      <c r="D700" s="9" t="n"/>
      <c r="E700" s="9" t="n"/>
      <c r="F700" s="10" t="n"/>
      <c r="G700" s="12">
        <f>IF($A700="",0,IF($I700="",0,$F700))</f>
        <v/>
      </c>
      <c r="H700" s="12">
        <f>IF($A700="","",$F700-$G700)</f>
        <v/>
      </c>
      <c r="I700" s="9" t="n"/>
      <c r="J700" s="9" t="n"/>
    </row>
    <row r="701">
      <c r="A701" s="9" t="n"/>
      <c r="B701" s="19" t="n"/>
      <c r="C701" s="9" t="n"/>
      <c r="D701" s="9" t="n"/>
      <c r="E701" s="9" t="n"/>
      <c r="F701" s="10" t="n"/>
      <c r="G701" s="12">
        <f>IF($A701="",0,IF($I701="",0,$F701))</f>
        <v/>
      </c>
      <c r="H701" s="12">
        <f>IF($A701="","",$F701-$G701)</f>
        <v/>
      </c>
      <c r="I701" s="9" t="n"/>
      <c r="J701" s="9" t="n"/>
    </row>
    <row r="702">
      <c r="A702" s="9" t="n"/>
      <c r="B702" s="19" t="n"/>
      <c r="C702" s="9" t="n"/>
      <c r="D702" s="9" t="n"/>
      <c r="E702" s="9" t="n"/>
      <c r="F702" s="10" t="n"/>
      <c r="G702" s="12">
        <f>IF($A702="",0,IF($I702="",0,$F702))</f>
        <v/>
      </c>
      <c r="H702" s="12">
        <f>IF($A702="","",$F702-$G702)</f>
        <v/>
      </c>
      <c r="I702" s="9" t="n"/>
      <c r="J702" s="9" t="n"/>
    </row>
    <row r="703">
      <c r="A703" s="9" t="n"/>
      <c r="B703" s="19" t="n"/>
      <c r="C703" s="9" t="n"/>
      <c r="D703" s="9" t="n"/>
      <c r="E703" s="9" t="n"/>
      <c r="F703" s="10" t="n"/>
      <c r="G703" s="12">
        <f>IF($A703="",0,IF($I703="",0,$F703))</f>
        <v/>
      </c>
      <c r="H703" s="12">
        <f>IF($A703="","",$F703-$G703)</f>
        <v/>
      </c>
      <c r="I703" s="9" t="n"/>
      <c r="J703" s="9" t="n"/>
    </row>
    <row r="704">
      <c r="A704" s="9" t="n"/>
      <c r="B704" s="19" t="n"/>
      <c r="C704" s="9" t="n"/>
      <c r="D704" s="9" t="n"/>
      <c r="E704" s="9" t="n"/>
      <c r="F704" s="10" t="n"/>
      <c r="G704" s="12">
        <f>IF($A704="",0,IF($I704="",0,$F704))</f>
        <v/>
      </c>
      <c r="H704" s="12">
        <f>IF($A704="","",$F704-$G704)</f>
        <v/>
      </c>
      <c r="I704" s="9" t="n"/>
      <c r="J704" s="9" t="n"/>
    </row>
    <row r="705">
      <c r="A705" s="9" t="n"/>
      <c r="B705" s="19" t="n"/>
      <c r="C705" s="9" t="n"/>
      <c r="D705" s="9" t="n"/>
      <c r="E705" s="9" t="n"/>
      <c r="F705" s="10" t="n"/>
      <c r="G705" s="12">
        <f>IF($A705="",0,IF($I705="",0,$F705))</f>
        <v/>
      </c>
      <c r="H705" s="12">
        <f>IF($A705="","",$F705-$G705)</f>
        <v/>
      </c>
      <c r="I705" s="9" t="n"/>
      <c r="J705" s="9" t="n"/>
    </row>
    <row r="706">
      <c r="A706" s="9" t="n"/>
      <c r="B706" s="19" t="n"/>
      <c r="C706" s="9" t="n"/>
      <c r="D706" s="9" t="n"/>
      <c r="E706" s="9" t="n"/>
      <c r="F706" s="10" t="n"/>
      <c r="G706" s="12">
        <f>IF($A706="",0,IF($I706="",0,$F706))</f>
        <v/>
      </c>
      <c r="H706" s="12">
        <f>IF($A706="","",$F706-$G706)</f>
        <v/>
      </c>
      <c r="I706" s="9" t="n"/>
      <c r="J706" s="9" t="n"/>
    </row>
    <row r="707">
      <c r="A707" s="9" t="n"/>
      <c r="B707" s="19" t="n"/>
      <c r="C707" s="9" t="n"/>
      <c r="D707" s="9" t="n"/>
      <c r="E707" s="9" t="n"/>
      <c r="F707" s="10" t="n"/>
      <c r="G707" s="12">
        <f>IF($A707="",0,IF($I707="",0,$F707))</f>
        <v/>
      </c>
      <c r="H707" s="12">
        <f>IF($A707="","",$F707-$G707)</f>
        <v/>
      </c>
      <c r="I707" s="9" t="n"/>
      <c r="J707" s="9" t="n"/>
    </row>
    <row r="708">
      <c r="A708" s="9" t="n"/>
      <c r="B708" s="19" t="n"/>
      <c r="C708" s="9" t="n"/>
      <c r="D708" s="9" t="n"/>
      <c r="E708" s="9" t="n"/>
      <c r="F708" s="10" t="n"/>
      <c r="G708" s="12">
        <f>IF($A708="",0,IF($I708="",0,$F708))</f>
        <v/>
      </c>
      <c r="H708" s="12">
        <f>IF($A708="","",$F708-$G708)</f>
        <v/>
      </c>
      <c r="I708" s="9" t="n"/>
      <c r="J708" s="9" t="n"/>
    </row>
    <row r="709">
      <c r="A709" s="9" t="n"/>
      <c r="B709" s="19" t="n"/>
      <c r="C709" s="9" t="n"/>
      <c r="D709" s="9" t="n"/>
      <c r="E709" s="9" t="n"/>
      <c r="F709" s="10" t="n"/>
      <c r="G709" s="12">
        <f>IF($A709="",0,IF($I709="",0,$F709))</f>
        <v/>
      </c>
      <c r="H709" s="12">
        <f>IF($A709="","",$F709-$G709)</f>
        <v/>
      </c>
      <c r="I709" s="9" t="n"/>
      <c r="J709" s="9" t="n"/>
    </row>
    <row r="710">
      <c r="A710" s="9" t="n"/>
      <c r="B710" s="19" t="n"/>
      <c r="C710" s="9" t="n"/>
      <c r="D710" s="9" t="n"/>
      <c r="E710" s="9" t="n"/>
      <c r="F710" s="10" t="n"/>
      <c r="G710" s="12">
        <f>IF($A710="",0,IF($I710="",0,$F710))</f>
        <v/>
      </c>
      <c r="H710" s="12">
        <f>IF($A710="","",$F710-$G710)</f>
        <v/>
      </c>
      <c r="I710" s="9" t="n"/>
      <c r="J710" s="9" t="n"/>
    </row>
    <row r="711">
      <c r="A711" s="9" t="n"/>
      <c r="B711" s="19" t="n"/>
      <c r="C711" s="9" t="n"/>
      <c r="D711" s="9" t="n"/>
      <c r="E711" s="9" t="n"/>
      <c r="F711" s="10" t="n"/>
      <c r="G711" s="12">
        <f>IF($A711="",0,IF($I711="",0,$F711))</f>
        <v/>
      </c>
      <c r="H711" s="12">
        <f>IF($A711="","",$F711-$G711)</f>
        <v/>
      </c>
      <c r="I711" s="9" t="n"/>
      <c r="J711" s="9" t="n"/>
    </row>
    <row r="712">
      <c r="A712" s="9" t="n"/>
      <c r="B712" s="19" t="n"/>
      <c r="C712" s="9" t="n"/>
      <c r="D712" s="9" t="n"/>
      <c r="E712" s="9" t="n"/>
      <c r="F712" s="10" t="n"/>
      <c r="G712" s="12">
        <f>IF($A712="",0,IF($I712="",0,$F712))</f>
        <v/>
      </c>
      <c r="H712" s="12">
        <f>IF($A712="","",$F712-$G712)</f>
        <v/>
      </c>
      <c r="I712" s="9" t="n"/>
      <c r="J712" s="9" t="n"/>
    </row>
    <row r="713">
      <c r="A713" s="9" t="n"/>
      <c r="B713" s="19" t="n"/>
      <c r="C713" s="9" t="n"/>
      <c r="D713" s="9" t="n"/>
      <c r="E713" s="9" t="n"/>
      <c r="F713" s="10" t="n"/>
      <c r="G713" s="12">
        <f>IF($A713="",0,IF($I713="",0,$F713))</f>
        <v/>
      </c>
      <c r="H713" s="12">
        <f>IF($A713="","",$F713-$G713)</f>
        <v/>
      </c>
      <c r="I713" s="9" t="n"/>
      <c r="J713" s="9" t="n"/>
    </row>
    <row r="714">
      <c r="A714" s="9" t="n"/>
      <c r="B714" s="19" t="n"/>
      <c r="C714" s="9" t="n"/>
      <c r="D714" s="9" t="n"/>
      <c r="E714" s="9" t="n"/>
      <c r="F714" s="10" t="n"/>
      <c r="G714" s="12">
        <f>IF($A714="",0,IF($I714="",0,$F714))</f>
        <v/>
      </c>
      <c r="H714" s="12">
        <f>IF($A714="","",$F714-$G714)</f>
        <v/>
      </c>
      <c r="I714" s="9" t="n"/>
      <c r="J714" s="9" t="n"/>
    </row>
    <row r="715">
      <c r="A715" s="9" t="n"/>
      <c r="B715" s="19" t="n"/>
      <c r="C715" s="9" t="n"/>
      <c r="D715" s="9" t="n"/>
      <c r="E715" s="9" t="n"/>
      <c r="F715" s="10" t="n"/>
      <c r="G715" s="12">
        <f>IF($A715="",0,IF($I715="",0,$F715))</f>
        <v/>
      </c>
      <c r="H715" s="12">
        <f>IF($A715="","",$F715-$G715)</f>
        <v/>
      </c>
      <c r="I715" s="9" t="n"/>
      <c r="J715" s="9" t="n"/>
    </row>
    <row r="716">
      <c r="A716" s="9" t="n"/>
      <c r="B716" s="19" t="n"/>
      <c r="C716" s="9" t="n"/>
      <c r="D716" s="9" t="n"/>
      <c r="E716" s="9" t="n"/>
      <c r="F716" s="10" t="n"/>
      <c r="G716" s="12">
        <f>IF($A716="",0,IF($I716="",0,$F716))</f>
        <v/>
      </c>
      <c r="H716" s="12">
        <f>IF($A716="","",$F716-$G716)</f>
        <v/>
      </c>
      <c r="I716" s="9" t="n"/>
      <c r="J716" s="9" t="n"/>
    </row>
    <row r="717">
      <c r="A717" s="9" t="n"/>
      <c r="B717" s="19" t="n"/>
      <c r="C717" s="9" t="n"/>
      <c r="D717" s="9" t="n"/>
      <c r="E717" s="9" t="n"/>
      <c r="F717" s="10" t="n"/>
      <c r="G717" s="12">
        <f>IF($A717="",0,IF($I717="",0,$F717))</f>
        <v/>
      </c>
      <c r="H717" s="12">
        <f>IF($A717="","",$F717-$G717)</f>
        <v/>
      </c>
      <c r="I717" s="9" t="n"/>
      <c r="J717" s="9" t="n"/>
    </row>
    <row r="718">
      <c r="A718" s="9" t="n"/>
      <c r="B718" s="19" t="n"/>
      <c r="C718" s="9" t="n"/>
      <c r="D718" s="9" t="n"/>
      <c r="E718" s="9" t="n"/>
      <c r="F718" s="10" t="n"/>
      <c r="G718" s="12">
        <f>IF($A718="",0,IF($I718="",0,$F718))</f>
        <v/>
      </c>
      <c r="H718" s="12">
        <f>IF($A718="","",$F718-$G718)</f>
        <v/>
      </c>
      <c r="I718" s="9" t="n"/>
      <c r="J718" s="9" t="n"/>
    </row>
    <row r="719">
      <c r="A719" s="9" t="n"/>
      <c r="B719" s="19" t="n"/>
      <c r="C719" s="9" t="n"/>
      <c r="D719" s="9" t="n"/>
      <c r="E719" s="9" t="n"/>
      <c r="F719" s="10" t="n"/>
      <c r="G719" s="12">
        <f>IF($A719="",0,IF($I719="",0,$F719))</f>
        <v/>
      </c>
      <c r="H719" s="12">
        <f>IF($A719="","",$F719-$G719)</f>
        <v/>
      </c>
      <c r="I719" s="9" t="n"/>
      <c r="J719" s="9" t="n"/>
    </row>
    <row r="720">
      <c r="A720" s="9" t="n"/>
      <c r="B720" s="19" t="n"/>
      <c r="C720" s="9" t="n"/>
      <c r="D720" s="9" t="n"/>
      <c r="E720" s="9" t="n"/>
      <c r="F720" s="10" t="n"/>
      <c r="G720" s="12">
        <f>IF($A720="",0,IF($I720="",0,$F720))</f>
        <v/>
      </c>
      <c r="H720" s="12">
        <f>IF($A720="","",$F720-$G720)</f>
        <v/>
      </c>
      <c r="I720" s="9" t="n"/>
      <c r="J720" s="9" t="n"/>
    </row>
    <row r="721">
      <c r="A721" s="9" t="n"/>
      <c r="B721" s="19" t="n"/>
      <c r="C721" s="9" t="n"/>
      <c r="D721" s="9" t="n"/>
      <c r="E721" s="9" t="n"/>
      <c r="F721" s="10" t="n"/>
      <c r="G721" s="12">
        <f>IF($A721="",0,IF($I721="",0,$F721))</f>
        <v/>
      </c>
      <c r="H721" s="12">
        <f>IF($A721="","",$F721-$G721)</f>
        <v/>
      </c>
      <c r="I721" s="9" t="n"/>
      <c r="J721" s="9" t="n"/>
    </row>
    <row r="722">
      <c r="A722" s="9" t="n"/>
      <c r="B722" s="19" t="n"/>
      <c r="C722" s="9" t="n"/>
      <c r="D722" s="9" t="n"/>
      <c r="E722" s="9" t="n"/>
      <c r="F722" s="10" t="n"/>
      <c r="G722" s="12">
        <f>IF($A722="",0,IF($I722="",0,$F722))</f>
        <v/>
      </c>
      <c r="H722" s="12">
        <f>IF($A722="","",$F722-$G722)</f>
        <v/>
      </c>
      <c r="I722" s="9" t="n"/>
      <c r="J722" s="9" t="n"/>
    </row>
    <row r="723">
      <c r="A723" s="9" t="n"/>
      <c r="B723" s="19" t="n"/>
      <c r="C723" s="9" t="n"/>
      <c r="D723" s="9" t="n"/>
      <c r="E723" s="9" t="n"/>
      <c r="F723" s="10" t="n"/>
      <c r="G723" s="12">
        <f>IF($A723="",0,IF($I723="",0,$F723))</f>
        <v/>
      </c>
      <c r="H723" s="12">
        <f>IF($A723="","",$F723-$G723)</f>
        <v/>
      </c>
      <c r="I723" s="9" t="n"/>
      <c r="J723" s="9" t="n"/>
    </row>
    <row r="724">
      <c r="A724" s="9" t="n"/>
      <c r="B724" s="19" t="n"/>
      <c r="C724" s="9" t="n"/>
      <c r="D724" s="9" t="n"/>
      <c r="E724" s="9" t="n"/>
      <c r="F724" s="10" t="n"/>
      <c r="G724" s="12">
        <f>IF($A724="",0,IF($I724="",0,$F724))</f>
        <v/>
      </c>
      <c r="H724" s="12">
        <f>IF($A724="","",$F724-$G724)</f>
        <v/>
      </c>
      <c r="I724" s="9" t="n"/>
      <c r="J724" s="9" t="n"/>
    </row>
    <row r="725">
      <c r="A725" s="9" t="n"/>
      <c r="B725" s="19" t="n"/>
      <c r="C725" s="9" t="n"/>
      <c r="D725" s="9" t="n"/>
      <c r="E725" s="9" t="n"/>
      <c r="F725" s="10" t="n"/>
      <c r="G725" s="12">
        <f>IF($A725="",0,IF($I725="",0,$F725))</f>
        <v/>
      </c>
      <c r="H725" s="12">
        <f>IF($A725="","",$F725-$G725)</f>
        <v/>
      </c>
      <c r="I725" s="9" t="n"/>
      <c r="J725" s="9" t="n"/>
    </row>
    <row r="726">
      <c r="A726" s="9" t="n"/>
      <c r="B726" s="19" t="n"/>
      <c r="C726" s="9" t="n"/>
      <c r="D726" s="9" t="n"/>
      <c r="E726" s="9" t="n"/>
      <c r="F726" s="10" t="n"/>
      <c r="G726" s="12">
        <f>IF($A726="",0,IF($I726="",0,$F726))</f>
        <v/>
      </c>
      <c r="H726" s="12">
        <f>IF($A726="","",$F726-$G726)</f>
        <v/>
      </c>
      <c r="I726" s="9" t="n"/>
      <c r="J726" s="9" t="n"/>
    </row>
    <row r="727">
      <c r="A727" s="9" t="n"/>
      <c r="B727" s="19" t="n"/>
      <c r="C727" s="9" t="n"/>
      <c r="D727" s="9" t="n"/>
      <c r="E727" s="9" t="n"/>
      <c r="F727" s="10" t="n"/>
      <c r="G727" s="12">
        <f>IF($A727="",0,IF($I727="",0,$F727))</f>
        <v/>
      </c>
      <c r="H727" s="12">
        <f>IF($A727="","",$F727-$G727)</f>
        <v/>
      </c>
      <c r="I727" s="9" t="n"/>
      <c r="J727" s="9" t="n"/>
    </row>
    <row r="728">
      <c r="A728" s="9" t="n"/>
      <c r="B728" s="19" t="n"/>
      <c r="C728" s="9" t="n"/>
      <c r="D728" s="9" t="n"/>
      <c r="E728" s="9" t="n"/>
      <c r="F728" s="10" t="n"/>
      <c r="G728" s="12">
        <f>IF($A728="",0,IF($I728="",0,$F728))</f>
        <v/>
      </c>
      <c r="H728" s="12">
        <f>IF($A728="","",$F728-$G728)</f>
        <v/>
      </c>
      <c r="I728" s="9" t="n"/>
      <c r="J728" s="9" t="n"/>
    </row>
    <row r="729">
      <c r="A729" s="9" t="n"/>
      <c r="B729" s="19" t="n"/>
      <c r="C729" s="9" t="n"/>
      <c r="D729" s="9" t="n"/>
      <c r="E729" s="9" t="n"/>
      <c r="F729" s="10" t="n"/>
      <c r="G729" s="12">
        <f>IF($A729="",0,IF($I729="",0,$F729))</f>
        <v/>
      </c>
      <c r="H729" s="12">
        <f>IF($A729="","",$F729-$G729)</f>
        <v/>
      </c>
      <c r="I729" s="9" t="n"/>
      <c r="J729" s="9" t="n"/>
    </row>
    <row r="730">
      <c r="A730" s="9" t="n"/>
      <c r="B730" s="19" t="n"/>
      <c r="C730" s="9" t="n"/>
      <c r="D730" s="9" t="n"/>
      <c r="E730" s="9" t="n"/>
      <c r="F730" s="10" t="n"/>
      <c r="G730" s="12">
        <f>IF($A730="",0,IF($I730="",0,$F730))</f>
        <v/>
      </c>
      <c r="H730" s="12">
        <f>IF($A730="","",$F730-$G730)</f>
        <v/>
      </c>
      <c r="I730" s="9" t="n"/>
      <c r="J730" s="9" t="n"/>
    </row>
    <row r="731">
      <c r="A731" s="9" t="n"/>
      <c r="B731" s="19" t="n"/>
      <c r="C731" s="9" t="n"/>
      <c r="D731" s="9" t="n"/>
      <c r="E731" s="9" t="n"/>
      <c r="F731" s="10" t="n"/>
      <c r="G731" s="12">
        <f>IF($A731="",0,IF($I731="",0,$F731))</f>
        <v/>
      </c>
      <c r="H731" s="12">
        <f>IF($A731="","",$F731-$G731)</f>
        <v/>
      </c>
      <c r="I731" s="9" t="n"/>
      <c r="J731" s="9" t="n"/>
    </row>
    <row r="732">
      <c r="A732" s="9" t="n"/>
      <c r="B732" s="19" t="n"/>
      <c r="C732" s="9" t="n"/>
      <c r="D732" s="9" t="n"/>
      <c r="E732" s="9" t="n"/>
      <c r="F732" s="10" t="n"/>
      <c r="G732" s="12">
        <f>IF($A732="",0,IF($I732="",0,$F732))</f>
        <v/>
      </c>
      <c r="H732" s="12">
        <f>IF($A732="","",$F732-$G732)</f>
        <v/>
      </c>
      <c r="I732" s="9" t="n"/>
      <c r="J732" s="9" t="n"/>
    </row>
    <row r="733">
      <c r="A733" s="9" t="n"/>
      <c r="B733" s="19" t="n"/>
      <c r="C733" s="9" t="n"/>
      <c r="D733" s="9" t="n"/>
      <c r="E733" s="9" t="n"/>
      <c r="F733" s="10" t="n"/>
      <c r="G733" s="12">
        <f>IF($A733="",0,IF($I733="",0,$F733))</f>
        <v/>
      </c>
      <c r="H733" s="12">
        <f>IF($A733="","",$F733-$G733)</f>
        <v/>
      </c>
      <c r="I733" s="9" t="n"/>
      <c r="J733" s="9" t="n"/>
    </row>
    <row r="734">
      <c r="A734" s="9" t="n"/>
      <c r="B734" s="19" t="n"/>
      <c r="C734" s="9" t="n"/>
      <c r="D734" s="9" t="n"/>
      <c r="E734" s="9" t="n"/>
      <c r="F734" s="10" t="n"/>
      <c r="G734" s="12">
        <f>IF($A734="",0,IF($I734="",0,$F734))</f>
        <v/>
      </c>
      <c r="H734" s="12">
        <f>IF($A734="","",$F734-$G734)</f>
        <v/>
      </c>
      <c r="I734" s="9" t="n"/>
      <c r="J734" s="9" t="n"/>
    </row>
    <row r="735">
      <c r="A735" s="9" t="n"/>
      <c r="B735" s="19" t="n"/>
      <c r="C735" s="9" t="n"/>
      <c r="D735" s="9" t="n"/>
      <c r="E735" s="9" t="n"/>
      <c r="F735" s="10" t="n"/>
      <c r="G735" s="12">
        <f>IF($A735="",0,IF($I735="",0,$F735))</f>
        <v/>
      </c>
      <c r="H735" s="12">
        <f>IF($A735="","",$F735-$G735)</f>
        <v/>
      </c>
      <c r="I735" s="9" t="n"/>
      <c r="J735" s="9" t="n"/>
    </row>
    <row r="736">
      <c r="A736" s="9" t="n"/>
      <c r="B736" s="19" t="n"/>
      <c r="C736" s="9" t="n"/>
      <c r="D736" s="9" t="n"/>
      <c r="E736" s="9" t="n"/>
      <c r="F736" s="10" t="n"/>
      <c r="G736" s="12">
        <f>IF($A736="",0,IF($I736="",0,$F736))</f>
        <v/>
      </c>
      <c r="H736" s="12">
        <f>IF($A736="","",$F736-$G736)</f>
        <v/>
      </c>
      <c r="I736" s="9" t="n"/>
      <c r="J736" s="9" t="n"/>
    </row>
    <row r="737">
      <c r="A737" s="9" t="n"/>
      <c r="B737" s="19" t="n"/>
      <c r="C737" s="9" t="n"/>
      <c r="D737" s="9" t="n"/>
      <c r="E737" s="9" t="n"/>
      <c r="F737" s="10" t="n"/>
      <c r="G737" s="12">
        <f>IF($A737="",0,IF($I737="",0,$F737))</f>
        <v/>
      </c>
      <c r="H737" s="12">
        <f>IF($A737="","",$F737-$G737)</f>
        <v/>
      </c>
      <c r="I737" s="9" t="n"/>
      <c r="J737" s="9" t="n"/>
    </row>
    <row r="738">
      <c r="A738" s="9" t="n"/>
      <c r="B738" s="19" t="n"/>
      <c r="C738" s="9" t="n"/>
      <c r="D738" s="9" t="n"/>
      <c r="E738" s="9" t="n"/>
      <c r="F738" s="10" t="n"/>
      <c r="G738" s="12">
        <f>IF($A738="",0,IF($I738="",0,$F738))</f>
        <v/>
      </c>
      <c r="H738" s="12">
        <f>IF($A738="","",$F738-$G738)</f>
        <v/>
      </c>
      <c r="I738" s="9" t="n"/>
      <c r="J738" s="9" t="n"/>
    </row>
    <row r="739">
      <c r="A739" s="9" t="n"/>
      <c r="B739" s="19" t="n"/>
      <c r="C739" s="9" t="n"/>
      <c r="D739" s="9" t="n"/>
      <c r="E739" s="9" t="n"/>
      <c r="F739" s="10" t="n"/>
      <c r="G739" s="12">
        <f>IF($A739="",0,IF($I739="",0,$F739))</f>
        <v/>
      </c>
      <c r="H739" s="12">
        <f>IF($A739="","",$F739-$G739)</f>
        <v/>
      </c>
      <c r="I739" s="9" t="n"/>
      <c r="J739" s="9" t="n"/>
    </row>
    <row r="740">
      <c r="A740" s="9" t="n"/>
      <c r="B740" s="19" t="n"/>
      <c r="C740" s="9" t="n"/>
      <c r="D740" s="9" t="n"/>
      <c r="E740" s="9" t="n"/>
      <c r="F740" s="10" t="n"/>
      <c r="G740" s="12">
        <f>IF($A740="",0,IF($I740="",0,$F740))</f>
        <v/>
      </c>
      <c r="H740" s="12">
        <f>IF($A740="","",$F740-$G740)</f>
        <v/>
      </c>
      <c r="I740" s="9" t="n"/>
      <c r="J740" s="9" t="n"/>
    </row>
    <row r="741">
      <c r="A741" s="9" t="n"/>
      <c r="B741" s="19" t="n"/>
      <c r="C741" s="9" t="n"/>
      <c r="D741" s="9" t="n"/>
      <c r="E741" s="9" t="n"/>
      <c r="F741" s="10" t="n"/>
      <c r="G741" s="12">
        <f>IF($A741="",0,IF($I741="",0,$F741))</f>
        <v/>
      </c>
      <c r="H741" s="12">
        <f>IF($A741="","",$F741-$G741)</f>
        <v/>
      </c>
      <c r="I741" s="9" t="n"/>
      <c r="J741" s="9" t="n"/>
    </row>
    <row r="742">
      <c r="A742" s="9" t="n"/>
      <c r="B742" s="19" t="n"/>
      <c r="C742" s="9" t="n"/>
      <c r="D742" s="9" t="n"/>
      <c r="E742" s="9" t="n"/>
      <c r="F742" s="10" t="n"/>
      <c r="G742" s="12">
        <f>IF($A742="",0,IF($I742="",0,$F742))</f>
        <v/>
      </c>
      <c r="H742" s="12">
        <f>IF($A742="","",$F742-$G742)</f>
        <v/>
      </c>
      <c r="I742" s="9" t="n"/>
      <c r="J742" s="9" t="n"/>
    </row>
    <row r="743">
      <c r="A743" s="9" t="n"/>
      <c r="B743" s="19" t="n"/>
      <c r="C743" s="9" t="n"/>
      <c r="D743" s="9" t="n"/>
      <c r="E743" s="9" t="n"/>
      <c r="F743" s="10" t="n"/>
      <c r="G743" s="12">
        <f>IF($A743="",0,IF($I743="",0,$F743))</f>
        <v/>
      </c>
      <c r="H743" s="12">
        <f>IF($A743="","",$F743-$G743)</f>
        <v/>
      </c>
      <c r="I743" s="9" t="n"/>
      <c r="J743" s="9" t="n"/>
    </row>
    <row r="744">
      <c r="A744" s="9" t="n"/>
      <c r="B744" s="19" t="n"/>
      <c r="C744" s="9" t="n"/>
      <c r="D744" s="9" t="n"/>
      <c r="E744" s="9" t="n"/>
      <c r="F744" s="10" t="n"/>
      <c r="G744" s="12">
        <f>IF($A744="",0,IF($I744="",0,$F744))</f>
        <v/>
      </c>
      <c r="H744" s="12">
        <f>IF($A744="","",$F744-$G744)</f>
        <v/>
      </c>
      <c r="I744" s="9" t="n"/>
      <c r="J744" s="9" t="n"/>
    </row>
    <row r="745">
      <c r="A745" s="9" t="n"/>
      <c r="B745" s="19" t="n"/>
      <c r="C745" s="9" t="n"/>
      <c r="D745" s="9" t="n"/>
      <c r="E745" s="9" t="n"/>
      <c r="F745" s="10" t="n"/>
      <c r="G745" s="12">
        <f>IF($A745="",0,IF($I745="",0,$F745))</f>
        <v/>
      </c>
      <c r="H745" s="12">
        <f>IF($A745="","",$F745-$G745)</f>
        <v/>
      </c>
      <c r="I745" s="9" t="n"/>
      <c r="J745" s="9" t="n"/>
    </row>
    <row r="746">
      <c r="A746" s="9" t="n"/>
      <c r="B746" s="19" t="n"/>
      <c r="C746" s="9" t="n"/>
      <c r="D746" s="9" t="n"/>
      <c r="E746" s="9" t="n"/>
      <c r="F746" s="10" t="n"/>
      <c r="G746" s="12">
        <f>IF($A746="",0,IF($I746="",0,$F746))</f>
        <v/>
      </c>
      <c r="H746" s="12">
        <f>IF($A746="","",$F746-$G746)</f>
        <v/>
      </c>
      <c r="I746" s="9" t="n"/>
      <c r="J746" s="9" t="n"/>
    </row>
    <row r="747">
      <c r="A747" s="9" t="n"/>
      <c r="B747" s="19" t="n"/>
      <c r="C747" s="9" t="n"/>
      <c r="D747" s="9" t="n"/>
      <c r="E747" s="9" t="n"/>
      <c r="F747" s="10" t="n"/>
      <c r="G747" s="12">
        <f>IF($A747="",0,IF($I747="",0,$F747))</f>
        <v/>
      </c>
      <c r="H747" s="12">
        <f>IF($A747="","",$F747-$G747)</f>
        <v/>
      </c>
      <c r="I747" s="9" t="n"/>
      <c r="J747" s="9" t="n"/>
    </row>
    <row r="748">
      <c r="A748" s="9" t="n"/>
      <c r="B748" s="19" t="n"/>
      <c r="C748" s="9" t="n"/>
      <c r="D748" s="9" t="n"/>
      <c r="E748" s="9" t="n"/>
      <c r="F748" s="10" t="n"/>
      <c r="G748" s="12">
        <f>IF($A748="",0,IF($I748="",0,$F748))</f>
        <v/>
      </c>
      <c r="H748" s="12">
        <f>IF($A748="","",$F748-$G748)</f>
        <v/>
      </c>
      <c r="I748" s="9" t="n"/>
      <c r="J748" s="9" t="n"/>
    </row>
    <row r="749">
      <c r="A749" s="9" t="n"/>
      <c r="B749" s="19" t="n"/>
      <c r="C749" s="9" t="n"/>
      <c r="D749" s="9" t="n"/>
      <c r="E749" s="9" t="n"/>
      <c r="F749" s="10" t="n"/>
      <c r="G749" s="12">
        <f>IF($A749="",0,IF($I749="",0,$F749))</f>
        <v/>
      </c>
      <c r="H749" s="12">
        <f>IF($A749="","",$F749-$G749)</f>
        <v/>
      </c>
      <c r="I749" s="9" t="n"/>
      <c r="J749" s="9" t="n"/>
    </row>
    <row r="750">
      <c r="A750" s="9" t="n"/>
      <c r="B750" s="19" t="n"/>
      <c r="C750" s="9" t="n"/>
      <c r="D750" s="9" t="n"/>
      <c r="E750" s="9" t="n"/>
      <c r="F750" s="10" t="n"/>
      <c r="G750" s="12">
        <f>IF($A750="",0,IF($I750="",0,$F750))</f>
        <v/>
      </c>
      <c r="H750" s="12">
        <f>IF($A750="","",$F750-$G750)</f>
        <v/>
      </c>
      <c r="I750" s="9" t="n"/>
      <c r="J750" s="9" t="n"/>
    </row>
    <row r="751">
      <c r="A751" s="9" t="n"/>
      <c r="B751" s="19" t="n"/>
      <c r="C751" s="9" t="n"/>
      <c r="D751" s="9" t="n"/>
      <c r="E751" s="9" t="n"/>
      <c r="F751" s="10" t="n"/>
      <c r="G751" s="12">
        <f>IF($A751="",0,IF($I751="",0,$F751))</f>
        <v/>
      </c>
      <c r="H751" s="12">
        <f>IF($A751="","",$F751-$G751)</f>
        <v/>
      </c>
      <c r="I751" s="9" t="n"/>
      <c r="J751" s="9" t="n"/>
    </row>
    <row r="752">
      <c r="A752" s="9" t="n"/>
      <c r="B752" s="19" t="n"/>
      <c r="C752" s="9" t="n"/>
      <c r="D752" s="9" t="n"/>
      <c r="E752" s="9" t="n"/>
      <c r="F752" s="10" t="n"/>
      <c r="G752" s="12">
        <f>IF($A752="",0,IF($I752="",0,$F752))</f>
        <v/>
      </c>
      <c r="H752" s="12">
        <f>IF($A752="","",$F752-$G752)</f>
        <v/>
      </c>
      <c r="I752" s="9" t="n"/>
      <c r="J752" s="9" t="n"/>
    </row>
    <row r="753">
      <c r="A753" s="9" t="n"/>
      <c r="B753" s="19" t="n"/>
      <c r="C753" s="9" t="n"/>
      <c r="D753" s="9" t="n"/>
      <c r="E753" s="9" t="n"/>
      <c r="F753" s="10" t="n"/>
      <c r="G753" s="12">
        <f>IF($A753="",0,IF($I753="",0,$F753))</f>
        <v/>
      </c>
      <c r="H753" s="12">
        <f>IF($A753="","",$F753-$G753)</f>
        <v/>
      </c>
      <c r="I753" s="9" t="n"/>
      <c r="J753" s="9" t="n"/>
    </row>
    <row r="754">
      <c r="A754" s="9" t="n"/>
      <c r="B754" s="19" t="n"/>
      <c r="C754" s="9" t="n"/>
      <c r="D754" s="9" t="n"/>
      <c r="E754" s="9" t="n"/>
      <c r="F754" s="10" t="n"/>
      <c r="G754" s="12">
        <f>IF($A754="",0,IF($I754="",0,$F754))</f>
        <v/>
      </c>
      <c r="H754" s="12">
        <f>IF($A754="","",$F754-$G754)</f>
        <v/>
      </c>
      <c r="I754" s="9" t="n"/>
      <c r="J754" s="9" t="n"/>
    </row>
    <row r="755">
      <c r="A755" s="9" t="n"/>
      <c r="B755" s="19" t="n"/>
      <c r="C755" s="9" t="n"/>
      <c r="D755" s="9" t="n"/>
      <c r="E755" s="9" t="n"/>
      <c r="F755" s="10" t="n"/>
      <c r="G755" s="12">
        <f>IF($A755="",0,IF($I755="",0,$F755))</f>
        <v/>
      </c>
      <c r="H755" s="12">
        <f>IF($A755="","",$F755-$G755)</f>
        <v/>
      </c>
      <c r="I755" s="9" t="n"/>
      <c r="J755" s="9" t="n"/>
    </row>
    <row r="756">
      <c r="A756" s="9" t="n"/>
      <c r="B756" s="19" t="n"/>
      <c r="C756" s="9" t="n"/>
      <c r="D756" s="9" t="n"/>
      <c r="E756" s="9" t="n"/>
      <c r="F756" s="10" t="n"/>
      <c r="G756" s="12">
        <f>IF($A756="",0,IF($I756="",0,$F756))</f>
        <v/>
      </c>
      <c r="H756" s="12">
        <f>IF($A756="","",$F756-$G756)</f>
        <v/>
      </c>
      <c r="I756" s="9" t="n"/>
      <c r="J756" s="9" t="n"/>
    </row>
    <row r="757">
      <c r="A757" s="9" t="n"/>
      <c r="B757" s="19" t="n"/>
      <c r="C757" s="9" t="n"/>
      <c r="D757" s="9" t="n"/>
      <c r="E757" s="9" t="n"/>
      <c r="F757" s="10" t="n"/>
      <c r="G757" s="12">
        <f>IF($A757="",0,IF($I757="",0,$F757))</f>
        <v/>
      </c>
      <c r="H757" s="12">
        <f>IF($A757="","",$F757-$G757)</f>
        <v/>
      </c>
      <c r="I757" s="9" t="n"/>
      <c r="J757" s="9" t="n"/>
    </row>
    <row r="758">
      <c r="A758" s="9" t="n"/>
      <c r="B758" s="19" t="n"/>
      <c r="C758" s="9" t="n"/>
      <c r="D758" s="9" t="n"/>
      <c r="E758" s="9" t="n"/>
      <c r="F758" s="10" t="n"/>
      <c r="G758" s="12">
        <f>IF($A758="",0,IF($I758="",0,$F758))</f>
        <v/>
      </c>
      <c r="H758" s="12">
        <f>IF($A758="","",$F758-$G758)</f>
        <v/>
      </c>
      <c r="I758" s="9" t="n"/>
      <c r="J758" s="9" t="n"/>
    </row>
    <row r="759">
      <c r="A759" s="9" t="n"/>
      <c r="B759" s="19" t="n"/>
      <c r="C759" s="9" t="n"/>
      <c r="D759" s="9" t="n"/>
      <c r="E759" s="9" t="n"/>
      <c r="F759" s="10" t="n"/>
      <c r="G759" s="12">
        <f>IF($A759="",0,IF($I759="",0,$F759))</f>
        <v/>
      </c>
      <c r="H759" s="12">
        <f>IF($A759="","",$F759-$G759)</f>
        <v/>
      </c>
      <c r="I759" s="9" t="n"/>
      <c r="J759" s="9" t="n"/>
    </row>
    <row r="760">
      <c r="A760" s="9" t="n"/>
      <c r="B760" s="19" t="n"/>
      <c r="C760" s="9" t="n"/>
      <c r="D760" s="9" t="n"/>
      <c r="E760" s="9" t="n"/>
      <c r="F760" s="10" t="n"/>
      <c r="G760" s="12">
        <f>IF($A760="",0,IF($I760="",0,$F760))</f>
        <v/>
      </c>
      <c r="H760" s="12">
        <f>IF($A760="","",$F760-$G760)</f>
        <v/>
      </c>
      <c r="I760" s="9" t="n"/>
      <c r="J760" s="9" t="n"/>
    </row>
    <row r="761">
      <c r="A761" s="9" t="n"/>
      <c r="B761" s="19" t="n"/>
      <c r="C761" s="9" t="n"/>
      <c r="D761" s="9" t="n"/>
      <c r="E761" s="9" t="n"/>
      <c r="F761" s="10" t="n"/>
      <c r="G761" s="12">
        <f>IF($A761="",0,IF($I761="",0,$F761))</f>
        <v/>
      </c>
      <c r="H761" s="12">
        <f>IF($A761="","",$F761-$G761)</f>
        <v/>
      </c>
      <c r="I761" s="9" t="n"/>
      <c r="J761" s="9" t="n"/>
    </row>
    <row r="762">
      <c r="A762" s="9" t="n"/>
      <c r="B762" s="19" t="n"/>
      <c r="C762" s="9" t="n"/>
      <c r="D762" s="9" t="n"/>
      <c r="E762" s="9" t="n"/>
      <c r="F762" s="10" t="n"/>
      <c r="G762" s="12">
        <f>IF($A762="",0,IF($I762="",0,$F762))</f>
        <v/>
      </c>
      <c r="H762" s="12">
        <f>IF($A762="","",$F762-$G762)</f>
        <v/>
      </c>
      <c r="I762" s="9" t="n"/>
      <c r="J762" s="9" t="n"/>
    </row>
    <row r="763">
      <c r="A763" s="9" t="n"/>
      <c r="B763" s="19" t="n"/>
      <c r="C763" s="9" t="n"/>
      <c r="D763" s="9" t="n"/>
      <c r="E763" s="9" t="n"/>
      <c r="F763" s="10" t="n"/>
      <c r="G763" s="12">
        <f>IF($A763="",0,IF($I763="",0,$F763))</f>
        <v/>
      </c>
      <c r="H763" s="12">
        <f>IF($A763="","",$F763-$G763)</f>
        <v/>
      </c>
      <c r="I763" s="9" t="n"/>
      <c r="J763" s="9" t="n"/>
    </row>
    <row r="764">
      <c r="A764" s="9" t="n"/>
      <c r="B764" s="19" t="n"/>
      <c r="C764" s="9" t="n"/>
      <c r="D764" s="9" t="n"/>
      <c r="E764" s="9" t="n"/>
      <c r="F764" s="10" t="n"/>
      <c r="G764" s="12">
        <f>IF($A764="",0,IF($I764="",0,$F764))</f>
        <v/>
      </c>
      <c r="H764" s="12">
        <f>IF($A764="","",$F764-$G764)</f>
        <v/>
      </c>
      <c r="I764" s="9" t="n"/>
      <c r="J764" s="9" t="n"/>
    </row>
    <row r="765">
      <c r="A765" s="9" t="n"/>
      <c r="B765" s="19" t="n"/>
      <c r="C765" s="9" t="n"/>
      <c r="D765" s="9" t="n"/>
      <c r="E765" s="9" t="n"/>
      <c r="F765" s="10" t="n"/>
      <c r="G765" s="12">
        <f>IF($A765="",0,IF($I765="",0,$F765))</f>
        <v/>
      </c>
      <c r="H765" s="12">
        <f>IF($A765="","",$F765-$G765)</f>
        <v/>
      </c>
      <c r="I765" s="9" t="n"/>
      <c r="J765" s="9" t="n"/>
    </row>
    <row r="766">
      <c r="A766" s="9" t="n"/>
      <c r="B766" s="19" t="n"/>
      <c r="C766" s="9" t="n"/>
      <c r="D766" s="9" t="n"/>
      <c r="E766" s="9" t="n"/>
      <c r="F766" s="10" t="n"/>
      <c r="G766" s="12">
        <f>IF($A766="",0,IF($I766="",0,$F766))</f>
        <v/>
      </c>
      <c r="H766" s="12">
        <f>IF($A766="","",$F766-$G766)</f>
        <v/>
      </c>
      <c r="I766" s="9" t="n"/>
      <c r="J766" s="9" t="n"/>
    </row>
    <row r="767">
      <c r="A767" s="9" t="n"/>
      <c r="B767" s="19" t="n"/>
      <c r="C767" s="9" t="n"/>
      <c r="D767" s="9" t="n"/>
      <c r="E767" s="9" t="n"/>
      <c r="F767" s="10" t="n"/>
      <c r="G767" s="12">
        <f>IF($A767="",0,IF($I767="",0,$F767))</f>
        <v/>
      </c>
      <c r="H767" s="12">
        <f>IF($A767="","",$F767-$G767)</f>
        <v/>
      </c>
      <c r="I767" s="9" t="n"/>
      <c r="J767" s="9" t="n"/>
    </row>
    <row r="768">
      <c r="A768" s="9" t="n"/>
      <c r="B768" s="19" t="n"/>
      <c r="C768" s="9" t="n"/>
      <c r="D768" s="9" t="n"/>
      <c r="E768" s="9" t="n"/>
      <c r="F768" s="10" t="n"/>
      <c r="G768" s="12">
        <f>IF($A768="",0,IF($I768="",0,$F768))</f>
        <v/>
      </c>
      <c r="H768" s="12">
        <f>IF($A768="","",$F768-$G768)</f>
        <v/>
      </c>
      <c r="I768" s="9" t="n"/>
      <c r="J768" s="9" t="n"/>
    </row>
    <row r="769">
      <c r="A769" s="9" t="n"/>
      <c r="B769" s="19" t="n"/>
      <c r="C769" s="9" t="n"/>
      <c r="D769" s="9" t="n"/>
      <c r="E769" s="9" t="n"/>
      <c r="F769" s="10" t="n"/>
      <c r="G769" s="12">
        <f>IF($A769="",0,IF($I769="",0,$F769))</f>
        <v/>
      </c>
      <c r="H769" s="12">
        <f>IF($A769="","",$F769-$G769)</f>
        <v/>
      </c>
      <c r="I769" s="9" t="n"/>
      <c r="J769" s="9" t="n"/>
    </row>
    <row r="770">
      <c r="A770" s="9" t="n"/>
      <c r="B770" s="19" t="n"/>
      <c r="C770" s="9" t="n"/>
      <c r="D770" s="9" t="n"/>
      <c r="E770" s="9" t="n"/>
      <c r="F770" s="10" t="n"/>
      <c r="G770" s="12">
        <f>IF($A770="",0,IF($I770="",0,$F770))</f>
        <v/>
      </c>
      <c r="H770" s="12">
        <f>IF($A770="","",$F770-$G770)</f>
        <v/>
      </c>
      <c r="I770" s="9" t="n"/>
      <c r="J770" s="9" t="n"/>
    </row>
    <row r="771">
      <c r="A771" s="9" t="n"/>
      <c r="B771" s="19" t="n"/>
      <c r="C771" s="9" t="n"/>
      <c r="D771" s="9" t="n"/>
      <c r="E771" s="9" t="n"/>
      <c r="F771" s="10" t="n"/>
      <c r="G771" s="12">
        <f>IF($A771="",0,IF($I771="",0,$F771))</f>
        <v/>
      </c>
      <c r="H771" s="12">
        <f>IF($A771="","",$F771-$G771)</f>
        <v/>
      </c>
      <c r="I771" s="9" t="n"/>
      <c r="J771" s="9" t="n"/>
    </row>
    <row r="772">
      <c r="A772" s="9" t="n"/>
      <c r="B772" s="19" t="n"/>
      <c r="C772" s="9" t="n"/>
      <c r="D772" s="9" t="n"/>
      <c r="E772" s="9" t="n"/>
      <c r="F772" s="10" t="n"/>
      <c r="G772" s="12">
        <f>IF($A772="",0,IF($I772="",0,$F772))</f>
        <v/>
      </c>
      <c r="H772" s="12">
        <f>IF($A772="","",$F772-$G772)</f>
        <v/>
      </c>
      <c r="I772" s="9" t="n"/>
      <c r="J772" s="9" t="n"/>
    </row>
    <row r="773">
      <c r="A773" s="9" t="n"/>
      <c r="B773" s="19" t="n"/>
      <c r="C773" s="9" t="n"/>
      <c r="D773" s="9" t="n"/>
      <c r="E773" s="9" t="n"/>
      <c r="F773" s="10" t="n"/>
      <c r="G773" s="12">
        <f>IF($A773="",0,IF($I773="",0,$F773))</f>
        <v/>
      </c>
      <c r="H773" s="12">
        <f>IF($A773="","",$F773-$G773)</f>
        <v/>
      </c>
      <c r="I773" s="9" t="n"/>
      <c r="J773" s="9" t="n"/>
    </row>
    <row r="774">
      <c r="A774" s="9" t="n"/>
      <c r="B774" s="19" t="n"/>
      <c r="C774" s="9" t="n"/>
      <c r="D774" s="9" t="n"/>
      <c r="E774" s="9" t="n"/>
      <c r="F774" s="10" t="n"/>
      <c r="G774" s="12">
        <f>IF($A774="",0,IF($I774="",0,$F774))</f>
        <v/>
      </c>
      <c r="H774" s="12">
        <f>IF($A774="","",$F774-$G774)</f>
        <v/>
      </c>
      <c r="I774" s="9" t="n"/>
      <c r="J774" s="9" t="n"/>
    </row>
    <row r="775">
      <c r="A775" s="9" t="n"/>
      <c r="B775" s="19" t="n"/>
      <c r="C775" s="9" t="n"/>
      <c r="D775" s="9" t="n"/>
      <c r="E775" s="9" t="n"/>
      <c r="F775" s="10" t="n"/>
      <c r="G775" s="12">
        <f>IF($A775="",0,IF($I775="",0,$F775))</f>
        <v/>
      </c>
      <c r="H775" s="12">
        <f>IF($A775="","",$F775-$G775)</f>
        <v/>
      </c>
      <c r="I775" s="9" t="n"/>
      <c r="J775" s="9" t="n"/>
    </row>
    <row r="776">
      <c r="A776" s="9" t="n"/>
      <c r="B776" s="19" t="n"/>
      <c r="C776" s="9" t="n"/>
      <c r="D776" s="9" t="n"/>
      <c r="E776" s="9" t="n"/>
      <c r="F776" s="10" t="n"/>
      <c r="G776" s="12">
        <f>IF($A776="",0,IF($I776="",0,$F776))</f>
        <v/>
      </c>
      <c r="H776" s="12">
        <f>IF($A776="","",$F776-$G776)</f>
        <v/>
      </c>
      <c r="I776" s="9" t="n"/>
      <c r="J776" s="9" t="n"/>
    </row>
    <row r="777">
      <c r="A777" s="9" t="n"/>
      <c r="B777" s="19" t="n"/>
      <c r="C777" s="9" t="n"/>
      <c r="D777" s="9" t="n"/>
      <c r="E777" s="9" t="n"/>
      <c r="F777" s="10" t="n"/>
      <c r="G777" s="12">
        <f>IF($A777="",0,IF($I777="",0,$F777))</f>
        <v/>
      </c>
      <c r="H777" s="12">
        <f>IF($A777="","",$F777-$G777)</f>
        <v/>
      </c>
      <c r="I777" s="9" t="n"/>
      <c r="J777" s="9" t="n"/>
    </row>
    <row r="778">
      <c r="A778" s="9" t="n"/>
      <c r="B778" s="19" t="n"/>
      <c r="C778" s="9" t="n"/>
      <c r="D778" s="9" t="n"/>
      <c r="E778" s="9" t="n"/>
      <c r="F778" s="10" t="n"/>
      <c r="G778" s="12">
        <f>IF($A778="",0,IF($I778="",0,$F778))</f>
        <v/>
      </c>
      <c r="H778" s="12">
        <f>IF($A778="","",$F778-$G778)</f>
        <v/>
      </c>
      <c r="I778" s="9" t="n"/>
      <c r="J778" s="9" t="n"/>
    </row>
    <row r="779">
      <c r="A779" s="9" t="n"/>
      <c r="B779" s="19" t="n"/>
      <c r="C779" s="9" t="n"/>
      <c r="D779" s="9" t="n"/>
      <c r="E779" s="9" t="n"/>
      <c r="F779" s="10" t="n"/>
      <c r="G779" s="12">
        <f>IF($A779="",0,IF($I779="",0,$F779))</f>
        <v/>
      </c>
      <c r="H779" s="12">
        <f>IF($A779="","",$F779-$G779)</f>
        <v/>
      </c>
      <c r="I779" s="9" t="n"/>
      <c r="J779" s="9" t="n"/>
    </row>
    <row r="780">
      <c r="A780" s="9" t="n"/>
      <c r="B780" s="19" t="n"/>
      <c r="C780" s="9" t="n"/>
      <c r="D780" s="9" t="n"/>
      <c r="E780" s="9" t="n"/>
      <c r="F780" s="10" t="n"/>
      <c r="G780" s="12">
        <f>IF($A780="",0,IF($I780="",0,$F780))</f>
        <v/>
      </c>
      <c r="H780" s="12">
        <f>IF($A780="","",$F780-$G780)</f>
        <v/>
      </c>
      <c r="I780" s="9" t="n"/>
      <c r="J780" s="9" t="n"/>
    </row>
    <row r="781">
      <c r="A781" s="9" t="n"/>
      <c r="B781" s="19" t="n"/>
      <c r="C781" s="9" t="n"/>
      <c r="D781" s="9" t="n"/>
      <c r="E781" s="9" t="n"/>
      <c r="F781" s="10" t="n"/>
      <c r="G781" s="12">
        <f>IF($A781="",0,IF($I781="",0,$F781))</f>
        <v/>
      </c>
      <c r="H781" s="12">
        <f>IF($A781="","",$F781-$G781)</f>
        <v/>
      </c>
      <c r="I781" s="9" t="n"/>
      <c r="J781" s="9" t="n"/>
    </row>
    <row r="782">
      <c r="A782" s="9" t="n"/>
      <c r="B782" s="19" t="n"/>
      <c r="C782" s="9" t="n"/>
      <c r="D782" s="9" t="n"/>
      <c r="E782" s="9" t="n"/>
      <c r="F782" s="10" t="n"/>
      <c r="G782" s="12">
        <f>IF($A782="",0,IF($I782="",0,$F782))</f>
        <v/>
      </c>
      <c r="H782" s="12">
        <f>IF($A782="","",$F782-$G782)</f>
        <v/>
      </c>
      <c r="I782" s="9" t="n"/>
      <c r="J782" s="9" t="n"/>
    </row>
    <row r="783">
      <c r="A783" s="9" t="n"/>
      <c r="B783" s="19" t="n"/>
      <c r="C783" s="9" t="n"/>
      <c r="D783" s="9" t="n"/>
      <c r="E783" s="9" t="n"/>
      <c r="F783" s="10" t="n"/>
      <c r="G783" s="12">
        <f>IF($A783="",0,IF($I783="",0,$F783))</f>
        <v/>
      </c>
      <c r="H783" s="12">
        <f>IF($A783="","",$F783-$G783)</f>
        <v/>
      </c>
      <c r="I783" s="9" t="n"/>
      <c r="J783" s="9" t="n"/>
    </row>
    <row r="784">
      <c r="A784" s="9" t="n"/>
      <c r="B784" s="19" t="n"/>
      <c r="C784" s="9" t="n"/>
      <c r="D784" s="9" t="n"/>
      <c r="E784" s="9" t="n"/>
      <c r="F784" s="10" t="n"/>
      <c r="G784" s="12">
        <f>IF($A784="",0,IF($I784="",0,$F784))</f>
        <v/>
      </c>
      <c r="H784" s="12">
        <f>IF($A784="","",$F784-$G784)</f>
        <v/>
      </c>
      <c r="I784" s="9" t="n"/>
      <c r="J784" s="9" t="n"/>
    </row>
    <row r="785">
      <c r="A785" s="9" t="n"/>
      <c r="B785" s="19" t="n"/>
      <c r="C785" s="9" t="n"/>
      <c r="D785" s="9" t="n"/>
      <c r="E785" s="9" t="n"/>
      <c r="F785" s="10" t="n"/>
      <c r="G785" s="12">
        <f>IF($A785="",0,IF($I785="",0,$F785))</f>
        <v/>
      </c>
      <c r="H785" s="12">
        <f>IF($A785="","",$F785-$G785)</f>
        <v/>
      </c>
      <c r="I785" s="9" t="n"/>
      <c r="J785" s="9" t="n"/>
    </row>
    <row r="786">
      <c r="A786" s="9" t="n"/>
      <c r="B786" s="19" t="n"/>
      <c r="C786" s="9" t="n"/>
      <c r="D786" s="9" t="n"/>
      <c r="E786" s="9" t="n"/>
      <c r="F786" s="10" t="n"/>
      <c r="G786" s="12">
        <f>IF($A786="",0,IF($I786="",0,$F786))</f>
        <v/>
      </c>
      <c r="H786" s="12">
        <f>IF($A786="","",$F786-$G786)</f>
        <v/>
      </c>
      <c r="I786" s="9" t="n"/>
      <c r="J786" s="9" t="n"/>
    </row>
    <row r="787">
      <c r="A787" s="9" t="n"/>
      <c r="B787" s="19" t="n"/>
      <c r="C787" s="9" t="n"/>
      <c r="D787" s="9" t="n"/>
      <c r="E787" s="9" t="n"/>
      <c r="F787" s="10" t="n"/>
      <c r="G787" s="12">
        <f>IF($A787="",0,IF($I787="",0,$F787))</f>
        <v/>
      </c>
      <c r="H787" s="12">
        <f>IF($A787="","",$F787-$G787)</f>
        <v/>
      </c>
      <c r="I787" s="9" t="n"/>
      <c r="J787" s="9" t="n"/>
    </row>
    <row r="788">
      <c r="A788" s="9" t="n"/>
      <c r="B788" s="19" t="n"/>
      <c r="C788" s="9" t="n"/>
      <c r="D788" s="9" t="n"/>
      <c r="E788" s="9" t="n"/>
      <c r="F788" s="10" t="n"/>
      <c r="G788" s="12">
        <f>IF($A788="",0,IF($I788="",0,$F788))</f>
        <v/>
      </c>
      <c r="H788" s="12">
        <f>IF($A788="","",$F788-$G788)</f>
        <v/>
      </c>
      <c r="I788" s="9" t="n"/>
      <c r="J788" s="9" t="n"/>
    </row>
    <row r="789">
      <c r="A789" s="9" t="n"/>
      <c r="B789" s="19" t="n"/>
      <c r="C789" s="9" t="n"/>
      <c r="D789" s="9" t="n"/>
      <c r="E789" s="9" t="n"/>
      <c r="F789" s="10" t="n"/>
      <c r="G789" s="12">
        <f>IF($A789="",0,IF($I789="",0,$F789))</f>
        <v/>
      </c>
      <c r="H789" s="12">
        <f>IF($A789="","",$F789-$G789)</f>
        <v/>
      </c>
      <c r="I789" s="9" t="n"/>
      <c r="J789" s="9" t="n"/>
    </row>
    <row r="790">
      <c r="A790" s="9" t="n"/>
      <c r="B790" s="19" t="n"/>
      <c r="C790" s="9" t="n"/>
      <c r="D790" s="9" t="n"/>
      <c r="E790" s="9" t="n"/>
      <c r="F790" s="10" t="n"/>
      <c r="G790" s="12">
        <f>IF($A790="",0,IF($I790="",0,$F790))</f>
        <v/>
      </c>
      <c r="H790" s="12">
        <f>IF($A790="","",$F790-$G790)</f>
        <v/>
      </c>
      <c r="I790" s="9" t="n"/>
      <c r="J790" s="9" t="n"/>
    </row>
    <row r="791">
      <c r="A791" s="9" t="n"/>
      <c r="B791" s="19" t="n"/>
      <c r="C791" s="9" t="n"/>
      <c r="D791" s="9" t="n"/>
      <c r="E791" s="9" t="n"/>
      <c r="F791" s="10" t="n"/>
      <c r="G791" s="12">
        <f>IF($A791="",0,IF($I791="",0,$F791))</f>
        <v/>
      </c>
      <c r="H791" s="12">
        <f>IF($A791="","",$F791-$G791)</f>
        <v/>
      </c>
      <c r="I791" s="9" t="n"/>
      <c r="J791" s="9" t="n"/>
    </row>
    <row r="792">
      <c r="A792" s="9" t="n"/>
      <c r="B792" s="19" t="n"/>
      <c r="C792" s="9" t="n"/>
      <c r="D792" s="9" t="n"/>
      <c r="E792" s="9" t="n"/>
      <c r="F792" s="10" t="n"/>
      <c r="G792" s="12">
        <f>IF($A792="",0,IF($I792="",0,$F792))</f>
        <v/>
      </c>
      <c r="H792" s="12">
        <f>IF($A792="","",$F792-$G792)</f>
        <v/>
      </c>
      <c r="I792" s="9" t="n"/>
      <c r="J792" s="9" t="n"/>
    </row>
    <row r="793">
      <c r="A793" s="9" t="n"/>
      <c r="B793" s="19" t="n"/>
      <c r="C793" s="9" t="n"/>
      <c r="D793" s="9" t="n"/>
      <c r="E793" s="9" t="n"/>
      <c r="F793" s="10" t="n"/>
      <c r="G793" s="12">
        <f>IF($A793="",0,IF($I793="",0,$F793))</f>
        <v/>
      </c>
      <c r="H793" s="12">
        <f>IF($A793="","",$F793-$G793)</f>
        <v/>
      </c>
      <c r="I793" s="9" t="n"/>
      <c r="J793" s="9" t="n"/>
    </row>
    <row r="794">
      <c r="A794" s="9" t="n"/>
      <c r="B794" s="19" t="n"/>
      <c r="C794" s="9" t="n"/>
      <c r="D794" s="9" t="n"/>
      <c r="E794" s="9" t="n"/>
      <c r="F794" s="10" t="n"/>
      <c r="G794" s="12">
        <f>IF($A794="",0,IF($I794="",0,$F794))</f>
        <v/>
      </c>
      <c r="H794" s="12">
        <f>IF($A794="","",$F794-$G794)</f>
        <v/>
      </c>
      <c r="I794" s="9" t="n"/>
      <c r="J794" s="9" t="n"/>
    </row>
    <row r="795">
      <c r="A795" s="9" t="n"/>
      <c r="B795" s="19" t="n"/>
      <c r="C795" s="9" t="n"/>
      <c r="D795" s="9" t="n"/>
      <c r="E795" s="9" t="n"/>
      <c r="F795" s="10" t="n"/>
      <c r="G795" s="12">
        <f>IF($A795="",0,IF($I795="",0,$F795))</f>
        <v/>
      </c>
      <c r="H795" s="12">
        <f>IF($A795="","",$F795-$G795)</f>
        <v/>
      </c>
      <c r="I795" s="9" t="n"/>
      <c r="J795" s="9" t="n"/>
    </row>
    <row r="796">
      <c r="A796" s="9" t="n"/>
      <c r="B796" s="19" t="n"/>
      <c r="C796" s="9" t="n"/>
      <c r="D796" s="9" t="n"/>
      <c r="E796" s="9" t="n"/>
      <c r="F796" s="10" t="n"/>
      <c r="G796" s="12">
        <f>IF($A796="",0,IF($I796="",0,$F796))</f>
        <v/>
      </c>
      <c r="H796" s="12">
        <f>IF($A796="","",$F796-$G796)</f>
        <v/>
      </c>
      <c r="I796" s="9" t="n"/>
      <c r="J796" s="9" t="n"/>
    </row>
    <row r="797">
      <c r="A797" s="9" t="n"/>
      <c r="B797" s="19" t="n"/>
      <c r="C797" s="9" t="n"/>
      <c r="D797" s="9" t="n"/>
      <c r="E797" s="9" t="n"/>
      <c r="F797" s="10" t="n"/>
      <c r="G797" s="12">
        <f>IF($A797="",0,IF($I797="",0,$F797))</f>
        <v/>
      </c>
      <c r="H797" s="12">
        <f>IF($A797="","",$F797-$G797)</f>
        <v/>
      </c>
      <c r="I797" s="9" t="n"/>
      <c r="J797" s="9" t="n"/>
    </row>
    <row r="798">
      <c r="A798" s="9" t="n"/>
      <c r="B798" s="19" t="n"/>
      <c r="C798" s="9" t="n"/>
      <c r="D798" s="9" t="n"/>
      <c r="E798" s="9" t="n"/>
      <c r="F798" s="10" t="n"/>
      <c r="G798" s="12">
        <f>IF($A798="",0,IF($I798="",0,$F798))</f>
        <v/>
      </c>
      <c r="H798" s="12">
        <f>IF($A798="","",$F798-$G798)</f>
        <v/>
      </c>
      <c r="I798" s="9" t="n"/>
      <c r="J798" s="9" t="n"/>
    </row>
    <row r="799">
      <c r="A799" s="9" t="n"/>
      <c r="B799" s="19" t="n"/>
      <c r="C799" s="9" t="n"/>
      <c r="D799" s="9" t="n"/>
      <c r="E799" s="9" t="n"/>
      <c r="F799" s="10" t="n"/>
      <c r="G799" s="12">
        <f>IF($A799="",0,IF($I799="",0,$F799))</f>
        <v/>
      </c>
      <c r="H799" s="12">
        <f>IF($A799="","",$F799-$G799)</f>
        <v/>
      </c>
      <c r="I799" s="9" t="n"/>
      <c r="J799" s="9" t="n"/>
    </row>
    <row r="800">
      <c r="A800" s="9" t="n"/>
      <c r="B800" s="19" t="n"/>
      <c r="C800" s="9" t="n"/>
      <c r="D800" s="9" t="n"/>
      <c r="E800" s="9" t="n"/>
      <c r="F800" s="10" t="n"/>
      <c r="G800" s="12">
        <f>IF($A800="",0,IF($I800="",0,$F800))</f>
        <v/>
      </c>
      <c r="H800" s="12">
        <f>IF($A800="","",$F800-$G800)</f>
        <v/>
      </c>
      <c r="I800" s="9" t="n"/>
      <c r="J800" s="9" t="n"/>
    </row>
    <row r="801">
      <c r="A801" s="9" t="n"/>
      <c r="B801" s="19" t="n"/>
      <c r="C801" s="9" t="n"/>
      <c r="D801" s="9" t="n"/>
      <c r="E801" s="9" t="n"/>
      <c r="F801" s="10" t="n"/>
      <c r="G801" s="12">
        <f>IF($A801="",0,IF($I801="",0,$F801))</f>
        <v/>
      </c>
      <c r="H801" s="12">
        <f>IF($A801="","",$F801-$G801)</f>
        <v/>
      </c>
      <c r="I801" s="9" t="n"/>
      <c r="J801" s="9" t="n"/>
    </row>
    <row r="802">
      <c r="A802" s="9" t="n"/>
      <c r="B802" s="19" t="n"/>
      <c r="C802" s="9" t="n"/>
      <c r="D802" s="9" t="n"/>
      <c r="E802" s="9" t="n"/>
      <c r="F802" s="10" t="n"/>
      <c r="G802" s="12">
        <f>IF($A802="",0,IF($I802="",0,$F802))</f>
        <v/>
      </c>
      <c r="H802" s="12">
        <f>IF($A802="","",$F802-$G802)</f>
        <v/>
      </c>
      <c r="I802" s="9" t="n"/>
      <c r="J802" s="9" t="n"/>
    </row>
    <row r="803">
      <c r="A803" s="9" t="n"/>
      <c r="B803" s="19" t="n"/>
      <c r="C803" s="9" t="n"/>
      <c r="D803" s="9" t="n"/>
      <c r="E803" s="9" t="n"/>
      <c r="F803" s="10" t="n"/>
      <c r="G803" s="12">
        <f>IF($A803="",0,IF($I803="",0,$F803))</f>
        <v/>
      </c>
      <c r="H803" s="12">
        <f>IF($A803="","",$F803-$G803)</f>
        <v/>
      </c>
      <c r="I803" s="9" t="n"/>
      <c r="J803" s="9" t="n"/>
    </row>
    <row r="804">
      <c r="A804" s="9" t="n"/>
      <c r="B804" s="19" t="n"/>
      <c r="C804" s="9" t="n"/>
      <c r="D804" s="9" t="n"/>
      <c r="E804" s="9" t="n"/>
      <c r="F804" s="10" t="n"/>
      <c r="G804" s="12">
        <f>IF($A804="",0,IF($I804="",0,$F804))</f>
        <v/>
      </c>
      <c r="H804" s="12">
        <f>IF($A804="","",$F804-$G804)</f>
        <v/>
      </c>
      <c r="I804" s="9" t="n"/>
      <c r="J804" s="9" t="n"/>
    </row>
    <row r="805">
      <c r="A805" s="9" t="n"/>
      <c r="B805" s="19" t="n"/>
      <c r="C805" s="9" t="n"/>
      <c r="D805" s="9" t="n"/>
      <c r="E805" s="9" t="n"/>
      <c r="F805" s="10" t="n"/>
      <c r="G805" s="12">
        <f>IF($A805="",0,IF($I805="",0,$F805))</f>
        <v/>
      </c>
      <c r="H805" s="12">
        <f>IF($A805="","",$F805-$G805)</f>
        <v/>
      </c>
      <c r="I805" s="9" t="n"/>
      <c r="J805" s="9" t="n"/>
    </row>
    <row r="806">
      <c r="A806" s="9" t="n"/>
      <c r="B806" s="19" t="n"/>
      <c r="C806" s="9" t="n"/>
      <c r="D806" s="9" t="n"/>
      <c r="E806" s="9" t="n"/>
      <c r="F806" s="10" t="n"/>
      <c r="G806" s="12">
        <f>IF($A806="",0,IF($I806="",0,$F806))</f>
        <v/>
      </c>
      <c r="H806" s="12">
        <f>IF($A806="","",$F806-$G806)</f>
        <v/>
      </c>
      <c r="I806" s="9" t="n"/>
      <c r="J806" s="9" t="n"/>
    </row>
    <row r="807">
      <c r="A807" s="9" t="n"/>
      <c r="B807" s="19" t="n"/>
      <c r="C807" s="9" t="n"/>
      <c r="D807" s="9" t="n"/>
      <c r="E807" s="9" t="n"/>
      <c r="F807" s="10" t="n"/>
      <c r="G807" s="12">
        <f>IF($A807="",0,IF($I807="",0,$F807))</f>
        <v/>
      </c>
      <c r="H807" s="12">
        <f>IF($A807="","",$F807-$G807)</f>
        <v/>
      </c>
      <c r="I807" s="9" t="n"/>
      <c r="J807" s="9" t="n"/>
    </row>
    <row r="808">
      <c r="A808" s="9" t="n"/>
      <c r="B808" s="19" t="n"/>
      <c r="C808" s="9" t="n"/>
      <c r="D808" s="9" t="n"/>
      <c r="E808" s="9" t="n"/>
      <c r="F808" s="10" t="n"/>
      <c r="G808" s="12">
        <f>IF($A808="",0,IF($I808="",0,$F808))</f>
        <v/>
      </c>
      <c r="H808" s="12">
        <f>IF($A808="","",$F808-$G808)</f>
        <v/>
      </c>
      <c r="I808" s="9" t="n"/>
      <c r="J808" s="9" t="n"/>
    </row>
    <row r="809">
      <c r="A809" s="9" t="n"/>
      <c r="B809" s="19" t="n"/>
      <c r="C809" s="9" t="n"/>
      <c r="D809" s="9" t="n"/>
      <c r="E809" s="9" t="n"/>
      <c r="F809" s="10" t="n"/>
      <c r="G809" s="12">
        <f>IF($A809="",0,IF($I809="",0,$F809))</f>
        <v/>
      </c>
      <c r="H809" s="12">
        <f>IF($A809="","",$F809-$G809)</f>
        <v/>
      </c>
      <c r="I809" s="9" t="n"/>
      <c r="J809" s="9" t="n"/>
    </row>
    <row r="810">
      <c r="A810" s="9" t="n"/>
      <c r="B810" s="19" t="n"/>
      <c r="C810" s="9" t="n"/>
      <c r="D810" s="9" t="n"/>
      <c r="E810" s="9" t="n"/>
      <c r="F810" s="10" t="n"/>
      <c r="G810" s="12">
        <f>IF($A810="",0,IF($I810="",0,$F810))</f>
        <v/>
      </c>
      <c r="H810" s="12">
        <f>IF($A810="","",$F810-$G810)</f>
        <v/>
      </c>
      <c r="I810" s="9" t="n"/>
      <c r="J810" s="9" t="n"/>
    </row>
    <row r="811">
      <c r="A811" s="9" t="n"/>
      <c r="B811" s="19" t="n"/>
      <c r="C811" s="9" t="n"/>
      <c r="D811" s="9" t="n"/>
      <c r="E811" s="9" t="n"/>
      <c r="F811" s="10" t="n"/>
      <c r="G811" s="12">
        <f>IF($A811="",0,IF($I811="",0,$F811))</f>
        <v/>
      </c>
      <c r="H811" s="12">
        <f>IF($A811="","",$F811-$G811)</f>
        <v/>
      </c>
      <c r="I811" s="9" t="n"/>
      <c r="J811" s="9" t="n"/>
    </row>
    <row r="812">
      <c r="A812" s="9" t="n"/>
      <c r="B812" s="19" t="n"/>
      <c r="C812" s="9" t="n"/>
      <c r="D812" s="9" t="n"/>
      <c r="E812" s="9" t="n"/>
      <c r="F812" s="10" t="n"/>
      <c r="G812" s="12">
        <f>IF($A812="",0,IF($I812="",0,$F812))</f>
        <v/>
      </c>
      <c r="H812" s="12">
        <f>IF($A812="","",$F812-$G812)</f>
        <v/>
      </c>
      <c r="I812" s="9" t="n"/>
      <c r="J812" s="9" t="n"/>
    </row>
    <row r="813">
      <c r="A813" s="9" t="n"/>
      <c r="B813" s="19" t="n"/>
      <c r="C813" s="9" t="n"/>
      <c r="D813" s="9" t="n"/>
      <c r="E813" s="9" t="n"/>
      <c r="F813" s="10" t="n"/>
      <c r="G813" s="12">
        <f>IF($A813="",0,IF($I813="",0,$F813))</f>
        <v/>
      </c>
      <c r="H813" s="12">
        <f>IF($A813="","",$F813-$G813)</f>
        <v/>
      </c>
      <c r="I813" s="9" t="n"/>
      <c r="J813" s="9" t="n"/>
    </row>
    <row r="814">
      <c r="A814" s="9" t="n"/>
      <c r="B814" s="19" t="n"/>
      <c r="C814" s="9" t="n"/>
      <c r="D814" s="9" t="n"/>
      <c r="E814" s="9" t="n"/>
      <c r="F814" s="10" t="n"/>
      <c r="G814" s="12">
        <f>IF($A814="",0,IF($I814="",0,$F814))</f>
        <v/>
      </c>
      <c r="H814" s="12">
        <f>IF($A814="","",$F814-$G814)</f>
        <v/>
      </c>
      <c r="I814" s="9" t="n"/>
      <c r="J814" s="9" t="n"/>
    </row>
    <row r="815">
      <c r="A815" s="9" t="n"/>
      <c r="B815" s="19" t="n"/>
      <c r="C815" s="9" t="n"/>
      <c r="D815" s="9" t="n"/>
      <c r="E815" s="9" t="n"/>
      <c r="F815" s="10" t="n"/>
      <c r="G815" s="12">
        <f>IF($A815="",0,IF($I815="",0,$F815))</f>
        <v/>
      </c>
      <c r="H815" s="12">
        <f>IF($A815="","",$F815-$G815)</f>
        <v/>
      </c>
      <c r="I815" s="9" t="n"/>
      <c r="J815" s="9" t="n"/>
    </row>
    <row r="816">
      <c r="A816" s="9" t="n"/>
      <c r="B816" s="19" t="n"/>
      <c r="C816" s="9" t="n"/>
      <c r="D816" s="9" t="n"/>
      <c r="E816" s="9" t="n"/>
      <c r="F816" s="10" t="n"/>
      <c r="G816" s="12">
        <f>IF($A816="",0,IF($I816="",0,$F816))</f>
        <v/>
      </c>
      <c r="H816" s="12">
        <f>IF($A816="","",$F816-$G816)</f>
        <v/>
      </c>
      <c r="I816" s="9" t="n"/>
      <c r="J816" s="9" t="n"/>
    </row>
    <row r="817">
      <c r="A817" s="9" t="n"/>
      <c r="B817" s="19" t="n"/>
      <c r="C817" s="9" t="n"/>
      <c r="D817" s="9" t="n"/>
      <c r="E817" s="9" t="n"/>
      <c r="F817" s="10" t="n"/>
      <c r="G817" s="12">
        <f>IF($A817="",0,IF($I817="",0,$F817))</f>
        <v/>
      </c>
      <c r="H817" s="12">
        <f>IF($A817="","",$F817-$G817)</f>
        <v/>
      </c>
      <c r="I817" s="9" t="n"/>
      <c r="J817" s="9" t="n"/>
    </row>
    <row r="818">
      <c r="A818" s="9" t="n"/>
      <c r="B818" s="19" t="n"/>
      <c r="C818" s="9" t="n"/>
      <c r="D818" s="9" t="n"/>
      <c r="E818" s="9" t="n"/>
      <c r="F818" s="10" t="n"/>
      <c r="G818" s="12">
        <f>IF($A818="",0,IF($I818="",0,$F818))</f>
        <v/>
      </c>
      <c r="H818" s="12">
        <f>IF($A818="","",$F818-$G818)</f>
        <v/>
      </c>
      <c r="I818" s="9" t="n"/>
      <c r="J818" s="9" t="n"/>
    </row>
    <row r="819">
      <c r="A819" s="9" t="n"/>
      <c r="B819" s="19" t="n"/>
      <c r="C819" s="9" t="n"/>
      <c r="D819" s="9" t="n"/>
      <c r="E819" s="9" t="n"/>
      <c r="F819" s="10" t="n"/>
      <c r="G819" s="12">
        <f>IF($A819="",0,IF($I819="",0,$F819))</f>
        <v/>
      </c>
      <c r="H819" s="12">
        <f>IF($A819="","",$F819-$G819)</f>
        <v/>
      </c>
      <c r="I819" s="9" t="n"/>
      <c r="J819" s="9" t="n"/>
    </row>
    <row r="820">
      <c r="A820" s="9" t="n"/>
      <c r="B820" s="19" t="n"/>
      <c r="C820" s="9" t="n"/>
      <c r="D820" s="9" t="n"/>
      <c r="E820" s="9" t="n"/>
      <c r="F820" s="10" t="n"/>
      <c r="G820" s="12">
        <f>IF($A820="",0,IF($I820="",0,$F820))</f>
        <v/>
      </c>
      <c r="H820" s="12">
        <f>IF($A820="","",$F820-$G820)</f>
        <v/>
      </c>
      <c r="I820" s="9" t="n"/>
      <c r="J820" s="9" t="n"/>
    </row>
    <row r="821">
      <c r="A821" s="9" t="n"/>
      <c r="B821" s="19" t="n"/>
      <c r="C821" s="9" t="n"/>
      <c r="D821" s="9" t="n"/>
      <c r="E821" s="9" t="n"/>
      <c r="F821" s="10" t="n"/>
      <c r="G821" s="12">
        <f>IF($A821="",0,IF($I821="",0,$F821))</f>
        <v/>
      </c>
      <c r="H821" s="12">
        <f>IF($A821="","",$F821-$G821)</f>
        <v/>
      </c>
      <c r="I821" s="9" t="n"/>
      <c r="J821" s="9" t="n"/>
    </row>
    <row r="822">
      <c r="A822" s="9" t="n"/>
      <c r="B822" s="19" t="n"/>
      <c r="C822" s="9" t="n"/>
      <c r="D822" s="9" t="n"/>
      <c r="E822" s="9" t="n"/>
      <c r="F822" s="10" t="n"/>
      <c r="G822" s="12">
        <f>IF($A822="",0,IF($I822="",0,$F822))</f>
        <v/>
      </c>
      <c r="H822" s="12">
        <f>IF($A822="","",$F822-$G822)</f>
        <v/>
      </c>
      <c r="I822" s="9" t="n"/>
      <c r="J822" s="9" t="n"/>
    </row>
    <row r="823">
      <c r="A823" s="9" t="n"/>
      <c r="B823" s="19" t="n"/>
      <c r="C823" s="9" t="n"/>
      <c r="D823" s="9" t="n"/>
      <c r="E823" s="9" t="n"/>
      <c r="F823" s="10" t="n"/>
      <c r="G823" s="12">
        <f>IF($A823="",0,IF($I823="",0,$F823))</f>
        <v/>
      </c>
      <c r="H823" s="12">
        <f>IF($A823="","",$F823-$G823)</f>
        <v/>
      </c>
      <c r="I823" s="9" t="n"/>
      <c r="J823" s="9" t="n"/>
    </row>
    <row r="824">
      <c r="A824" s="9" t="n"/>
      <c r="B824" s="19" t="n"/>
      <c r="C824" s="9" t="n"/>
      <c r="D824" s="9" t="n"/>
      <c r="E824" s="9" t="n"/>
      <c r="F824" s="10" t="n"/>
      <c r="G824" s="12">
        <f>IF($A824="",0,IF($I824="",0,$F824))</f>
        <v/>
      </c>
      <c r="H824" s="12">
        <f>IF($A824="","",$F824-$G824)</f>
        <v/>
      </c>
      <c r="I824" s="9" t="n"/>
      <c r="J824" s="9" t="n"/>
    </row>
    <row r="825">
      <c r="A825" s="9" t="n"/>
      <c r="B825" s="19" t="n"/>
      <c r="C825" s="9" t="n"/>
      <c r="D825" s="9" t="n"/>
      <c r="E825" s="9" t="n"/>
      <c r="F825" s="10" t="n"/>
      <c r="G825" s="12">
        <f>IF($A825="",0,IF($I825="",0,$F825))</f>
        <v/>
      </c>
      <c r="H825" s="12">
        <f>IF($A825="","",$F825-$G825)</f>
        <v/>
      </c>
      <c r="I825" s="9" t="n"/>
      <c r="J825" s="9" t="n"/>
    </row>
    <row r="826">
      <c r="A826" s="9" t="n"/>
      <c r="B826" s="19" t="n"/>
      <c r="C826" s="9" t="n"/>
      <c r="D826" s="9" t="n"/>
      <c r="E826" s="9" t="n"/>
      <c r="F826" s="10" t="n"/>
      <c r="G826" s="12">
        <f>IF($A826="",0,IF($I826="",0,$F826))</f>
        <v/>
      </c>
      <c r="H826" s="12">
        <f>IF($A826="","",$F826-$G826)</f>
        <v/>
      </c>
      <c r="I826" s="9" t="n"/>
      <c r="J826" s="9" t="n"/>
    </row>
    <row r="827">
      <c r="A827" s="9" t="n"/>
      <c r="B827" s="19" t="n"/>
      <c r="C827" s="9" t="n"/>
      <c r="D827" s="9" t="n"/>
      <c r="E827" s="9" t="n"/>
      <c r="F827" s="10" t="n"/>
      <c r="G827" s="12">
        <f>IF($A827="",0,IF($I827="",0,$F827))</f>
        <v/>
      </c>
      <c r="H827" s="12">
        <f>IF($A827="","",$F827-$G827)</f>
        <v/>
      </c>
      <c r="I827" s="9" t="n"/>
      <c r="J827" s="9" t="n"/>
    </row>
    <row r="828">
      <c r="A828" s="9" t="n"/>
      <c r="B828" s="19" t="n"/>
      <c r="C828" s="9" t="n"/>
      <c r="D828" s="9" t="n"/>
      <c r="E828" s="9" t="n"/>
      <c r="F828" s="10" t="n"/>
      <c r="G828" s="12">
        <f>IF($A828="",0,IF($I828="",0,$F828))</f>
        <v/>
      </c>
      <c r="H828" s="12">
        <f>IF($A828="","",$F828-$G828)</f>
        <v/>
      </c>
      <c r="I828" s="9" t="n"/>
      <c r="J828" s="9" t="n"/>
    </row>
    <row r="829">
      <c r="A829" s="9" t="n"/>
      <c r="B829" s="19" t="n"/>
      <c r="C829" s="9" t="n"/>
      <c r="D829" s="9" t="n"/>
      <c r="E829" s="9" t="n"/>
      <c r="F829" s="10" t="n"/>
      <c r="G829" s="12">
        <f>IF($A829="",0,IF($I829="",0,$F829))</f>
        <v/>
      </c>
      <c r="H829" s="12">
        <f>IF($A829="","",$F829-$G829)</f>
        <v/>
      </c>
      <c r="I829" s="9" t="n"/>
      <c r="J829" s="9" t="n"/>
    </row>
    <row r="830">
      <c r="A830" s="9" t="n"/>
      <c r="B830" s="19" t="n"/>
      <c r="C830" s="9" t="n"/>
      <c r="D830" s="9" t="n"/>
      <c r="E830" s="9" t="n"/>
      <c r="F830" s="10" t="n"/>
      <c r="G830" s="12">
        <f>IF($A830="",0,IF($I830="",0,$F830))</f>
        <v/>
      </c>
      <c r="H830" s="12">
        <f>IF($A830="","",$F830-$G830)</f>
        <v/>
      </c>
      <c r="I830" s="9" t="n"/>
      <c r="J830" s="9" t="n"/>
    </row>
    <row r="831">
      <c r="A831" s="9" t="n"/>
      <c r="B831" s="19" t="n"/>
      <c r="C831" s="9" t="n"/>
      <c r="D831" s="9" t="n"/>
      <c r="E831" s="9" t="n"/>
      <c r="F831" s="10" t="n"/>
      <c r="G831" s="12">
        <f>IF($A831="",0,IF($I831="",0,$F831))</f>
        <v/>
      </c>
      <c r="H831" s="12">
        <f>IF($A831="","",$F831-$G831)</f>
        <v/>
      </c>
      <c r="I831" s="9" t="n"/>
      <c r="J831" s="9" t="n"/>
    </row>
    <row r="832">
      <c r="A832" s="9" t="n"/>
      <c r="B832" s="19" t="n"/>
      <c r="C832" s="9" t="n"/>
      <c r="D832" s="9" t="n"/>
      <c r="E832" s="9" t="n"/>
      <c r="F832" s="10" t="n"/>
      <c r="G832" s="12">
        <f>IF($A832="",0,IF($I832="",0,$F832))</f>
        <v/>
      </c>
      <c r="H832" s="12">
        <f>IF($A832="","",$F832-$G832)</f>
        <v/>
      </c>
      <c r="I832" s="9" t="n"/>
      <c r="J832" s="9" t="n"/>
    </row>
    <row r="833">
      <c r="A833" s="9" t="n"/>
      <c r="B833" s="19" t="n"/>
      <c r="C833" s="9" t="n"/>
      <c r="D833" s="9" t="n"/>
      <c r="E833" s="9" t="n"/>
      <c r="F833" s="10" t="n"/>
      <c r="G833" s="12">
        <f>IF($A833="",0,IF($I833="",0,$F833))</f>
        <v/>
      </c>
      <c r="H833" s="12">
        <f>IF($A833="","",$F833-$G833)</f>
        <v/>
      </c>
      <c r="I833" s="9" t="n"/>
      <c r="J833" s="9" t="n"/>
    </row>
    <row r="834">
      <c r="A834" s="9" t="n"/>
      <c r="B834" s="19" t="n"/>
      <c r="C834" s="9" t="n"/>
      <c r="D834" s="9" t="n"/>
      <c r="E834" s="9" t="n"/>
      <c r="F834" s="10" t="n"/>
      <c r="G834" s="12">
        <f>IF($A834="",0,IF($I834="",0,$F834))</f>
        <v/>
      </c>
      <c r="H834" s="12">
        <f>IF($A834="","",$F834-$G834)</f>
        <v/>
      </c>
      <c r="I834" s="9" t="n"/>
      <c r="J834" s="9" t="n"/>
    </row>
    <row r="835">
      <c r="A835" s="9" t="n"/>
      <c r="B835" s="19" t="n"/>
      <c r="C835" s="9" t="n"/>
      <c r="D835" s="9" t="n"/>
      <c r="E835" s="9" t="n"/>
      <c r="F835" s="10" t="n"/>
      <c r="G835" s="12">
        <f>IF($A835="",0,IF($I835="",0,$F835))</f>
        <v/>
      </c>
      <c r="H835" s="12">
        <f>IF($A835="","",$F835-$G835)</f>
        <v/>
      </c>
      <c r="I835" s="9" t="n"/>
      <c r="J835" s="9" t="n"/>
    </row>
    <row r="836">
      <c r="A836" s="9" t="n"/>
      <c r="B836" s="19" t="n"/>
      <c r="C836" s="9" t="n"/>
      <c r="D836" s="9" t="n"/>
      <c r="E836" s="9" t="n"/>
      <c r="F836" s="10" t="n"/>
      <c r="G836" s="12">
        <f>IF($A836="",0,IF($I836="",0,$F836))</f>
        <v/>
      </c>
      <c r="H836" s="12">
        <f>IF($A836="","",$F836-$G836)</f>
        <v/>
      </c>
      <c r="I836" s="9" t="n"/>
      <c r="J836" s="9" t="n"/>
    </row>
    <row r="837">
      <c r="A837" s="9" t="n"/>
      <c r="B837" s="19" t="n"/>
      <c r="C837" s="9" t="n"/>
      <c r="D837" s="9" t="n"/>
      <c r="E837" s="9" t="n"/>
      <c r="F837" s="10" t="n"/>
      <c r="G837" s="12">
        <f>IF($A837="",0,IF($I837="",0,$F837))</f>
        <v/>
      </c>
      <c r="H837" s="12">
        <f>IF($A837="","",$F837-$G837)</f>
        <v/>
      </c>
      <c r="I837" s="9" t="n"/>
      <c r="J837" s="9" t="n"/>
    </row>
    <row r="838">
      <c r="A838" s="9" t="n"/>
      <c r="B838" s="19" t="n"/>
      <c r="C838" s="9" t="n"/>
      <c r="D838" s="9" t="n"/>
      <c r="E838" s="9" t="n"/>
      <c r="F838" s="10" t="n"/>
      <c r="G838" s="12">
        <f>IF($A838="",0,IF($I838="",0,$F838))</f>
        <v/>
      </c>
      <c r="H838" s="12">
        <f>IF($A838="","",$F838-$G838)</f>
        <v/>
      </c>
      <c r="I838" s="9" t="n"/>
      <c r="J838" s="9" t="n"/>
    </row>
    <row r="839">
      <c r="A839" s="9" t="n"/>
      <c r="B839" s="19" t="n"/>
      <c r="C839" s="9" t="n"/>
      <c r="D839" s="9" t="n"/>
      <c r="E839" s="9" t="n"/>
      <c r="F839" s="10" t="n"/>
      <c r="G839" s="12">
        <f>IF($A839="",0,IF($I839="",0,$F839))</f>
        <v/>
      </c>
      <c r="H839" s="12">
        <f>IF($A839="","",$F839-$G839)</f>
        <v/>
      </c>
      <c r="I839" s="9" t="n"/>
      <c r="J839" s="9" t="n"/>
    </row>
    <row r="840">
      <c r="A840" s="9" t="n"/>
      <c r="B840" s="19" t="n"/>
      <c r="C840" s="9" t="n"/>
      <c r="D840" s="9" t="n"/>
      <c r="E840" s="9" t="n"/>
      <c r="F840" s="10" t="n"/>
      <c r="G840" s="12">
        <f>IF($A840="",0,IF($I840="",0,$F840))</f>
        <v/>
      </c>
      <c r="H840" s="12">
        <f>IF($A840="","",$F840-$G840)</f>
        <v/>
      </c>
      <c r="I840" s="9" t="n"/>
      <c r="J840" s="9" t="n"/>
    </row>
    <row r="841">
      <c r="A841" s="9" t="n"/>
      <c r="B841" s="19" t="n"/>
      <c r="C841" s="9" t="n"/>
      <c r="D841" s="9" t="n"/>
      <c r="E841" s="9" t="n"/>
      <c r="F841" s="10" t="n"/>
      <c r="G841" s="12">
        <f>IF($A841="",0,IF($I841="",0,$F841))</f>
        <v/>
      </c>
      <c r="H841" s="12">
        <f>IF($A841="","",$F841-$G841)</f>
        <v/>
      </c>
      <c r="I841" s="9" t="n"/>
      <c r="J841" s="9" t="n"/>
    </row>
    <row r="842">
      <c r="A842" s="9" t="n"/>
      <c r="B842" s="19" t="n"/>
      <c r="C842" s="9" t="n"/>
      <c r="D842" s="9" t="n"/>
      <c r="E842" s="9" t="n"/>
      <c r="F842" s="10" t="n"/>
      <c r="G842" s="12">
        <f>IF($A842="",0,IF($I842="",0,$F842))</f>
        <v/>
      </c>
      <c r="H842" s="12">
        <f>IF($A842="","",$F842-$G842)</f>
        <v/>
      </c>
      <c r="I842" s="9" t="n"/>
      <c r="J842" s="9" t="n"/>
    </row>
    <row r="843">
      <c r="A843" s="9" t="n"/>
      <c r="B843" s="19" t="n"/>
      <c r="C843" s="9" t="n"/>
      <c r="D843" s="9" t="n"/>
      <c r="E843" s="9" t="n"/>
      <c r="F843" s="10" t="n"/>
      <c r="G843" s="12">
        <f>IF($A843="",0,IF($I843="",0,$F843))</f>
        <v/>
      </c>
      <c r="H843" s="12">
        <f>IF($A843="","",$F843-$G843)</f>
        <v/>
      </c>
      <c r="I843" s="9" t="n"/>
      <c r="J843" s="9" t="n"/>
    </row>
    <row r="844">
      <c r="A844" s="9" t="n"/>
      <c r="B844" s="19" t="n"/>
      <c r="C844" s="9" t="n"/>
      <c r="D844" s="9" t="n"/>
      <c r="E844" s="9" t="n"/>
      <c r="F844" s="10" t="n"/>
      <c r="G844" s="12">
        <f>IF($A844="",0,IF($I844="",0,$F844))</f>
        <v/>
      </c>
      <c r="H844" s="12">
        <f>IF($A844="","",$F844-$G844)</f>
        <v/>
      </c>
      <c r="I844" s="9" t="n"/>
      <c r="J844" s="9" t="n"/>
    </row>
    <row r="845">
      <c r="A845" s="9" t="n"/>
      <c r="B845" s="19" t="n"/>
      <c r="C845" s="9" t="n"/>
      <c r="D845" s="9" t="n"/>
      <c r="E845" s="9" t="n"/>
      <c r="F845" s="10" t="n"/>
      <c r="G845" s="12">
        <f>IF($A845="",0,IF($I845="",0,$F845))</f>
        <v/>
      </c>
      <c r="H845" s="12">
        <f>IF($A845="","",$F845-$G845)</f>
        <v/>
      </c>
      <c r="I845" s="9" t="n"/>
      <c r="J845" s="9" t="n"/>
    </row>
    <row r="846">
      <c r="A846" s="9" t="n"/>
      <c r="B846" s="19" t="n"/>
      <c r="C846" s="9" t="n"/>
      <c r="D846" s="9" t="n"/>
      <c r="E846" s="9" t="n"/>
      <c r="F846" s="10" t="n"/>
      <c r="G846" s="12">
        <f>IF($A846="",0,IF($I846="",0,$F846))</f>
        <v/>
      </c>
      <c r="H846" s="12">
        <f>IF($A846="","",$F846-$G846)</f>
        <v/>
      </c>
      <c r="I846" s="9" t="n"/>
      <c r="J846" s="9" t="n"/>
    </row>
    <row r="847">
      <c r="A847" s="9" t="n"/>
      <c r="B847" s="19" t="n"/>
      <c r="C847" s="9" t="n"/>
      <c r="D847" s="9" t="n"/>
      <c r="E847" s="9" t="n"/>
      <c r="F847" s="10" t="n"/>
      <c r="G847" s="12">
        <f>IF($A847="",0,IF($I847="",0,$F847))</f>
        <v/>
      </c>
      <c r="H847" s="12">
        <f>IF($A847="","",$F847-$G847)</f>
        <v/>
      </c>
      <c r="I847" s="9" t="n"/>
      <c r="J847" s="9" t="n"/>
    </row>
    <row r="848">
      <c r="A848" s="9" t="n"/>
      <c r="B848" s="19" t="n"/>
      <c r="C848" s="9" t="n"/>
      <c r="D848" s="9" t="n"/>
      <c r="E848" s="9" t="n"/>
      <c r="F848" s="10" t="n"/>
      <c r="G848" s="12">
        <f>IF($A848="",0,IF($I848="",0,$F848))</f>
        <v/>
      </c>
      <c r="H848" s="12">
        <f>IF($A848="","",$F848-$G848)</f>
        <v/>
      </c>
      <c r="I848" s="9" t="n"/>
      <c r="J848" s="9" t="n"/>
    </row>
    <row r="849">
      <c r="A849" s="9" t="n"/>
      <c r="B849" s="19" t="n"/>
      <c r="C849" s="9" t="n"/>
      <c r="D849" s="9" t="n"/>
      <c r="E849" s="9" t="n"/>
      <c r="F849" s="10" t="n"/>
      <c r="G849" s="12">
        <f>IF($A849="",0,IF($I849="",0,$F849))</f>
        <v/>
      </c>
      <c r="H849" s="12">
        <f>IF($A849="","",$F849-$G849)</f>
        <v/>
      </c>
      <c r="I849" s="9" t="n"/>
      <c r="J849" s="9" t="n"/>
    </row>
    <row r="850">
      <c r="A850" s="9" t="n"/>
      <c r="B850" s="19" t="n"/>
      <c r="C850" s="9" t="n"/>
      <c r="D850" s="9" t="n"/>
      <c r="E850" s="9" t="n"/>
      <c r="F850" s="10" t="n"/>
      <c r="G850" s="12">
        <f>IF($A850="",0,IF($I850="",0,$F850))</f>
        <v/>
      </c>
      <c r="H850" s="12">
        <f>IF($A850="","",$F850-$G850)</f>
        <v/>
      </c>
      <c r="I850" s="9" t="n"/>
      <c r="J850" s="9" t="n"/>
    </row>
    <row r="851">
      <c r="A851" s="9" t="n"/>
      <c r="B851" s="19" t="n"/>
      <c r="C851" s="9" t="n"/>
      <c r="D851" s="9" t="n"/>
      <c r="E851" s="9" t="n"/>
      <c r="F851" s="10" t="n"/>
      <c r="G851" s="12">
        <f>IF($A851="",0,IF($I851="",0,$F851))</f>
        <v/>
      </c>
      <c r="H851" s="12">
        <f>IF($A851="","",$F851-$G851)</f>
        <v/>
      </c>
      <c r="I851" s="9" t="n"/>
      <c r="J851" s="9" t="n"/>
    </row>
    <row r="852">
      <c r="A852" s="9" t="n"/>
      <c r="B852" s="19" t="n"/>
      <c r="C852" s="9" t="n"/>
      <c r="D852" s="9" t="n"/>
      <c r="E852" s="9" t="n"/>
      <c r="F852" s="10" t="n"/>
      <c r="G852" s="12">
        <f>IF($A852="",0,IF($I852="",0,$F852))</f>
        <v/>
      </c>
      <c r="H852" s="12">
        <f>IF($A852="","",$F852-$G852)</f>
        <v/>
      </c>
      <c r="I852" s="9" t="n"/>
      <c r="J852" s="9" t="n"/>
    </row>
    <row r="853">
      <c r="A853" s="9" t="n"/>
      <c r="B853" s="19" t="n"/>
      <c r="C853" s="9" t="n"/>
      <c r="D853" s="9" t="n"/>
      <c r="E853" s="9" t="n"/>
      <c r="F853" s="10" t="n"/>
      <c r="G853" s="12">
        <f>IF($A853="",0,IF($I853="",0,$F853))</f>
        <v/>
      </c>
      <c r="H853" s="12">
        <f>IF($A853="","",$F853-$G853)</f>
        <v/>
      </c>
      <c r="I853" s="9" t="n"/>
      <c r="J853" s="9" t="n"/>
    </row>
    <row r="854">
      <c r="A854" s="9" t="n"/>
      <c r="B854" s="19" t="n"/>
      <c r="C854" s="9" t="n"/>
      <c r="D854" s="9" t="n"/>
      <c r="E854" s="9" t="n"/>
      <c r="F854" s="10" t="n"/>
      <c r="G854" s="12">
        <f>IF($A854="",0,IF($I854="",0,$F854))</f>
        <v/>
      </c>
      <c r="H854" s="12">
        <f>IF($A854="","",$F854-$G854)</f>
        <v/>
      </c>
      <c r="I854" s="9" t="n"/>
      <c r="J854" s="9" t="n"/>
    </row>
    <row r="855">
      <c r="A855" s="9" t="n"/>
      <c r="B855" s="19" t="n"/>
      <c r="C855" s="9" t="n"/>
      <c r="D855" s="9" t="n"/>
      <c r="E855" s="9" t="n"/>
      <c r="F855" s="10" t="n"/>
      <c r="G855" s="12">
        <f>IF($A855="",0,IF($I855="",0,$F855))</f>
        <v/>
      </c>
      <c r="H855" s="12">
        <f>IF($A855="","",$F855-$G855)</f>
        <v/>
      </c>
      <c r="I855" s="9" t="n"/>
      <c r="J855" s="9" t="n"/>
    </row>
    <row r="856">
      <c r="A856" s="9" t="n"/>
      <c r="B856" s="19" t="n"/>
      <c r="C856" s="9" t="n"/>
      <c r="D856" s="9" t="n"/>
      <c r="E856" s="9" t="n"/>
      <c r="F856" s="10" t="n"/>
      <c r="G856" s="12">
        <f>IF($A856="",0,IF($I856="",0,$F856))</f>
        <v/>
      </c>
      <c r="H856" s="12">
        <f>IF($A856="","",$F856-$G856)</f>
        <v/>
      </c>
      <c r="I856" s="9" t="n"/>
      <c r="J856" s="9" t="n"/>
    </row>
    <row r="857">
      <c r="A857" s="9" t="n"/>
      <c r="B857" s="19" t="n"/>
      <c r="C857" s="9" t="n"/>
      <c r="D857" s="9" t="n"/>
      <c r="E857" s="9" t="n"/>
      <c r="F857" s="10" t="n"/>
      <c r="G857" s="12">
        <f>IF($A857="",0,IF($I857="",0,$F857))</f>
        <v/>
      </c>
      <c r="H857" s="12">
        <f>IF($A857="","",$F857-$G857)</f>
        <v/>
      </c>
      <c r="I857" s="9" t="n"/>
      <c r="J857" s="9" t="n"/>
    </row>
    <row r="858">
      <c r="A858" s="9" t="n"/>
      <c r="B858" s="19" t="n"/>
      <c r="C858" s="9" t="n"/>
      <c r="D858" s="9" t="n"/>
      <c r="E858" s="9" t="n"/>
      <c r="F858" s="10" t="n"/>
      <c r="G858" s="12">
        <f>IF($A858="",0,IF($I858="",0,$F858))</f>
        <v/>
      </c>
      <c r="H858" s="12">
        <f>IF($A858="","",$F858-$G858)</f>
        <v/>
      </c>
      <c r="I858" s="9" t="n"/>
      <c r="J858" s="9" t="n"/>
    </row>
    <row r="859">
      <c r="A859" s="9" t="n"/>
      <c r="B859" s="19" t="n"/>
      <c r="C859" s="9" t="n"/>
      <c r="D859" s="9" t="n"/>
      <c r="E859" s="9" t="n"/>
      <c r="F859" s="10" t="n"/>
      <c r="G859" s="12">
        <f>IF($A859="",0,IF($I859="",0,$F859))</f>
        <v/>
      </c>
      <c r="H859" s="12">
        <f>IF($A859="","",$F859-$G859)</f>
        <v/>
      </c>
      <c r="I859" s="9" t="n"/>
      <c r="J859" s="9" t="n"/>
    </row>
    <row r="860">
      <c r="A860" s="9" t="n"/>
      <c r="B860" s="19" t="n"/>
      <c r="C860" s="9" t="n"/>
      <c r="D860" s="9" t="n"/>
      <c r="E860" s="9" t="n"/>
      <c r="F860" s="10" t="n"/>
      <c r="G860" s="12">
        <f>IF($A860="",0,IF($I860="",0,$F860))</f>
        <v/>
      </c>
      <c r="H860" s="12">
        <f>IF($A860="","",$F860-$G860)</f>
        <v/>
      </c>
      <c r="I860" s="9" t="n"/>
      <c r="J860" s="9" t="n"/>
    </row>
    <row r="861">
      <c r="A861" s="9" t="n"/>
      <c r="B861" s="19" t="n"/>
      <c r="C861" s="9" t="n"/>
      <c r="D861" s="9" t="n"/>
      <c r="E861" s="9" t="n"/>
      <c r="F861" s="10" t="n"/>
      <c r="G861" s="12">
        <f>IF($A861="",0,IF($I861="",0,$F861))</f>
        <v/>
      </c>
      <c r="H861" s="12">
        <f>IF($A861="","",$F861-$G861)</f>
        <v/>
      </c>
      <c r="I861" s="9" t="n"/>
      <c r="J861" s="9" t="n"/>
    </row>
    <row r="862">
      <c r="A862" s="9" t="n"/>
      <c r="B862" s="19" t="n"/>
      <c r="C862" s="9" t="n"/>
      <c r="D862" s="9" t="n"/>
      <c r="E862" s="9" t="n"/>
      <c r="F862" s="10" t="n"/>
      <c r="G862" s="12">
        <f>IF($A862="",0,IF($I862="",0,$F862))</f>
        <v/>
      </c>
      <c r="H862" s="12">
        <f>IF($A862="","",$F862-$G862)</f>
        <v/>
      </c>
      <c r="I862" s="9" t="n"/>
      <c r="J862" s="9" t="n"/>
    </row>
    <row r="863">
      <c r="A863" s="9" t="n"/>
      <c r="B863" s="19" t="n"/>
      <c r="C863" s="9" t="n"/>
      <c r="D863" s="9" t="n"/>
      <c r="E863" s="9" t="n"/>
      <c r="F863" s="10" t="n"/>
      <c r="G863" s="12">
        <f>IF($A863="",0,IF($I863="",0,$F863))</f>
        <v/>
      </c>
      <c r="H863" s="12">
        <f>IF($A863="","",$F863-$G863)</f>
        <v/>
      </c>
      <c r="I863" s="9" t="n"/>
      <c r="J863" s="9" t="n"/>
    </row>
    <row r="864">
      <c r="A864" s="9" t="n"/>
      <c r="B864" s="19" t="n"/>
      <c r="C864" s="9" t="n"/>
      <c r="D864" s="9" t="n"/>
      <c r="E864" s="9" t="n"/>
      <c r="F864" s="10" t="n"/>
      <c r="G864" s="12">
        <f>IF($A864="",0,IF($I864="",0,$F864))</f>
        <v/>
      </c>
      <c r="H864" s="12">
        <f>IF($A864="","",$F864-$G864)</f>
        <v/>
      </c>
      <c r="I864" s="9" t="n"/>
      <c r="J864" s="9" t="n"/>
    </row>
    <row r="865">
      <c r="A865" s="9" t="n"/>
      <c r="B865" s="19" t="n"/>
      <c r="C865" s="9" t="n"/>
      <c r="D865" s="9" t="n"/>
      <c r="E865" s="9" t="n"/>
      <c r="F865" s="10" t="n"/>
      <c r="G865" s="12">
        <f>IF($A865="",0,IF($I865="",0,$F865))</f>
        <v/>
      </c>
      <c r="H865" s="12">
        <f>IF($A865="","",$F865-$G865)</f>
        <v/>
      </c>
      <c r="I865" s="9" t="n"/>
      <c r="J865" s="9" t="n"/>
    </row>
    <row r="866">
      <c r="A866" s="9" t="n"/>
      <c r="B866" s="19" t="n"/>
      <c r="C866" s="9" t="n"/>
      <c r="D866" s="9" t="n"/>
      <c r="E866" s="9" t="n"/>
      <c r="F866" s="10" t="n"/>
      <c r="G866" s="12">
        <f>IF($A866="",0,IF($I866="",0,$F866))</f>
        <v/>
      </c>
      <c r="H866" s="12">
        <f>IF($A866="","",$F866-$G866)</f>
        <v/>
      </c>
      <c r="I866" s="9" t="n"/>
      <c r="J866" s="9" t="n"/>
    </row>
    <row r="867">
      <c r="A867" s="9" t="n"/>
      <c r="B867" s="19" t="n"/>
      <c r="C867" s="9" t="n"/>
      <c r="D867" s="9" t="n"/>
      <c r="E867" s="9" t="n"/>
      <c r="F867" s="10" t="n"/>
      <c r="G867" s="12">
        <f>IF($A867="",0,IF($I867="",0,$F867))</f>
        <v/>
      </c>
      <c r="H867" s="12">
        <f>IF($A867="","",$F867-$G867)</f>
        <v/>
      </c>
      <c r="I867" s="9" t="n"/>
      <c r="J867" s="9" t="n"/>
    </row>
    <row r="868">
      <c r="A868" s="9" t="n"/>
      <c r="B868" s="19" t="n"/>
      <c r="C868" s="9" t="n"/>
      <c r="D868" s="9" t="n"/>
      <c r="E868" s="9" t="n"/>
      <c r="F868" s="10" t="n"/>
      <c r="G868" s="12">
        <f>IF($A868="",0,IF($I868="",0,$F868))</f>
        <v/>
      </c>
      <c r="H868" s="12">
        <f>IF($A868="","",$F868-$G868)</f>
        <v/>
      </c>
      <c r="I868" s="9" t="n"/>
      <c r="J868" s="9" t="n"/>
    </row>
    <row r="869">
      <c r="A869" s="9" t="n"/>
      <c r="B869" s="19" t="n"/>
      <c r="C869" s="9" t="n"/>
      <c r="D869" s="9" t="n"/>
      <c r="E869" s="9" t="n"/>
      <c r="F869" s="10" t="n"/>
      <c r="G869" s="12">
        <f>IF($A869="",0,IF($I869="",0,$F869))</f>
        <v/>
      </c>
      <c r="H869" s="12">
        <f>IF($A869="","",$F869-$G869)</f>
        <v/>
      </c>
      <c r="I869" s="9" t="n"/>
      <c r="J869" s="9" t="n"/>
    </row>
    <row r="870">
      <c r="A870" s="9" t="n"/>
      <c r="B870" s="19" t="n"/>
      <c r="C870" s="9" t="n"/>
      <c r="D870" s="9" t="n"/>
      <c r="E870" s="9" t="n"/>
      <c r="F870" s="10" t="n"/>
      <c r="G870" s="12">
        <f>IF($A870="",0,IF($I870="",0,$F870))</f>
        <v/>
      </c>
      <c r="H870" s="12">
        <f>IF($A870="","",$F870-$G870)</f>
        <v/>
      </c>
      <c r="I870" s="9" t="n"/>
      <c r="J870" s="9" t="n"/>
    </row>
    <row r="871">
      <c r="A871" s="9" t="n"/>
      <c r="B871" s="19" t="n"/>
      <c r="C871" s="9" t="n"/>
      <c r="D871" s="9" t="n"/>
      <c r="E871" s="9" t="n"/>
      <c r="F871" s="10" t="n"/>
      <c r="G871" s="12">
        <f>IF($A871="",0,IF($I871="",0,$F871))</f>
        <v/>
      </c>
      <c r="H871" s="12">
        <f>IF($A871="","",$F871-$G871)</f>
        <v/>
      </c>
      <c r="I871" s="9" t="n"/>
      <c r="J871" s="9" t="n"/>
    </row>
    <row r="872">
      <c r="A872" s="9" t="n"/>
      <c r="B872" s="19" t="n"/>
      <c r="C872" s="9" t="n"/>
      <c r="D872" s="9" t="n"/>
      <c r="E872" s="9" t="n"/>
      <c r="F872" s="10" t="n"/>
      <c r="G872" s="12">
        <f>IF($A872="",0,IF($I872="",0,$F872))</f>
        <v/>
      </c>
      <c r="H872" s="12">
        <f>IF($A872="","",$F872-$G872)</f>
        <v/>
      </c>
      <c r="I872" s="9" t="n"/>
      <c r="J872" s="9" t="n"/>
    </row>
    <row r="873">
      <c r="A873" s="9" t="n"/>
      <c r="B873" s="19" t="n"/>
      <c r="C873" s="9" t="n"/>
      <c r="D873" s="9" t="n"/>
      <c r="E873" s="9" t="n"/>
      <c r="F873" s="10" t="n"/>
      <c r="G873" s="12">
        <f>IF($A873="",0,IF($I873="",0,$F873))</f>
        <v/>
      </c>
      <c r="H873" s="12">
        <f>IF($A873="","",$F873-$G873)</f>
        <v/>
      </c>
      <c r="I873" s="9" t="n"/>
      <c r="J873" s="9" t="n"/>
    </row>
    <row r="874">
      <c r="A874" s="9" t="n"/>
      <c r="B874" s="19" t="n"/>
      <c r="C874" s="9" t="n"/>
      <c r="D874" s="9" t="n"/>
      <c r="E874" s="9" t="n"/>
      <c r="F874" s="10" t="n"/>
      <c r="G874" s="12">
        <f>IF($A874="",0,IF($I874="",0,$F874))</f>
        <v/>
      </c>
      <c r="H874" s="12">
        <f>IF($A874="","",$F874-$G874)</f>
        <v/>
      </c>
      <c r="I874" s="9" t="n"/>
      <c r="J874" s="9" t="n"/>
    </row>
    <row r="875">
      <c r="A875" s="9" t="n"/>
      <c r="B875" s="19" t="n"/>
      <c r="C875" s="9" t="n"/>
      <c r="D875" s="9" t="n"/>
      <c r="E875" s="9" t="n"/>
      <c r="F875" s="10" t="n"/>
      <c r="G875" s="12">
        <f>IF($A875="",0,IF($I875="",0,$F875))</f>
        <v/>
      </c>
      <c r="H875" s="12">
        <f>IF($A875="","",$F875-$G875)</f>
        <v/>
      </c>
      <c r="I875" s="9" t="n"/>
      <c r="J875" s="9" t="n"/>
    </row>
    <row r="876">
      <c r="A876" s="9" t="n"/>
      <c r="B876" s="19" t="n"/>
      <c r="C876" s="9" t="n"/>
      <c r="D876" s="9" t="n"/>
      <c r="E876" s="9" t="n"/>
      <c r="F876" s="10" t="n"/>
      <c r="G876" s="12">
        <f>IF($A876="",0,IF($I876="",0,$F876))</f>
        <v/>
      </c>
      <c r="H876" s="12">
        <f>IF($A876="","",$F876-$G876)</f>
        <v/>
      </c>
      <c r="I876" s="9" t="n"/>
      <c r="J876" s="9" t="n"/>
    </row>
    <row r="877">
      <c r="A877" s="9" t="n"/>
      <c r="B877" s="19" t="n"/>
      <c r="C877" s="9" t="n"/>
      <c r="D877" s="9" t="n"/>
      <c r="E877" s="9" t="n"/>
      <c r="F877" s="10" t="n"/>
      <c r="G877" s="12">
        <f>IF($A877="",0,IF($I877="",0,$F877))</f>
        <v/>
      </c>
      <c r="H877" s="12">
        <f>IF($A877="","",$F877-$G877)</f>
        <v/>
      </c>
      <c r="I877" s="9" t="n"/>
      <c r="J877" s="9" t="n"/>
    </row>
    <row r="878">
      <c r="A878" s="9" t="n"/>
      <c r="B878" s="19" t="n"/>
      <c r="C878" s="9" t="n"/>
      <c r="D878" s="9" t="n"/>
      <c r="E878" s="9" t="n"/>
      <c r="F878" s="10" t="n"/>
      <c r="G878" s="12">
        <f>IF($A878="",0,IF($I878="",0,$F878))</f>
        <v/>
      </c>
      <c r="H878" s="12">
        <f>IF($A878="","",$F878-$G878)</f>
        <v/>
      </c>
      <c r="I878" s="9" t="n"/>
      <c r="J878" s="9" t="n"/>
    </row>
    <row r="879">
      <c r="A879" s="9" t="n"/>
      <c r="B879" s="19" t="n"/>
      <c r="C879" s="9" t="n"/>
      <c r="D879" s="9" t="n"/>
      <c r="E879" s="9" t="n"/>
      <c r="F879" s="10" t="n"/>
      <c r="G879" s="12">
        <f>IF($A879="",0,IF($I879="",0,$F879))</f>
        <v/>
      </c>
      <c r="H879" s="12">
        <f>IF($A879="","",$F879-$G879)</f>
        <v/>
      </c>
      <c r="I879" s="9" t="n"/>
      <c r="J879" s="9" t="n"/>
    </row>
    <row r="880">
      <c r="A880" s="9" t="n"/>
      <c r="B880" s="19" t="n"/>
      <c r="C880" s="9" t="n"/>
      <c r="D880" s="9" t="n"/>
      <c r="E880" s="9" t="n"/>
      <c r="F880" s="10" t="n"/>
      <c r="G880" s="12">
        <f>IF($A880="",0,IF($I880="",0,$F880))</f>
        <v/>
      </c>
      <c r="H880" s="12">
        <f>IF($A880="","",$F880-$G880)</f>
        <v/>
      </c>
      <c r="I880" s="9" t="n"/>
      <c r="J880" s="9" t="n"/>
    </row>
    <row r="881">
      <c r="A881" s="9" t="n"/>
      <c r="B881" s="19" t="n"/>
      <c r="C881" s="9" t="n"/>
      <c r="D881" s="9" t="n"/>
      <c r="E881" s="9" t="n"/>
      <c r="F881" s="10" t="n"/>
      <c r="G881" s="12">
        <f>IF($A881="",0,IF($I881="",0,$F881))</f>
        <v/>
      </c>
      <c r="H881" s="12">
        <f>IF($A881="","",$F881-$G881)</f>
        <v/>
      </c>
      <c r="I881" s="9" t="n"/>
      <c r="J881" s="9" t="n"/>
    </row>
    <row r="882">
      <c r="A882" s="9" t="n"/>
      <c r="B882" s="19" t="n"/>
      <c r="C882" s="9" t="n"/>
      <c r="D882" s="9" t="n"/>
      <c r="E882" s="9" t="n"/>
      <c r="F882" s="10" t="n"/>
      <c r="G882" s="12">
        <f>IF($A882="",0,IF($I882="",0,$F882))</f>
        <v/>
      </c>
      <c r="H882" s="12">
        <f>IF($A882="","",$F882-$G882)</f>
        <v/>
      </c>
      <c r="I882" s="9" t="n"/>
      <c r="J882" s="9" t="n"/>
    </row>
    <row r="883">
      <c r="A883" s="9" t="n"/>
      <c r="B883" s="19" t="n"/>
      <c r="C883" s="9" t="n"/>
      <c r="D883" s="9" t="n"/>
      <c r="E883" s="9" t="n"/>
      <c r="F883" s="10" t="n"/>
      <c r="G883" s="12">
        <f>IF($A883="",0,IF($I883="",0,$F883))</f>
        <v/>
      </c>
      <c r="H883" s="12">
        <f>IF($A883="","",$F883-$G883)</f>
        <v/>
      </c>
      <c r="I883" s="9" t="n"/>
      <c r="J883" s="9" t="n"/>
    </row>
    <row r="884">
      <c r="A884" s="9" t="n"/>
      <c r="B884" s="19" t="n"/>
      <c r="C884" s="9" t="n"/>
      <c r="D884" s="9" t="n"/>
      <c r="E884" s="9" t="n"/>
      <c r="F884" s="10" t="n"/>
      <c r="G884" s="12">
        <f>IF($A884="",0,IF($I884="",0,$F884))</f>
        <v/>
      </c>
      <c r="H884" s="12">
        <f>IF($A884="","",$F884-$G884)</f>
        <v/>
      </c>
      <c r="I884" s="9" t="n"/>
      <c r="J884" s="9" t="n"/>
    </row>
    <row r="885">
      <c r="A885" s="9" t="n"/>
      <c r="B885" s="19" t="n"/>
      <c r="C885" s="9" t="n"/>
      <c r="D885" s="9" t="n"/>
      <c r="E885" s="9" t="n"/>
      <c r="F885" s="10" t="n"/>
      <c r="G885" s="12">
        <f>IF($A885="",0,IF($I885="",0,$F885))</f>
        <v/>
      </c>
      <c r="H885" s="12">
        <f>IF($A885="","",$F885-$G885)</f>
        <v/>
      </c>
      <c r="I885" s="9" t="n"/>
      <c r="J885" s="9" t="n"/>
    </row>
    <row r="886">
      <c r="A886" s="9" t="n"/>
      <c r="B886" s="19" t="n"/>
      <c r="C886" s="9" t="n"/>
      <c r="D886" s="9" t="n"/>
      <c r="E886" s="9" t="n"/>
      <c r="F886" s="10" t="n"/>
      <c r="G886" s="12">
        <f>IF($A886="",0,IF($I886="",0,$F886))</f>
        <v/>
      </c>
      <c r="H886" s="12">
        <f>IF($A886="","",$F886-$G886)</f>
        <v/>
      </c>
      <c r="I886" s="9" t="n"/>
      <c r="J886" s="9" t="n"/>
    </row>
    <row r="887">
      <c r="A887" s="9" t="n"/>
      <c r="B887" s="19" t="n"/>
      <c r="C887" s="9" t="n"/>
      <c r="D887" s="9" t="n"/>
      <c r="E887" s="9" t="n"/>
      <c r="F887" s="10" t="n"/>
      <c r="G887" s="12">
        <f>IF($A887="",0,IF($I887="",0,$F887))</f>
        <v/>
      </c>
      <c r="H887" s="12">
        <f>IF($A887="","",$F887-$G887)</f>
        <v/>
      </c>
      <c r="I887" s="9" t="n"/>
      <c r="J887" s="9" t="n"/>
    </row>
    <row r="888">
      <c r="A888" s="9" t="n"/>
      <c r="B888" s="19" t="n"/>
      <c r="C888" s="9" t="n"/>
      <c r="D888" s="9" t="n"/>
      <c r="E888" s="9" t="n"/>
      <c r="F888" s="10" t="n"/>
      <c r="G888" s="12">
        <f>IF($A888="",0,IF($I888="",0,$F888))</f>
        <v/>
      </c>
      <c r="H888" s="12">
        <f>IF($A888="","",$F888-$G888)</f>
        <v/>
      </c>
      <c r="I888" s="9" t="n"/>
      <c r="J888" s="9" t="n"/>
    </row>
    <row r="889">
      <c r="A889" s="9" t="n"/>
      <c r="B889" s="19" t="n"/>
      <c r="C889" s="9" t="n"/>
      <c r="D889" s="9" t="n"/>
      <c r="E889" s="9" t="n"/>
      <c r="F889" s="10" t="n"/>
      <c r="G889" s="12">
        <f>IF($A889="",0,IF($I889="",0,$F889))</f>
        <v/>
      </c>
      <c r="H889" s="12">
        <f>IF($A889="","",$F889-$G889)</f>
        <v/>
      </c>
      <c r="I889" s="9" t="n"/>
      <c r="J889" s="9" t="n"/>
    </row>
    <row r="890">
      <c r="A890" s="9" t="n"/>
      <c r="B890" s="19" t="n"/>
      <c r="C890" s="9" t="n"/>
      <c r="D890" s="9" t="n"/>
      <c r="E890" s="9" t="n"/>
      <c r="F890" s="10" t="n"/>
      <c r="G890" s="12">
        <f>IF($A890="",0,IF($I890="",0,$F890))</f>
        <v/>
      </c>
      <c r="H890" s="12">
        <f>IF($A890="","",$F890-$G890)</f>
        <v/>
      </c>
      <c r="I890" s="9" t="n"/>
      <c r="J890" s="9" t="n"/>
    </row>
    <row r="891">
      <c r="A891" s="9" t="n"/>
      <c r="B891" s="19" t="n"/>
      <c r="C891" s="9" t="n"/>
      <c r="D891" s="9" t="n"/>
      <c r="E891" s="9" t="n"/>
      <c r="F891" s="10" t="n"/>
      <c r="G891" s="12">
        <f>IF($A891="",0,IF($I891="",0,$F891))</f>
        <v/>
      </c>
      <c r="H891" s="12">
        <f>IF($A891="","",$F891-$G891)</f>
        <v/>
      </c>
      <c r="I891" s="9" t="n"/>
      <c r="J891" s="9" t="n"/>
    </row>
    <row r="892">
      <c r="A892" s="9" t="n"/>
      <c r="B892" s="19" t="n"/>
      <c r="C892" s="9" t="n"/>
      <c r="D892" s="9" t="n"/>
      <c r="E892" s="9" t="n"/>
      <c r="F892" s="10" t="n"/>
      <c r="G892" s="12">
        <f>IF($A892="",0,IF($I892="",0,$F892))</f>
        <v/>
      </c>
      <c r="H892" s="12">
        <f>IF($A892="","",$F892-$G892)</f>
        <v/>
      </c>
      <c r="I892" s="9" t="n"/>
      <c r="J892" s="9" t="n"/>
    </row>
    <row r="893">
      <c r="A893" s="9" t="n"/>
      <c r="B893" s="19" t="n"/>
      <c r="C893" s="9" t="n"/>
      <c r="D893" s="9" t="n"/>
      <c r="E893" s="9" t="n"/>
      <c r="F893" s="10" t="n"/>
      <c r="G893" s="12">
        <f>IF($A893="",0,IF($I893="",0,$F893))</f>
        <v/>
      </c>
      <c r="H893" s="12">
        <f>IF($A893="","",$F893-$G893)</f>
        <v/>
      </c>
      <c r="I893" s="9" t="n"/>
      <c r="J893" s="9" t="n"/>
    </row>
    <row r="894">
      <c r="A894" s="9" t="n"/>
      <c r="B894" s="19" t="n"/>
      <c r="C894" s="9" t="n"/>
      <c r="D894" s="9" t="n"/>
      <c r="E894" s="9" t="n"/>
      <c r="F894" s="10" t="n"/>
      <c r="G894" s="12">
        <f>IF($A894="",0,IF($I894="",0,$F894))</f>
        <v/>
      </c>
      <c r="H894" s="12">
        <f>IF($A894="","",$F894-$G894)</f>
        <v/>
      </c>
      <c r="I894" s="9" t="n"/>
      <c r="J894" s="9" t="n"/>
    </row>
    <row r="895">
      <c r="A895" s="9" t="n"/>
      <c r="B895" s="19" t="n"/>
      <c r="C895" s="9" t="n"/>
      <c r="D895" s="9" t="n"/>
      <c r="E895" s="9" t="n"/>
      <c r="F895" s="10" t="n"/>
      <c r="G895" s="12">
        <f>IF($A895="",0,IF($I895="",0,$F895))</f>
        <v/>
      </c>
      <c r="H895" s="12">
        <f>IF($A895="","",$F895-$G895)</f>
        <v/>
      </c>
      <c r="I895" s="9" t="n"/>
      <c r="J895" s="9" t="n"/>
    </row>
    <row r="896">
      <c r="A896" s="9" t="n"/>
      <c r="B896" s="19" t="n"/>
      <c r="C896" s="9" t="n"/>
      <c r="D896" s="9" t="n"/>
      <c r="E896" s="9" t="n"/>
      <c r="F896" s="10" t="n"/>
      <c r="G896" s="12">
        <f>IF($A896="",0,IF($I896="",0,$F896))</f>
        <v/>
      </c>
      <c r="H896" s="12">
        <f>IF($A896="","",$F896-$G896)</f>
        <v/>
      </c>
      <c r="I896" s="9" t="n"/>
      <c r="J896" s="9" t="n"/>
    </row>
    <row r="897">
      <c r="A897" s="9" t="n"/>
      <c r="B897" s="19" t="n"/>
      <c r="C897" s="9" t="n"/>
      <c r="D897" s="9" t="n"/>
      <c r="E897" s="9" t="n"/>
      <c r="F897" s="10" t="n"/>
      <c r="G897" s="12">
        <f>IF($A897="",0,IF($I897="",0,$F897))</f>
        <v/>
      </c>
      <c r="H897" s="12">
        <f>IF($A897="","",$F897-$G897)</f>
        <v/>
      </c>
      <c r="I897" s="9" t="n"/>
      <c r="J897" s="9" t="n"/>
    </row>
    <row r="898">
      <c r="A898" s="9" t="n"/>
      <c r="B898" s="19" t="n"/>
      <c r="C898" s="9" t="n"/>
      <c r="D898" s="9" t="n"/>
      <c r="E898" s="9" t="n"/>
      <c r="F898" s="10" t="n"/>
      <c r="G898" s="12">
        <f>IF($A898="",0,IF($I898="",0,$F898))</f>
        <v/>
      </c>
      <c r="H898" s="12">
        <f>IF($A898="","",$F898-$G898)</f>
        <v/>
      </c>
      <c r="I898" s="9" t="n"/>
      <c r="J898" s="9" t="n"/>
    </row>
    <row r="899">
      <c r="A899" s="9" t="n"/>
      <c r="B899" s="19" t="n"/>
      <c r="C899" s="9" t="n"/>
      <c r="D899" s="9" t="n"/>
      <c r="E899" s="9" t="n"/>
      <c r="F899" s="10" t="n"/>
      <c r="G899" s="12">
        <f>IF($A899="",0,IF($I899="",0,$F899))</f>
        <v/>
      </c>
      <c r="H899" s="12">
        <f>IF($A899="","",$F899-$G899)</f>
        <v/>
      </c>
      <c r="I899" s="9" t="n"/>
      <c r="J899" s="9" t="n"/>
    </row>
    <row r="900">
      <c r="A900" s="9" t="n"/>
      <c r="B900" s="19" t="n"/>
      <c r="C900" s="9" t="n"/>
      <c r="D900" s="9" t="n"/>
      <c r="E900" s="9" t="n"/>
      <c r="F900" s="10" t="n"/>
      <c r="G900" s="12">
        <f>IF($A900="",0,IF($I900="",0,$F900))</f>
        <v/>
      </c>
      <c r="H900" s="12">
        <f>IF($A900="","",$F900-$G900)</f>
        <v/>
      </c>
      <c r="I900" s="9" t="n"/>
      <c r="J900" s="9" t="n"/>
    </row>
    <row r="901">
      <c r="A901" s="9" t="n"/>
      <c r="B901" s="19" t="n"/>
      <c r="C901" s="9" t="n"/>
      <c r="D901" s="9" t="n"/>
      <c r="E901" s="9" t="n"/>
      <c r="F901" s="10" t="n"/>
      <c r="G901" s="12">
        <f>IF($A901="",0,IF($I901="",0,$F901))</f>
        <v/>
      </c>
      <c r="H901" s="12">
        <f>IF($A901="","",$F901-$G901)</f>
        <v/>
      </c>
      <c r="I901" s="9" t="n"/>
      <c r="J901" s="9" t="n"/>
    </row>
    <row r="902">
      <c r="A902" s="9" t="n"/>
      <c r="B902" s="19" t="n"/>
      <c r="C902" s="9" t="n"/>
      <c r="D902" s="9" t="n"/>
      <c r="E902" s="9" t="n"/>
      <c r="F902" s="10" t="n"/>
      <c r="G902" s="12">
        <f>IF($A902="",0,IF($I902="",0,$F902))</f>
        <v/>
      </c>
      <c r="H902" s="12">
        <f>IF($A902="","",$F902-$G902)</f>
        <v/>
      </c>
      <c r="I902" s="9" t="n"/>
      <c r="J902" s="9" t="n"/>
    </row>
    <row r="903">
      <c r="A903" s="9" t="n"/>
      <c r="B903" s="19" t="n"/>
      <c r="C903" s="9" t="n"/>
      <c r="D903" s="9" t="n"/>
      <c r="E903" s="9" t="n"/>
      <c r="F903" s="10" t="n"/>
      <c r="G903" s="12">
        <f>IF($A903="",0,IF($I903="",0,$F903))</f>
        <v/>
      </c>
      <c r="H903" s="12">
        <f>IF($A903="","",$F903-$G903)</f>
        <v/>
      </c>
      <c r="I903" s="9" t="n"/>
      <c r="J903" s="9" t="n"/>
    </row>
    <row r="904">
      <c r="A904" s="9" t="n"/>
      <c r="B904" s="19" t="n"/>
      <c r="C904" s="9" t="n"/>
      <c r="D904" s="9" t="n"/>
      <c r="E904" s="9" t="n"/>
      <c r="F904" s="10" t="n"/>
      <c r="G904" s="12">
        <f>IF($A904="",0,IF($I904="",0,$F904))</f>
        <v/>
      </c>
      <c r="H904" s="12">
        <f>IF($A904="","",$F904-$G904)</f>
        <v/>
      </c>
      <c r="I904" s="9" t="n"/>
      <c r="J904" s="9" t="n"/>
    </row>
    <row r="905">
      <c r="A905" s="9" t="n"/>
      <c r="B905" s="19" t="n"/>
      <c r="C905" s="9" t="n"/>
      <c r="D905" s="9" t="n"/>
      <c r="E905" s="9" t="n"/>
      <c r="F905" s="10" t="n"/>
      <c r="G905" s="12">
        <f>IF($A905="",0,IF($I905="",0,$F905))</f>
        <v/>
      </c>
      <c r="H905" s="12">
        <f>IF($A905="","",$F905-$G905)</f>
        <v/>
      </c>
      <c r="I905" s="9" t="n"/>
      <c r="J905" s="9" t="n"/>
    </row>
    <row r="906">
      <c r="A906" s="9" t="n"/>
      <c r="B906" s="19" t="n"/>
      <c r="C906" s="9" t="n"/>
      <c r="D906" s="9" t="n"/>
      <c r="E906" s="9" t="n"/>
      <c r="F906" s="10" t="n"/>
      <c r="G906" s="12">
        <f>IF($A906="",0,IF($I906="",0,$F906))</f>
        <v/>
      </c>
      <c r="H906" s="12">
        <f>IF($A906="","",$F906-$G906)</f>
        <v/>
      </c>
      <c r="I906" s="9" t="n"/>
      <c r="J906" s="9" t="n"/>
    </row>
    <row r="907">
      <c r="A907" s="9" t="n"/>
      <c r="B907" s="19" t="n"/>
      <c r="C907" s="9" t="n"/>
      <c r="D907" s="9" t="n"/>
      <c r="E907" s="9" t="n"/>
      <c r="F907" s="10" t="n"/>
      <c r="G907" s="12">
        <f>IF($A907="",0,IF($I907="",0,$F907))</f>
        <v/>
      </c>
      <c r="H907" s="12">
        <f>IF($A907="","",$F907-$G907)</f>
        <v/>
      </c>
      <c r="I907" s="9" t="n"/>
      <c r="J907" s="9" t="n"/>
    </row>
    <row r="908">
      <c r="A908" s="9" t="n"/>
      <c r="B908" s="19" t="n"/>
      <c r="C908" s="9" t="n"/>
      <c r="D908" s="9" t="n"/>
      <c r="E908" s="9" t="n"/>
      <c r="F908" s="10" t="n"/>
      <c r="G908" s="12">
        <f>IF($A908="",0,IF($I908="",0,$F908))</f>
        <v/>
      </c>
      <c r="H908" s="12">
        <f>IF($A908="","",$F908-$G908)</f>
        <v/>
      </c>
      <c r="I908" s="9" t="n"/>
      <c r="J908" s="9" t="n"/>
    </row>
    <row r="909">
      <c r="A909" s="9" t="n"/>
      <c r="B909" s="19" t="n"/>
      <c r="C909" s="9" t="n"/>
      <c r="D909" s="9" t="n"/>
      <c r="E909" s="9" t="n"/>
      <c r="F909" s="10" t="n"/>
      <c r="G909" s="12">
        <f>IF($A909="",0,IF($I909="",0,$F909))</f>
        <v/>
      </c>
      <c r="H909" s="12">
        <f>IF($A909="","",$F909-$G909)</f>
        <v/>
      </c>
      <c r="I909" s="9" t="n"/>
      <c r="J909" s="9" t="n"/>
    </row>
    <row r="910">
      <c r="A910" s="9" t="n"/>
      <c r="B910" s="19" t="n"/>
      <c r="C910" s="9" t="n"/>
      <c r="D910" s="9" t="n"/>
      <c r="E910" s="9" t="n"/>
      <c r="F910" s="10" t="n"/>
      <c r="G910" s="12">
        <f>IF($A910="",0,IF($I910="",0,$F910))</f>
        <v/>
      </c>
      <c r="H910" s="12">
        <f>IF($A910="","",$F910-$G910)</f>
        <v/>
      </c>
      <c r="I910" s="9" t="n"/>
      <c r="J910" s="9" t="n"/>
    </row>
    <row r="911">
      <c r="A911" s="9" t="n"/>
      <c r="B911" s="19" t="n"/>
      <c r="C911" s="9" t="n"/>
      <c r="D911" s="9" t="n"/>
      <c r="E911" s="9" t="n"/>
      <c r="F911" s="10" t="n"/>
      <c r="G911" s="12">
        <f>IF($A911="",0,IF($I911="",0,$F911))</f>
        <v/>
      </c>
      <c r="H911" s="12">
        <f>IF($A911="","",$F911-$G911)</f>
        <v/>
      </c>
      <c r="I911" s="9" t="n"/>
      <c r="J911" s="9" t="n"/>
    </row>
    <row r="912">
      <c r="A912" s="9" t="n"/>
      <c r="B912" s="19" t="n"/>
      <c r="C912" s="9" t="n"/>
      <c r="D912" s="9" t="n"/>
      <c r="E912" s="9" t="n"/>
      <c r="F912" s="10" t="n"/>
      <c r="G912" s="12">
        <f>IF($A912="",0,IF($I912="",0,$F912))</f>
        <v/>
      </c>
      <c r="H912" s="12">
        <f>IF($A912="","",$F912-$G912)</f>
        <v/>
      </c>
      <c r="I912" s="9" t="n"/>
      <c r="J912" s="9" t="n"/>
    </row>
    <row r="913">
      <c r="A913" s="9" t="n"/>
      <c r="B913" s="19" t="n"/>
      <c r="C913" s="9" t="n"/>
      <c r="D913" s="9" t="n"/>
      <c r="E913" s="9" t="n"/>
      <c r="F913" s="10" t="n"/>
      <c r="G913" s="12">
        <f>IF($A913="",0,IF($I913="",0,$F913))</f>
        <v/>
      </c>
      <c r="H913" s="12">
        <f>IF($A913="","",$F913-$G913)</f>
        <v/>
      </c>
      <c r="I913" s="9" t="n"/>
      <c r="J913" s="9" t="n"/>
    </row>
    <row r="914">
      <c r="A914" s="9" t="n"/>
      <c r="B914" s="19" t="n"/>
      <c r="C914" s="9" t="n"/>
      <c r="D914" s="9" t="n"/>
      <c r="E914" s="9" t="n"/>
      <c r="F914" s="10" t="n"/>
      <c r="G914" s="12">
        <f>IF($A914="",0,IF($I914="",0,$F914))</f>
        <v/>
      </c>
      <c r="H914" s="12">
        <f>IF($A914="","",$F914-$G914)</f>
        <v/>
      </c>
      <c r="I914" s="9" t="n"/>
      <c r="J914" s="9" t="n"/>
    </row>
    <row r="915">
      <c r="A915" s="9" t="n"/>
      <c r="B915" s="19" t="n"/>
      <c r="C915" s="9" t="n"/>
      <c r="D915" s="9" t="n"/>
      <c r="E915" s="9" t="n"/>
      <c r="F915" s="10" t="n"/>
      <c r="G915" s="12">
        <f>IF($A915="",0,IF($I915="",0,$F915))</f>
        <v/>
      </c>
      <c r="H915" s="12">
        <f>IF($A915="","",$F915-$G915)</f>
        <v/>
      </c>
      <c r="I915" s="9" t="n"/>
      <c r="J915" s="9" t="n"/>
    </row>
    <row r="916">
      <c r="A916" s="9" t="n"/>
      <c r="B916" s="19" t="n"/>
      <c r="C916" s="9" t="n"/>
      <c r="D916" s="9" t="n"/>
      <c r="E916" s="9" t="n"/>
      <c r="F916" s="10" t="n"/>
      <c r="G916" s="12">
        <f>IF($A916="",0,IF($I916="",0,$F916))</f>
        <v/>
      </c>
      <c r="H916" s="12">
        <f>IF($A916="","",$F916-$G916)</f>
        <v/>
      </c>
      <c r="I916" s="9" t="n"/>
      <c r="J916" s="9" t="n"/>
    </row>
    <row r="917">
      <c r="A917" s="9" t="n"/>
      <c r="B917" s="19" t="n"/>
      <c r="C917" s="9" t="n"/>
      <c r="D917" s="9" t="n"/>
      <c r="E917" s="9" t="n"/>
      <c r="F917" s="10" t="n"/>
      <c r="G917" s="12">
        <f>IF($A917="",0,IF($I917="",0,$F917))</f>
        <v/>
      </c>
      <c r="H917" s="12">
        <f>IF($A917="","",$F917-$G917)</f>
        <v/>
      </c>
      <c r="I917" s="9" t="n"/>
      <c r="J917" s="9" t="n"/>
    </row>
    <row r="918">
      <c r="A918" s="9" t="n"/>
      <c r="B918" s="19" t="n"/>
      <c r="C918" s="9" t="n"/>
      <c r="D918" s="9" t="n"/>
      <c r="E918" s="9" t="n"/>
      <c r="F918" s="10" t="n"/>
      <c r="G918" s="12">
        <f>IF($A918="",0,IF($I918="",0,$F918))</f>
        <v/>
      </c>
      <c r="H918" s="12">
        <f>IF($A918="","",$F918-$G918)</f>
        <v/>
      </c>
      <c r="I918" s="9" t="n"/>
      <c r="J918" s="9" t="n"/>
    </row>
    <row r="919">
      <c r="A919" s="9" t="n"/>
      <c r="B919" s="19" t="n"/>
      <c r="C919" s="9" t="n"/>
      <c r="D919" s="9" t="n"/>
      <c r="E919" s="9" t="n"/>
      <c r="F919" s="10" t="n"/>
      <c r="G919" s="12">
        <f>IF($A919="",0,IF($I919="",0,$F919))</f>
        <v/>
      </c>
      <c r="H919" s="12">
        <f>IF($A919="","",$F919-$G919)</f>
        <v/>
      </c>
      <c r="I919" s="9" t="n"/>
      <c r="J919" s="9" t="n"/>
    </row>
    <row r="920">
      <c r="A920" s="9" t="n"/>
      <c r="B920" s="19" t="n"/>
      <c r="C920" s="9" t="n"/>
      <c r="D920" s="9" t="n"/>
      <c r="E920" s="9" t="n"/>
      <c r="F920" s="10" t="n"/>
      <c r="G920" s="12">
        <f>IF($A920="",0,IF($I920="",0,$F920))</f>
        <v/>
      </c>
      <c r="H920" s="12">
        <f>IF($A920="","",$F920-$G920)</f>
        <v/>
      </c>
      <c r="I920" s="9" t="n"/>
      <c r="J920" s="9" t="n"/>
    </row>
    <row r="921">
      <c r="A921" s="9" t="n"/>
      <c r="B921" s="19" t="n"/>
      <c r="C921" s="9" t="n"/>
      <c r="D921" s="9" t="n"/>
      <c r="E921" s="9" t="n"/>
      <c r="F921" s="10" t="n"/>
      <c r="G921" s="12">
        <f>IF($A921="",0,IF($I921="",0,$F921))</f>
        <v/>
      </c>
      <c r="H921" s="12">
        <f>IF($A921="","",$F921-$G921)</f>
        <v/>
      </c>
      <c r="I921" s="9" t="n"/>
      <c r="J921" s="9" t="n"/>
    </row>
    <row r="922">
      <c r="A922" s="9" t="n"/>
      <c r="B922" s="19" t="n"/>
      <c r="C922" s="9" t="n"/>
      <c r="D922" s="9" t="n"/>
      <c r="E922" s="9" t="n"/>
      <c r="F922" s="10" t="n"/>
      <c r="G922" s="12">
        <f>IF($A922="",0,IF($I922="",0,$F922))</f>
        <v/>
      </c>
      <c r="H922" s="12">
        <f>IF($A922="","",$F922-$G922)</f>
        <v/>
      </c>
      <c r="I922" s="9" t="n"/>
      <c r="J922" s="9" t="n"/>
    </row>
    <row r="923">
      <c r="A923" s="9" t="n"/>
      <c r="B923" s="19" t="n"/>
      <c r="C923" s="9" t="n"/>
      <c r="D923" s="9" t="n"/>
      <c r="E923" s="9" t="n"/>
      <c r="F923" s="10" t="n"/>
      <c r="G923" s="12">
        <f>IF($A923="",0,IF($I923="",0,$F923))</f>
        <v/>
      </c>
      <c r="H923" s="12">
        <f>IF($A923="","",$F923-$G923)</f>
        <v/>
      </c>
      <c r="I923" s="9" t="n"/>
      <c r="J923" s="9" t="n"/>
    </row>
    <row r="924">
      <c r="A924" s="9" t="n"/>
      <c r="B924" s="19" t="n"/>
      <c r="C924" s="9" t="n"/>
      <c r="D924" s="9" t="n"/>
      <c r="E924" s="9" t="n"/>
      <c r="F924" s="10" t="n"/>
      <c r="G924" s="12">
        <f>IF($A924="",0,IF($I924="",0,$F924))</f>
        <v/>
      </c>
      <c r="H924" s="12">
        <f>IF($A924="","",$F924-$G924)</f>
        <v/>
      </c>
      <c r="I924" s="9" t="n"/>
      <c r="J924" s="9" t="n"/>
    </row>
    <row r="925">
      <c r="A925" s="9" t="n"/>
      <c r="B925" s="19" t="n"/>
      <c r="C925" s="9" t="n"/>
      <c r="D925" s="9" t="n"/>
      <c r="E925" s="9" t="n"/>
      <c r="F925" s="10" t="n"/>
      <c r="G925" s="12">
        <f>IF($A925="",0,IF($I925="",0,$F925))</f>
        <v/>
      </c>
      <c r="H925" s="12">
        <f>IF($A925="","",$F925-$G925)</f>
        <v/>
      </c>
      <c r="I925" s="9" t="n"/>
      <c r="J925" s="9" t="n"/>
    </row>
    <row r="926">
      <c r="A926" s="9" t="n"/>
      <c r="B926" s="19" t="n"/>
      <c r="C926" s="9" t="n"/>
      <c r="D926" s="9" t="n"/>
      <c r="E926" s="9" t="n"/>
      <c r="F926" s="10" t="n"/>
      <c r="G926" s="12">
        <f>IF($A926="",0,IF($I926="",0,$F926))</f>
        <v/>
      </c>
      <c r="H926" s="12">
        <f>IF($A926="","",$F926-$G926)</f>
        <v/>
      </c>
      <c r="I926" s="9" t="n"/>
      <c r="J926" s="9" t="n"/>
    </row>
    <row r="927">
      <c r="A927" s="9" t="n"/>
      <c r="B927" s="19" t="n"/>
      <c r="C927" s="9" t="n"/>
      <c r="D927" s="9" t="n"/>
      <c r="E927" s="9" t="n"/>
      <c r="F927" s="10" t="n"/>
      <c r="G927" s="12">
        <f>IF($A927="",0,IF($I927="",0,$F927))</f>
        <v/>
      </c>
      <c r="H927" s="12">
        <f>IF($A927="","",$F927-$G927)</f>
        <v/>
      </c>
      <c r="I927" s="9" t="n"/>
      <c r="J927" s="9" t="n"/>
    </row>
    <row r="928">
      <c r="A928" s="9" t="n"/>
      <c r="B928" s="19" t="n"/>
      <c r="C928" s="9" t="n"/>
      <c r="D928" s="9" t="n"/>
      <c r="E928" s="9" t="n"/>
      <c r="F928" s="10" t="n"/>
      <c r="G928" s="12">
        <f>IF($A928="",0,IF($I928="",0,$F928))</f>
        <v/>
      </c>
      <c r="H928" s="12">
        <f>IF($A928="","",$F928-$G928)</f>
        <v/>
      </c>
      <c r="I928" s="9" t="n"/>
      <c r="J928" s="9" t="n"/>
    </row>
    <row r="929">
      <c r="A929" s="9" t="n"/>
      <c r="B929" s="19" t="n"/>
      <c r="C929" s="9" t="n"/>
      <c r="D929" s="9" t="n"/>
      <c r="E929" s="9" t="n"/>
      <c r="F929" s="10" t="n"/>
      <c r="G929" s="12">
        <f>IF($A929="",0,IF($I929="",0,$F929))</f>
        <v/>
      </c>
      <c r="H929" s="12">
        <f>IF($A929="","",$F929-$G929)</f>
        <v/>
      </c>
      <c r="I929" s="9" t="n"/>
      <c r="J929" s="9" t="n"/>
    </row>
    <row r="930">
      <c r="A930" s="9" t="n"/>
      <c r="B930" s="19" t="n"/>
      <c r="C930" s="9" t="n"/>
      <c r="D930" s="9" t="n"/>
      <c r="E930" s="9" t="n"/>
      <c r="F930" s="10" t="n"/>
      <c r="G930" s="12">
        <f>IF($A930="",0,IF($I930="",0,$F930))</f>
        <v/>
      </c>
      <c r="H930" s="12">
        <f>IF($A930="","",$F930-$G930)</f>
        <v/>
      </c>
      <c r="I930" s="9" t="n"/>
      <c r="J930" s="9" t="n"/>
    </row>
    <row r="931">
      <c r="A931" s="9" t="n"/>
      <c r="B931" s="19" t="n"/>
      <c r="C931" s="9" t="n"/>
      <c r="D931" s="9" t="n"/>
      <c r="E931" s="9" t="n"/>
      <c r="F931" s="10" t="n"/>
      <c r="G931" s="12">
        <f>IF($A931="",0,IF($I931="",0,$F931))</f>
        <v/>
      </c>
      <c r="H931" s="12">
        <f>IF($A931="","",$F931-$G931)</f>
        <v/>
      </c>
      <c r="I931" s="9" t="n"/>
      <c r="J931" s="9" t="n"/>
    </row>
    <row r="932">
      <c r="A932" s="9" t="n"/>
      <c r="B932" s="19" t="n"/>
      <c r="C932" s="9" t="n"/>
      <c r="D932" s="9" t="n"/>
      <c r="E932" s="9" t="n"/>
      <c r="F932" s="10" t="n"/>
      <c r="G932" s="12">
        <f>IF($A932="",0,IF($I932="",0,$F932))</f>
        <v/>
      </c>
      <c r="H932" s="12">
        <f>IF($A932="","",$F932-$G932)</f>
        <v/>
      </c>
      <c r="I932" s="9" t="n"/>
      <c r="J932" s="9" t="n"/>
    </row>
    <row r="933">
      <c r="A933" s="9" t="n"/>
      <c r="B933" s="19" t="n"/>
      <c r="C933" s="9" t="n"/>
      <c r="D933" s="9" t="n"/>
      <c r="E933" s="9" t="n"/>
      <c r="F933" s="10" t="n"/>
      <c r="G933" s="12">
        <f>IF($A933="",0,IF($I933="",0,$F933))</f>
        <v/>
      </c>
      <c r="H933" s="12">
        <f>IF($A933="","",$F933-$G933)</f>
        <v/>
      </c>
      <c r="I933" s="9" t="n"/>
      <c r="J933" s="9" t="n"/>
    </row>
    <row r="934">
      <c r="A934" s="9" t="n"/>
      <c r="B934" s="19" t="n"/>
      <c r="C934" s="9" t="n"/>
      <c r="D934" s="9" t="n"/>
      <c r="E934" s="9" t="n"/>
      <c r="F934" s="10" t="n"/>
      <c r="G934" s="12">
        <f>IF($A934="",0,IF($I934="",0,$F934))</f>
        <v/>
      </c>
      <c r="H934" s="12">
        <f>IF($A934="","",$F934-$G934)</f>
        <v/>
      </c>
      <c r="I934" s="9" t="n"/>
      <c r="J934" s="9" t="n"/>
    </row>
    <row r="935">
      <c r="A935" s="9" t="n"/>
      <c r="B935" s="19" t="n"/>
      <c r="C935" s="9" t="n"/>
      <c r="D935" s="9" t="n"/>
      <c r="E935" s="9" t="n"/>
      <c r="F935" s="10" t="n"/>
      <c r="G935" s="12">
        <f>IF($A935="",0,IF($I935="",0,$F935))</f>
        <v/>
      </c>
      <c r="H935" s="12">
        <f>IF($A935="","",$F935-$G935)</f>
        <v/>
      </c>
      <c r="I935" s="9" t="n"/>
      <c r="J935" s="9" t="n"/>
    </row>
    <row r="936">
      <c r="A936" s="9" t="n"/>
      <c r="B936" s="19" t="n"/>
      <c r="C936" s="9" t="n"/>
      <c r="D936" s="9" t="n"/>
      <c r="E936" s="9" t="n"/>
      <c r="F936" s="10" t="n"/>
      <c r="G936" s="12">
        <f>IF($A936="",0,IF($I936="",0,$F936))</f>
        <v/>
      </c>
      <c r="H936" s="12">
        <f>IF($A936="","",$F936-$G936)</f>
        <v/>
      </c>
      <c r="I936" s="9" t="n"/>
      <c r="J936" s="9" t="n"/>
    </row>
    <row r="937">
      <c r="A937" s="9" t="n"/>
      <c r="B937" s="19" t="n"/>
      <c r="C937" s="9" t="n"/>
      <c r="D937" s="9" t="n"/>
      <c r="E937" s="9" t="n"/>
      <c r="F937" s="10" t="n"/>
      <c r="G937" s="12">
        <f>IF($A937="",0,IF($I937="",0,$F937))</f>
        <v/>
      </c>
      <c r="H937" s="12">
        <f>IF($A937="","",$F937-$G937)</f>
        <v/>
      </c>
      <c r="I937" s="9" t="n"/>
      <c r="J937" s="9" t="n"/>
    </row>
    <row r="938">
      <c r="A938" s="9" t="n"/>
      <c r="B938" s="19" t="n"/>
      <c r="C938" s="9" t="n"/>
      <c r="D938" s="9" t="n"/>
      <c r="E938" s="9" t="n"/>
      <c r="F938" s="10" t="n"/>
      <c r="G938" s="12">
        <f>IF($A938="",0,IF($I938="",0,$F938))</f>
        <v/>
      </c>
      <c r="H938" s="12">
        <f>IF($A938="","",$F938-$G938)</f>
        <v/>
      </c>
      <c r="I938" s="9" t="n"/>
      <c r="J938" s="9" t="n"/>
    </row>
    <row r="939">
      <c r="A939" s="9" t="n"/>
      <c r="B939" s="19" t="n"/>
      <c r="C939" s="9" t="n"/>
      <c r="D939" s="9" t="n"/>
      <c r="E939" s="9" t="n"/>
      <c r="F939" s="10" t="n"/>
      <c r="G939" s="12">
        <f>IF($A939="",0,IF($I939="",0,$F939))</f>
        <v/>
      </c>
      <c r="H939" s="12">
        <f>IF($A939="","",$F939-$G939)</f>
        <v/>
      </c>
      <c r="I939" s="9" t="n"/>
      <c r="J939" s="9" t="n"/>
    </row>
    <row r="940">
      <c r="A940" s="9" t="n"/>
      <c r="B940" s="19" t="n"/>
      <c r="C940" s="9" t="n"/>
      <c r="D940" s="9" t="n"/>
      <c r="E940" s="9" t="n"/>
      <c r="F940" s="10" t="n"/>
      <c r="G940" s="12">
        <f>IF($A940="",0,IF($I940="",0,$F940))</f>
        <v/>
      </c>
      <c r="H940" s="12">
        <f>IF($A940="","",$F940-$G940)</f>
        <v/>
      </c>
      <c r="I940" s="9" t="n"/>
      <c r="J940" s="9" t="n"/>
    </row>
    <row r="941">
      <c r="A941" s="9" t="n"/>
      <c r="B941" s="19" t="n"/>
      <c r="C941" s="9" t="n"/>
      <c r="D941" s="9" t="n"/>
      <c r="E941" s="9" t="n"/>
      <c r="F941" s="10" t="n"/>
      <c r="G941" s="12">
        <f>IF($A941="",0,IF($I941="",0,$F941))</f>
        <v/>
      </c>
      <c r="H941" s="12">
        <f>IF($A941="","",$F941-$G941)</f>
        <v/>
      </c>
      <c r="I941" s="9" t="n"/>
      <c r="J941" s="9" t="n"/>
    </row>
    <row r="942">
      <c r="A942" s="9" t="n"/>
      <c r="B942" s="19" t="n"/>
      <c r="C942" s="9" t="n"/>
      <c r="D942" s="9" t="n"/>
      <c r="E942" s="9" t="n"/>
      <c r="F942" s="10" t="n"/>
      <c r="G942" s="12">
        <f>IF($A942="",0,IF($I942="",0,$F942))</f>
        <v/>
      </c>
      <c r="H942" s="12">
        <f>IF($A942="","",$F942-$G942)</f>
        <v/>
      </c>
      <c r="I942" s="9" t="n"/>
      <c r="J942" s="9" t="n"/>
    </row>
    <row r="943">
      <c r="A943" s="9" t="n"/>
      <c r="B943" s="19" t="n"/>
      <c r="C943" s="9" t="n"/>
      <c r="D943" s="9" t="n"/>
      <c r="E943" s="9" t="n"/>
      <c r="F943" s="10" t="n"/>
      <c r="G943" s="12">
        <f>IF($A943="",0,IF($I943="",0,$F943))</f>
        <v/>
      </c>
      <c r="H943" s="12">
        <f>IF($A943="","",$F943-$G943)</f>
        <v/>
      </c>
      <c r="I943" s="9" t="n"/>
      <c r="J943" s="9" t="n"/>
    </row>
    <row r="944">
      <c r="A944" s="9" t="n"/>
      <c r="B944" s="19" t="n"/>
      <c r="C944" s="9" t="n"/>
      <c r="D944" s="9" t="n"/>
      <c r="E944" s="9" t="n"/>
      <c r="F944" s="10" t="n"/>
      <c r="G944" s="12">
        <f>IF($A944="",0,IF($I944="",0,$F944))</f>
        <v/>
      </c>
      <c r="H944" s="12">
        <f>IF($A944="","",$F944-$G944)</f>
        <v/>
      </c>
      <c r="I944" s="9" t="n"/>
      <c r="J944" s="9" t="n"/>
    </row>
    <row r="945">
      <c r="A945" s="9" t="n"/>
      <c r="B945" s="19" t="n"/>
      <c r="C945" s="9" t="n"/>
      <c r="D945" s="9" t="n"/>
      <c r="E945" s="9" t="n"/>
      <c r="F945" s="10" t="n"/>
      <c r="G945" s="12">
        <f>IF($A945="",0,IF($I945="",0,$F945))</f>
        <v/>
      </c>
      <c r="H945" s="12">
        <f>IF($A945="","",$F945-$G945)</f>
        <v/>
      </c>
      <c r="I945" s="9" t="n"/>
      <c r="J945" s="9" t="n"/>
    </row>
    <row r="946">
      <c r="A946" s="9" t="n"/>
      <c r="B946" s="19" t="n"/>
      <c r="C946" s="9" t="n"/>
      <c r="D946" s="9" t="n"/>
      <c r="E946" s="9" t="n"/>
      <c r="F946" s="10" t="n"/>
      <c r="G946" s="12">
        <f>IF($A946="",0,IF($I946="",0,$F946))</f>
        <v/>
      </c>
      <c r="H946" s="12">
        <f>IF($A946="","",$F946-$G946)</f>
        <v/>
      </c>
      <c r="I946" s="9" t="n"/>
      <c r="J946" s="9" t="n"/>
    </row>
    <row r="947">
      <c r="A947" s="9" t="n"/>
      <c r="B947" s="19" t="n"/>
      <c r="C947" s="9" t="n"/>
      <c r="D947" s="9" t="n"/>
      <c r="E947" s="9" t="n"/>
      <c r="F947" s="10" t="n"/>
      <c r="G947" s="12">
        <f>IF($A947="",0,IF($I947="",0,$F947))</f>
        <v/>
      </c>
      <c r="H947" s="12">
        <f>IF($A947="","",$F947-$G947)</f>
        <v/>
      </c>
      <c r="I947" s="9" t="n"/>
      <c r="J947" s="9" t="n"/>
    </row>
    <row r="948">
      <c r="A948" s="9" t="n"/>
      <c r="B948" s="19" t="n"/>
      <c r="C948" s="9" t="n"/>
      <c r="D948" s="9" t="n"/>
      <c r="E948" s="9" t="n"/>
      <c r="F948" s="10" t="n"/>
      <c r="G948" s="12">
        <f>IF($A948="",0,IF($I948="",0,$F948))</f>
        <v/>
      </c>
      <c r="H948" s="12">
        <f>IF($A948="","",$F948-$G948)</f>
        <v/>
      </c>
      <c r="I948" s="9" t="n"/>
      <c r="J948" s="9" t="n"/>
    </row>
    <row r="949">
      <c r="A949" s="9" t="n"/>
      <c r="B949" s="19" t="n"/>
      <c r="C949" s="9" t="n"/>
      <c r="D949" s="9" t="n"/>
      <c r="E949" s="9" t="n"/>
      <c r="F949" s="10" t="n"/>
      <c r="G949" s="12">
        <f>IF($A949="",0,IF($I949="",0,$F949))</f>
        <v/>
      </c>
      <c r="H949" s="12">
        <f>IF($A949="","",$F949-$G949)</f>
        <v/>
      </c>
      <c r="I949" s="9" t="n"/>
      <c r="J949" s="9" t="n"/>
    </row>
    <row r="950">
      <c r="A950" s="9" t="n"/>
      <c r="B950" s="19" t="n"/>
      <c r="C950" s="9" t="n"/>
      <c r="D950" s="9" t="n"/>
      <c r="E950" s="9" t="n"/>
      <c r="F950" s="10" t="n"/>
      <c r="G950" s="12">
        <f>IF($A950="",0,IF($I950="",0,$F950))</f>
        <v/>
      </c>
      <c r="H950" s="12">
        <f>IF($A950="","",$F950-$G950)</f>
        <v/>
      </c>
      <c r="I950" s="9" t="n"/>
      <c r="J950" s="9" t="n"/>
    </row>
    <row r="951">
      <c r="A951" s="9" t="n"/>
      <c r="B951" s="19" t="n"/>
      <c r="C951" s="9" t="n"/>
      <c r="D951" s="9" t="n"/>
      <c r="E951" s="9" t="n"/>
      <c r="F951" s="10" t="n"/>
      <c r="G951" s="12">
        <f>IF($A951="",0,IF($I951="",0,$F951))</f>
        <v/>
      </c>
      <c r="H951" s="12">
        <f>IF($A951="","",$F951-$G951)</f>
        <v/>
      </c>
      <c r="I951" s="9" t="n"/>
      <c r="J951" s="9" t="n"/>
    </row>
    <row r="952">
      <c r="A952" s="9" t="n"/>
      <c r="B952" s="19" t="n"/>
      <c r="C952" s="9" t="n"/>
      <c r="D952" s="9" t="n"/>
      <c r="E952" s="9" t="n"/>
      <c r="F952" s="10" t="n"/>
      <c r="G952" s="12">
        <f>IF($A952="",0,IF($I952="",0,$F952))</f>
        <v/>
      </c>
      <c r="H952" s="12">
        <f>IF($A952="","",$F952-$G952)</f>
        <v/>
      </c>
      <c r="I952" s="9" t="n"/>
      <c r="J952" s="9" t="n"/>
    </row>
    <row r="953">
      <c r="A953" s="9" t="n"/>
      <c r="B953" s="19" t="n"/>
      <c r="C953" s="9" t="n"/>
      <c r="D953" s="9" t="n"/>
      <c r="E953" s="9" t="n"/>
      <c r="F953" s="10" t="n"/>
      <c r="G953" s="12">
        <f>IF($A953="",0,IF($I953="",0,$F953))</f>
        <v/>
      </c>
      <c r="H953" s="12">
        <f>IF($A953="","",$F953-$G953)</f>
        <v/>
      </c>
      <c r="I953" s="9" t="n"/>
      <c r="J953" s="9" t="n"/>
    </row>
    <row r="954">
      <c r="A954" s="9" t="n"/>
      <c r="B954" s="19" t="n"/>
      <c r="C954" s="9" t="n"/>
      <c r="D954" s="9" t="n"/>
      <c r="E954" s="9" t="n"/>
      <c r="F954" s="10" t="n"/>
      <c r="G954" s="12">
        <f>IF($A954="",0,IF($I954="",0,$F954))</f>
        <v/>
      </c>
      <c r="H954" s="12">
        <f>IF($A954="","",$F954-$G954)</f>
        <v/>
      </c>
      <c r="I954" s="9" t="n"/>
      <c r="J954" s="9" t="n"/>
    </row>
    <row r="955">
      <c r="A955" s="9" t="n"/>
      <c r="B955" s="19" t="n"/>
      <c r="C955" s="9" t="n"/>
      <c r="D955" s="9" t="n"/>
      <c r="E955" s="9" t="n"/>
      <c r="F955" s="10" t="n"/>
      <c r="G955" s="12">
        <f>IF($A955="",0,IF($I955="",0,$F955))</f>
        <v/>
      </c>
      <c r="H955" s="12">
        <f>IF($A955="","",$F955-$G955)</f>
        <v/>
      </c>
      <c r="I955" s="9" t="n"/>
      <c r="J955" s="9" t="n"/>
    </row>
    <row r="956">
      <c r="A956" s="9" t="n"/>
      <c r="B956" s="19" t="n"/>
      <c r="C956" s="9" t="n"/>
      <c r="D956" s="9" t="n"/>
      <c r="E956" s="9" t="n"/>
      <c r="F956" s="10" t="n"/>
      <c r="G956" s="12">
        <f>IF($A956="",0,IF($I956="",0,$F956))</f>
        <v/>
      </c>
      <c r="H956" s="12">
        <f>IF($A956="","",$F956-$G956)</f>
        <v/>
      </c>
      <c r="I956" s="9" t="n"/>
      <c r="J956" s="9" t="n"/>
    </row>
    <row r="957">
      <c r="A957" s="9" t="n"/>
      <c r="B957" s="19" t="n"/>
      <c r="C957" s="9" t="n"/>
      <c r="D957" s="9" t="n"/>
      <c r="E957" s="9" t="n"/>
      <c r="F957" s="10" t="n"/>
      <c r="G957" s="12">
        <f>IF($A957="",0,IF($I957="",0,$F957))</f>
        <v/>
      </c>
      <c r="H957" s="12">
        <f>IF($A957="","",$F957-$G957)</f>
        <v/>
      </c>
      <c r="I957" s="9" t="n"/>
      <c r="J957" s="9" t="n"/>
    </row>
    <row r="958">
      <c r="A958" s="9" t="n"/>
      <c r="B958" s="19" t="n"/>
      <c r="C958" s="9" t="n"/>
      <c r="D958" s="9" t="n"/>
      <c r="E958" s="9" t="n"/>
      <c r="F958" s="10" t="n"/>
      <c r="G958" s="12">
        <f>IF($A958="",0,IF($I958="",0,$F958))</f>
        <v/>
      </c>
      <c r="H958" s="12">
        <f>IF($A958="","",$F958-$G958)</f>
        <v/>
      </c>
      <c r="I958" s="9" t="n"/>
      <c r="J958" s="9" t="n"/>
    </row>
    <row r="959">
      <c r="A959" s="9" t="n"/>
      <c r="B959" s="19" t="n"/>
      <c r="C959" s="9" t="n"/>
      <c r="D959" s="9" t="n"/>
      <c r="E959" s="9" t="n"/>
      <c r="F959" s="10" t="n"/>
      <c r="G959" s="12">
        <f>IF($A959="",0,IF($I959="",0,$F959))</f>
        <v/>
      </c>
      <c r="H959" s="12">
        <f>IF($A959="","",$F959-$G959)</f>
        <v/>
      </c>
      <c r="I959" s="9" t="n"/>
      <c r="J959" s="9" t="n"/>
    </row>
    <row r="960">
      <c r="A960" s="9" t="n"/>
      <c r="B960" s="19" t="n"/>
      <c r="C960" s="9" t="n"/>
      <c r="D960" s="9" t="n"/>
      <c r="E960" s="9" t="n"/>
      <c r="F960" s="10" t="n"/>
      <c r="G960" s="12">
        <f>IF($A960="",0,IF($I960="",0,$F960))</f>
        <v/>
      </c>
      <c r="H960" s="12">
        <f>IF($A960="","",$F960-$G960)</f>
        <v/>
      </c>
      <c r="I960" s="9" t="n"/>
      <c r="J960" s="9" t="n"/>
    </row>
    <row r="961">
      <c r="A961" s="9" t="n"/>
      <c r="B961" s="19" t="n"/>
      <c r="C961" s="9" t="n"/>
      <c r="D961" s="9" t="n"/>
      <c r="E961" s="9" t="n"/>
      <c r="F961" s="10" t="n"/>
      <c r="G961" s="12">
        <f>IF($A961="",0,IF($I961="",0,$F961))</f>
        <v/>
      </c>
      <c r="H961" s="12">
        <f>IF($A961="","",$F961-$G961)</f>
        <v/>
      </c>
      <c r="I961" s="9" t="n"/>
      <c r="J961" s="9" t="n"/>
    </row>
    <row r="962">
      <c r="A962" s="9" t="n"/>
      <c r="B962" s="19" t="n"/>
      <c r="C962" s="9" t="n"/>
      <c r="D962" s="9" t="n"/>
      <c r="E962" s="9" t="n"/>
      <c r="F962" s="10" t="n"/>
      <c r="G962" s="12">
        <f>IF($A962="",0,IF($I962="",0,$F962))</f>
        <v/>
      </c>
      <c r="H962" s="12">
        <f>IF($A962="","",$F962-$G962)</f>
        <v/>
      </c>
      <c r="I962" s="9" t="n"/>
      <c r="J962" s="9" t="n"/>
    </row>
    <row r="963">
      <c r="A963" s="9" t="n"/>
      <c r="B963" s="19" t="n"/>
      <c r="C963" s="9" t="n"/>
      <c r="D963" s="9" t="n"/>
      <c r="E963" s="9" t="n"/>
      <c r="F963" s="10" t="n"/>
      <c r="G963" s="12">
        <f>IF($A963="",0,IF($I963="",0,$F963))</f>
        <v/>
      </c>
      <c r="H963" s="12">
        <f>IF($A963="","",$F963-$G963)</f>
        <v/>
      </c>
      <c r="I963" s="9" t="n"/>
      <c r="J963" s="9" t="n"/>
    </row>
    <row r="964">
      <c r="A964" s="9" t="n"/>
      <c r="B964" s="19" t="n"/>
      <c r="C964" s="9" t="n"/>
      <c r="D964" s="9" t="n"/>
      <c r="E964" s="9" t="n"/>
      <c r="F964" s="10" t="n"/>
      <c r="G964" s="12">
        <f>IF($A964="",0,IF($I964="",0,$F964))</f>
        <v/>
      </c>
      <c r="H964" s="12">
        <f>IF($A964="","",$F964-$G964)</f>
        <v/>
      </c>
      <c r="I964" s="9" t="n"/>
      <c r="J964" s="9" t="n"/>
    </row>
    <row r="965">
      <c r="A965" s="9" t="n"/>
      <c r="B965" s="19" t="n"/>
      <c r="C965" s="9" t="n"/>
      <c r="D965" s="9" t="n"/>
      <c r="E965" s="9" t="n"/>
      <c r="F965" s="10" t="n"/>
      <c r="G965" s="12">
        <f>IF($A965="",0,IF($I965="",0,$F965))</f>
        <v/>
      </c>
      <c r="H965" s="12">
        <f>IF($A965="","",$F965-$G965)</f>
        <v/>
      </c>
      <c r="I965" s="9" t="n"/>
      <c r="J965" s="9" t="n"/>
    </row>
    <row r="966">
      <c r="A966" s="9" t="n"/>
      <c r="B966" s="19" t="n"/>
      <c r="C966" s="9" t="n"/>
      <c r="D966" s="9" t="n"/>
      <c r="E966" s="9" t="n"/>
      <c r="F966" s="10" t="n"/>
      <c r="G966" s="12">
        <f>IF($A966="",0,IF($I966="",0,$F966))</f>
        <v/>
      </c>
      <c r="H966" s="12">
        <f>IF($A966="","",$F966-$G966)</f>
        <v/>
      </c>
      <c r="I966" s="9" t="n"/>
      <c r="J966" s="9" t="n"/>
    </row>
    <row r="967">
      <c r="A967" s="9" t="n"/>
      <c r="B967" s="19" t="n"/>
      <c r="C967" s="9" t="n"/>
      <c r="D967" s="9" t="n"/>
      <c r="E967" s="9" t="n"/>
      <c r="F967" s="10" t="n"/>
      <c r="G967" s="12">
        <f>IF($A967="",0,IF($I967="",0,$F967))</f>
        <v/>
      </c>
      <c r="H967" s="12">
        <f>IF($A967="","",$F967-$G967)</f>
        <v/>
      </c>
      <c r="I967" s="9" t="n"/>
      <c r="J967" s="9" t="n"/>
    </row>
    <row r="968">
      <c r="A968" s="9" t="n"/>
      <c r="B968" s="19" t="n"/>
      <c r="C968" s="9" t="n"/>
      <c r="D968" s="9" t="n"/>
      <c r="E968" s="9" t="n"/>
      <c r="F968" s="10" t="n"/>
      <c r="G968" s="12">
        <f>IF($A968="",0,IF($I968="",0,$F968))</f>
        <v/>
      </c>
      <c r="H968" s="12">
        <f>IF($A968="","",$F968-$G968)</f>
        <v/>
      </c>
      <c r="I968" s="9" t="n"/>
      <c r="J968" s="9" t="n"/>
    </row>
    <row r="969">
      <c r="A969" s="9" t="n"/>
      <c r="B969" s="19" t="n"/>
      <c r="C969" s="9" t="n"/>
      <c r="D969" s="9" t="n"/>
      <c r="E969" s="9" t="n"/>
      <c r="F969" s="10" t="n"/>
      <c r="G969" s="12">
        <f>IF($A969="",0,IF($I969="",0,$F969))</f>
        <v/>
      </c>
      <c r="H969" s="12">
        <f>IF($A969="","",$F969-$G969)</f>
        <v/>
      </c>
      <c r="I969" s="9" t="n"/>
      <c r="J969" s="9" t="n"/>
    </row>
    <row r="970">
      <c r="A970" s="9" t="n"/>
      <c r="B970" s="19" t="n"/>
      <c r="C970" s="9" t="n"/>
      <c r="D970" s="9" t="n"/>
      <c r="E970" s="9" t="n"/>
      <c r="F970" s="10" t="n"/>
      <c r="G970" s="12">
        <f>IF($A970="",0,IF($I970="",0,$F970))</f>
        <v/>
      </c>
      <c r="H970" s="12">
        <f>IF($A970="","",$F970-$G970)</f>
        <v/>
      </c>
      <c r="I970" s="9" t="n"/>
      <c r="J970" s="9" t="n"/>
    </row>
    <row r="971">
      <c r="A971" s="9" t="n"/>
      <c r="B971" s="19" t="n"/>
      <c r="C971" s="9" t="n"/>
      <c r="D971" s="9" t="n"/>
      <c r="E971" s="9" t="n"/>
      <c r="F971" s="10" t="n"/>
      <c r="G971" s="12">
        <f>IF($A971="",0,IF($I971="",0,$F971))</f>
        <v/>
      </c>
      <c r="H971" s="12">
        <f>IF($A971="","",$F971-$G971)</f>
        <v/>
      </c>
      <c r="I971" s="9" t="n"/>
      <c r="J971" s="9" t="n"/>
    </row>
    <row r="972">
      <c r="A972" s="9" t="n"/>
      <c r="B972" s="19" t="n"/>
      <c r="C972" s="9" t="n"/>
      <c r="D972" s="9" t="n"/>
      <c r="E972" s="9" t="n"/>
      <c r="F972" s="10" t="n"/>
      <c r="G972" s="12">
        <f>IF($A972="",0,IF($I972="",0,$F972))</f>
        <v/>
      </c>
      <c r="H972" s="12">
        <f>IF($A972="","",$F972-$G972)</f>
        <v/>
      </c>
      <c r="I972" s="9" t="n"/>
      <c r="J972" s="9" t="n"/>
    </row>
    <row r="973">
      <c r="A973" s="9" t="n"/>
      <c r="B973" s="19" t="n"/>
      <c r="C973" s="9" t="n"/>
      <c r="D973" s="9" t="n"/>
      <c r="E973" s="9" t="n"/>
      <c r="F973" s="10" t="n"/>
      <c r="G973" s="12">
        <f>IF($A973="",0,IF($I973="",0,$F973))</f>
        <v/>
      </c>
      <c r="H973" s="12">
        <f>IF($A973="","",$F973-$G973)</f>
        <v/>
      </c>
      <c r="I973" s="9" t="n"/>
      <c r="J973" s="9" t="n"/>
    </row>
    <row r="974">
      <c r="A974" s="9" t="n"/>
      <c r="B974" s="19" t="n"/>
      <c r="C974" s="9" t="n"/>
      <c r="D974" s="9" t="n"/>
      <c r="E974" s="9" t="n"/>
      <c r="F974" s="10" t="n"/>
      <c r="G974" s="12">
        <f>IF($A974="",0,IF($I974="",0,$F974))</f>
        <v/>
      </c>
      <c r="H974" s="12">
        <f>IF($A974="","",$F974-$G974)</f>
        <v/>
      </c>
      <c r="I974" s="9" t="n"/>
      <c r="J974" s="9" t="n"/>
    </row>
    <row r="975">
      <c r="A975" s="9" t="n"/>
      <c r="B975" s="19" t="n"/>
      <c r="C975" s="9" t="n"/>
      <c r="D975" s="9" t="n"/>
      <c r="E975" s="9" t="n"/>
      <c r="F975" s="10" t="n"/>
      <c r="G975" s="12">
        <f>IF($A975="",0,IF($I975="",0,$F975))</f>
        <v/>
      </c>
      <c r="H975" s="12">
        <f>IF($A975="","",$F975-$G975)</f>
        <v/>
      </c>
      <c r="I975" s="9" t="n"/>
      <c r="J975" s="9" t="n"/>
    </row>
    <row r="976">
      <c r="A976" s="9" t="n"/>
      <c r="B976" s="19" t="n"/>
      <c r="C976" s="9" t="n"/>
      <c r="D976" s="9" t="n"/>
      <c r="E976" s="9" t="n"/>
      <c r="F976" s="10" t="n"/>
      <c r="G976" s="12">
        <f>IF($A976="",0,IF($I976="",0,$F976))</f>
        <v/>
      </c>
      <c r="H976" s="12">
        <f>IF($A976="","",$F976-$G976)</f>
        <v/>
      </c>
      <c r="I976" s="9" t="n"/>
      <c r="J976" s="9" t="n"/>
    </row>
    <row r="977">
      <c r="A977" s="9" t="n"/>
      <c r="B977" s="19" t="n"/>
      <c r="C977" s="9" t="n"/>
      <c r="D977" s="9" t="n"/>
      <c r="E977" s="9" t="n"/>
      <c r="F977" s="10" t="n"/>
      <c r="G977" s="12">
        <f>IF($A977="",0,IF($I977="",0,$F977))</f>
        <v/>
      </c>
      <c r="H977" s="12">
        <f>IF($A977="","",$F977-$G977)</f>
        <v/>
      </c>
      <c r="I977" s="9" t="n"/>
      <c r="J977" s="9" t="n"/>
    </row>
    <row r="978">
      <c r="A978" s="9" t="n"/>
      <c r="B978" s="19" t="n"/>
      <c r="C978" s="9" t="n"/>
      <c r="D978" s="9" t="n"/>
      <c r="E978" s="9" t="n"/>
      <c r="F978" s="10" t="n"/>
      <c r="G978" s="12">
        <f>IF($A978="",0,IF($I978="",0,$F978))</f>
        <v/>
      </c>
      <c r="H978" s="12">
        <f>IF($A978="","",$F978-$G978)</f>
        <v/>
      </c>
      <c r="I978" s="9" t="n"/>
      <c r="J978" s="9" t="n"/>
    </row>
    <row r="979">
      <c r="A979" s="9" t="n"/>
      <c r="B979" s="19" t="n"/>
      <c r="C979" s="9" t="n"/>
      <c r="D979" s="9" t="n"/>
      <c r="E979" s="9" t="n"/>
      <c r="F979" s="10" t="n"/>
      <c r="G979" s="12">
        <f>IF($A979="",0,IF($I979="",0,$F979))</f>
        <v/>
      </c>
      <c r="H979" s="12">
        <f>IF($A979="","",$F979-$G979)</f>
        <v/>
      </c>
      <c r="I979" s="9" t="n"/>
      <c r="J979" s="9" t="n"/>
    </row>
    <row r="980">
      <c r="A980" s="9" t="n"/>
      <c r="B980" s="19" t="n"/>
      <c r="C980" s="9" t="n"/>
      <c r="D980" s="9" t="n"/>
      <c r="E980" s="9" t="n"/>
      <c r="F980" s="10" t="n"/>
      <c r="G980" s="12">
        <f>IF($A980="",0,IF($I980="",0,$F980))</f>
        <v/>
      </c>
      <c r="H980" s="12">
        <f>IF($A980="","",$F980-$G980)</f>
        <v/>
      </c>
      <c r="I980" s="9" t="n"/>
      <c r="J980" s="9" t="n"/>
    </row>
    <row r="981">
      <c r="A981" s="9" t="n"/>
      <c r="B981" s="19" t="n"/>
      <c r="C981" s="9" t="n"/>
      <c r="D981" s="9" t="n"/>
      <c r="E981" s="9" t="n"/>
      <c r="F981" s="10" t="n"/>
      <c r="G981" s="12">
        <f>IF($A981="",0,IF($I981="",0,$F981))</f>
        <v/>
      </c>
      <c r="H981" s="12">
        <f>IF($A981="","",$F981-$G981)</f>
        <v/>
      </c>
      <c r="I981" s="9" t="n"/>
      <c r="J981" s="9" t="n"/>
    </row>
    <row r="982">
      <c r="A982" s="9" t="n"/>
      <c r="B982" s="19" t="n"/>
      <c r="C982" s="9" t="n"/>
      <c r="D982" s="9" t="n"/>
      <c r="E982" s="9" t="n"/>
      <c r="F982" s="10" t="n"/>
      <c r="G982" s="12">
        <f>IF($A982="",0,IF($I982="",0,$F982))</f>
        <v/>
      </c>
      <c r="H982" s="12">
        <f>IF($A982="","",$F982-$G982)</f>
        <v/>
      </c>
      <c r="I982" s="9" t="n"/>
      <c r="J982" s="9" t="n"/>
    </row>
    <row r="983">
      <c r="A983" s="9" t="n"/>
      <c r="B983" s="19" t="n"/>
      <c r="C983" s="9" t="n"/>
      <c r="D983" s="9" t="n"/>
      <c r="E983" s="9" t="n"/>
      <c r="F983" s="10" t="n"/>
      <c r="G983" s="12">
        <f>IF($A983="",0,IF($I983="",0,$F983))</f>
        <v/>
      </c>
      <c r="H983" s="12">
        <f>IF($A983="","",$F983-$G983)</f>
        <v/>
      </c>
      <c r="I983" s="9" t="n"/>
      <c r="J983" s="9" t="n"/>
    </row>
    <row r="984">
      <c r="A984" s="9" t="n"/>
      <c r="B984" s="19" t="n"/>
      <c r="C984" s="9" t="n"/>
      <c r="D984" s="9" t="n"/>
      <c r="E984" s="9" t="n"/>
      <c r="F984" s="10" t="n"/>
      <c r="G984" s="12">
        <f>IF($A984="",0,IF($I984="",0,$F984))</f>
        <v/>
      </c>
      <c r="H984" s="12">
        <f>IF($A984="","",$F984-$G984)</f>
        <v/>
      </c>
      <c r="I984" s="9" t="n"/>
      <c r="J984" s="9" t="n"/>
    </row>
    <row r="985">
      <c r="A985" s="9" t="n"/>
      <c r="B985" s="19" t="n"/>
      <c r="C985" s="9" t="n"/>
      <c r="D985" s="9" t="n"/>
      <c r="E985" s="9" t="n"/>
      <c r="F985" s="10" t="n"/>
      <c r="G985" s="12">
        <f>IF($A985="",0,IF($I985="",0,$F985))</f>
        <v/>
      </c>
      <c r="H985" s="12">
        <f>IF($A985="","",$F985-$G985)</f>
        <v/>
      </c>
      <c r="I985" s="9" t="n"/>
      <c r="J985" s="9" t="n"/>
    </row>
    <row r="986">
      <c r="A986" s="9" t="n"/>
      <c r="B986" s="19" t="n"/>
      <c r="C986" s="9" t="n"/>
      <c r="D986" s="9" t="n"/>
      <c r="E986" s="9" t="n"/>
      <c r="F986" s="10" t="n"/>
      <c r="G986" s="12">
        <f>IF($A986="",0,IF($I986="",0,$F986))</f>
        <v/>
      </c>
      <c r="H986" s="12">
        <f>IF($A986="","",$F986-$G986)</f>
        <v/>
      </c>
      <c r="I986" s="9" t="n"/>
      <c r="J986" s="9" t="n"/>
    </row>
    <row r="987">
      <c r="A987" s="9" t="n"/>
      <c r="B987" s="19" t="n"/>
      <c r="C987" s="9" t="n"/>
      <c r="D987" s="9" t="n"/>
      <c r="E987" s="9" t="n"/>
      <c r="F987" s="10" t="n"/>
      <c r="G987" s="12">
        <f>IF($A987="",0,IF($I987="",0,$F987))</f>
        <v/>
      </c>
      <c r="H987" s="12">
        <f>IF($A987="","",$F987-$G987)</f>
        <v/>
      </c>
      <c r="I987" s="9" t="n"/>
      <c r="J987" s="9" t="n"/>
    </row>
    <row r="988">
      <c r="A988" s="9" t="n"/>
      <c r="B988" s="19" t="n"/>
      <c r="C988" s="9" t="n"/>
      <c r="D988" s="9" t="n"/>
      <c r="E988" s="9" t="n"/>
      <c r="F988" s="10" t="n"/>
      <c r="G988" s="12">
        <f>IF($A988="",0,IF($I988="",0,$F988))</f>
        <v/>
      </c>
      <c r="H988" s="12">
        <f>IF($A988="","",$F988-$G988)</f>
        <v/>
      </c>
      <c r="I988" s="9" t="n"/>
      <c r="J988" s="9" t="n"/>
    </row>
    <row r="989">
      <c r="A989" s="9" t="n"/>
      <c r="B989" s="19" t="n"/>
      <c r="C989" s="9" t="n"/>
      <c r="D989" s="9" t="n"/>
      <c r="E989" s="9" t="n"/>
      <c r="F989" s="10" t="n"/>
      <c r="G989" s="12">
        <f>IF($A989="",0,IF($I989="",0,$F989))</f>
        <v/>
      </c>
      <c r="H989" s="12">
        <f>IF($A989="","",$F989-$G989)</f>
        <v/>
      </c>
      <c r="I989" s="9" t="n"/>
      <c r="J989" s="9" t="n"/>
    </row>
    <row r="990">
      <c r="A990" s="9" t="n"/>
      <c r="B990" s="19" t="n"/>
      <c r="C990" s="9" t="n"/>
      <c r="D990" s="9" t="n"/>
      <c r="E990" s="9" t="n"/>
      <c r="F990" s="10" t="n"/>
      <c r="G990" s="12">
        <f>IF($A990="",0,IF($I990="",0,$F990))</f>
        <v/>
      </c>
      <c r="H990" s="12">
        <f>IF($A990="","",$F990-$G990)</f>
        <v/>
      </c>
      <c r="I990" s="9" t="n"/>
      <c r="J990" s="9" t="n"/>
    </row>
    <row r="991">
      <c r="A991" s="9" t="n"/>
      <c r="B991" s="19" t="n"/>
      <c r="C991" s="9" t="n"/>
      <c r="D991" s="9" t="n"/>
      <c r="E991" s="9" t="n"/>
      <c r="F991" s="10" t="n"/>
      <c r="G991" s="12">
        <f>IF($A991="",0,IF($I991="",0,$F991))</f>
        <v/>
      </c>
      <c r="H991" s="12">
        <f>IF($A991="","",$F991-$G991)</f>
        <v/>
      </c>
      <c r="I991" s="9" t="n"/>
      <c r="J991" s="9" t="n"/>
    </row>
    <row r="992">
      <c r="A992" s="9" t="n"/>
      <c r="B992" s="19" t="n"/>
      <c r="C992" s="9" t="n"/>
      <c r="D992" s="9" t="n"/>
      <c r="E992" s="9" t="n"/>
      <c r="F992" s="10" t="n"/>
      <c r="G992" s="12">
        <f>IF($A992="",0,IF($I992="",0,$F992))</f>
        <v/>
      </c>
      <c r="H992" s="12">
        <f>IF($A992="","",$F992-$G992)</f>
        <v/>
      </c>
      <c r="I992" s="9" t="n"/>
      <c r="J992" s="9" t="n"/>
    </row>
    <row r="993">
      <c r="A993" s="9" t="n"/>
      <c r="B993" s="19" t="n"/>
      <c r="C993" s="9" t="n"/>
      <c r="D993" s="9" t="n"/>
      <c r="E993" s="9" t="n"/>
      <c r="F993" s="10" t="n"/>
      <c r="G993" s="12">
        <f>IF($A993="",0,IF($I993="",0,$F993))</f>
        <v/>
      </c>
      <c r="H993" s="12">
        <f>IF($A993="","",$F993-$G993)</f>
        <v/>
      </c>
      <c r="I993" s="9" t="n"/>
      <c r="J993" s="9" t="n"/>
    </row>
    <row r="994">
      <c r="A994" s="9" t="n"/>
      <c r="B994" s="19" t="n"/>
      <c r="C994" s="9" t="n"/>
      <c r="D994" s="9" t="n"/>
      <c r="E994" s="9" t="n"/>
      <c r="F994" s="10" t="n"/>
      <c r="G994" s="12">
        <f>IF($A994="",0,IF($I994="",0,$F994))</f>
        <v/>
      </c>
      <c r="H994" s="12">
        <f>IF($A994="","",$F994-$G994)</f>
        <v/>
      </c>
      <c r="I994" s="9" t="n"/>
      <c r="J994" s="9" t="n"/>
    </row>
    <row r="995">
      <c r="A995" s="9" t="n"/>
      <c r="B995" s="19" t="n"/>
      <c r="C995" s="9" t="n"/>
      <c r="D995" s="9" t="n"/>
      <c r="E995" s="9" t="n"/>
      <c r="F995" s="10" t="n"/>
      <c r="G995" s="12">
        <f>IF($A995="",0,IF($I995="",0,$F995))</f>
        <v/>
      </c>
      <c r="H995" s="12">
        <f>IF($A995="","",$F995-$G995)</f>
        <v/>
      </c>
      <c r="I995" s="9" t="n"/>
      <c r="J995" s="9" t="n"/>
    </row>
    <row r="996">
      <c r="A996" s="9" t="n"/>
      <c r="B996" s="19" t="n"/>
      <c r="C996" s="9" t="n"/>
      <c r="D996" s="9" t="n"/>
      <c r="E996" s="9" t="n"/>
      <c r="F996" s="10" t="n"/>
      <c r="G996" s="12">
        <f>IF($A996="",0,IF($I996="",0,$F996))</f>
        <v/>
      </c>
      <c r="H996" s="12">
        <f>IF($A996="","",$F996-$G996)</f>
        <v/>
      </c>
      <c r="I996" s="9" t="n"/>
      <c r="J996" s="9" t="n"/>
    </row>
    <row r="997">
      <c r="A997" s="9" t="n"/>
      <c r="B997" s="19" t="n"/>
      <c r="C997" s="9" t="n"/>
      <c r="D997" s="9" t="n"/>
      <c r="E997" s="9" t="n"/>
      <c r="F997" s="10" t="n"/>
      <c r="G997" s="12">
        <f>IF($A997="",0,IF($I997="",0,$F997))</f>
        <v/>
      </c>
      <c r="H997" s="12">
        <f>IF($A997="","",$F997-$G997)</f>
        <v/>
      </c>
      <c r="I997" s="9" t="n"/>
      <c r="J997" s="9" t="n"/>
    </row>
    <row r="998">
      <c r="A998" s="9" t="n"/>
      <c r="B998" s="19" t="n"/>
      <c r="C998" s="9" t="n"/>
      <c r="D998" s="9" t="n"/>
      <c r="E998" s="9" t="n"/>
      <c r="F998" s="10" t="n"/>
      <c r="G998" s="12">
        <f>IF($A998="",0,IF($I998="",0,$F998))</f>
        <v/>
      </c>
      <c r="H998" s="12">
        <f>IF($A998="","",$F998-$G998)</f>
        <v/>
      </c>
      <c r="I998" s="9" t="n"/>
      <c r="J998" s="9" t="n"/>
    </row>
    <row r="999">
      <c r="A999" s="9" t="n"/>
      <c r="B999" s="19" t="n"/>
      <c r="C999" s="9" t="n"/>
      <c r="D999" s="9" t="n"/>
      <c r="E999" s="9" t="n"/>
      <c r="F999" s="10" t="n"/>
      <c r="G999" s="12">
        <f>IF($A999="",0,IF($I999="",0,$F999))</f>
        <v/>
      </c>
      <c r="H999" s="12">
        <f>IF($A999="","",$F999-$G999)</f>
        <v/>
      </c>
      <c r="I999" s="9" t="n"/>
      <c r="J999" s="9" t="n"/>
    </row>
    <row r="1000">
      <c r="A1000" s="9" t="n"/>
      <c r="B1000" s="19" t="n"/>
      <c r="C1000" s="9" t="n"/>
      <c r="D1000" s="9" t="n"/>
      <c r="E1000" s="9" t="n"/>
      <c r="F1000" s="10" t="n"/>
      <c r="G1000" s="12">
        <f>IF($A1000="",0,IF($I1000="",0,$F1000))</f>
        <v/>
      </c>
      <c r="H1000" s="12">
        <f>IF($A1000="","",$F1000-$G1000)</f>
        <v/>
      </c>
      <c r="I1000" s="9" t="n"/>
      <c r="J1000" s="9" t="n"/>
    </row>
    <row r="1001">
      <c r="A1001" s="9" t="n"/>
      <c r="B1001" s="19" t="n"/>
      <c r="C1001" s="9" t="n"/>
      <c r="D1001" s="9" t="n"/>
      <c r="E1001" s="9" t="n"/>
      <c r="F1001" s="10" t="n"/>
      <c r="G1001" s="12">
        <f>IF($A1001="",0,IF($I1001="",0,$F1001))</f>
        <v/>
      </c>
      <c r="H1001" s="12">
        <f>IF($A1001="","",$F1001-$G1001)</f>
        <v/>
      </c>
      <c r="I1001" s="9" t="n"/>
      <c r="J1001" s="9" t="n"/>
    </row>
    <row r="1002">
      <c r="A1002" s="9" t="n"/>
      <c r="B1002" s="19" t="n"/>
      <c r="C1002" s="9" t="n"/>
      <c r="D1002" s="9" t="n"/>
      <c r="E1002" s="9" t="n"/>
      <c r="F1002" s="10" t="n"/>
      <c r="G1002" s="12">
        <f>IF($A1002="",0,IF($I1002="",0,$F1002))</f>
        <v/>
      </c>
      <c r="H1002" s="12">
        <f>IF($A1002="","",$F1002-$G1002)</f>
        <v/>
      </c>
      <c r="I1002" s="9" t="n"/>
      <c r="J1002" s="9" t="n"/>
    </row>
    <row r="1003">
      <c r="A1003" s="9" t="n"/>
      <c r="B1003" s="19" t="n"/>
      <c r="C1003" s="9" t="n"/>
      <c r="D1003" s="9" t="n"/>
      <c r="E1003" s="9" t="n"/>
      <c r="F1003" s="10" t="n"/>
      <c r="G1003" s="12">
        <f>IF($A1003="",0,IF($I1003="",0,$F1003))</f>
        <v/>
      </c>
      <c r="H1003" s="12">
        <f>IF($A1003="","",$F1003-$G1003)</f>
        <v/>
      </c>
      <c r="I1003" s="9" t="n"/>
      <c r="J1003" s="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3">
    <dataValidation sqref="C4:C1003" showDropDown="0" showInputMessage="0" showErrorMessage="0" allowBlank="1" type="list">
      <formula1>='Parent &amp; Family Setup'!$B$13:$B$62</formula1>
    </dataValidation>
    <dataValidation sqref="D4:D1003" showDropDown="0" showInputMessage="0" showErrorMessage="0" allowBlank="1" type="list">
      <formula1>='Parent &amp; Family Setup'!$B$13:$B$62</formula1>
    </dataValidation>
    <dataValidation sqref="I4:I1003" showDropDown="0" showInputMessage="0" showErrorMessage="0" allowBlank="1" type="list">
      <formula1>='Expenses &amp; Receipts'!$A$4:$A$1003</formula1>
    </dataValidation>
  </dataValidations>
  <printOptions gridLines="1"/>
  <pageMargins left="0.75" right="0.75" top="1" bottom="1" header="0.5" footer="0.5"/>
  <pageSetup orientation="landscape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0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4" customWidth="1" min="4" max="4"/>
    <col width="8" customWidth="1" min="5" max="5"/>
    <col width="16" customWidth="1" min="6" max="6"/>
    <col width="16" customWidth="1" min="7" max="7"/>
    <col width="26" customWidth="1" min="8" max="8"/>
    <col width="16" customWidth="1" min="9" max="9"/>
    <col width="14" customWidth="1" min="10" max="10"/>
    <col width="16" customWidth="1" min="11" max="11"/>
    <col width="12" customWidth="1" min="12" max="12"/>
    <col width="24" customWidth="1" min="13" max="13"/>
    <col width="20" customWidth="1" min="14" max="14"/>
  </cols>
  <sheetData>
    <row r="1">
      <c r="A1" s="8" t="inlineStr">
        <is>
          <t>ACCOUNTS &amp; IMPORTANT DOCUMENTS</t>
        </is>
      </c>
    </row>
    <row r="2">
      <c r="A2" s="13" t="inlineStr">
        <is>
          <t>This is a MAP, not a password vault. ⚠ Do not store passwords or highly sensitive personal credentials in this spreadsheet -- use last-4-digits, a document location, or a responsible person's name instead.</t>
        </is>
      </c>
    </row>
    <row r="3">
      <c r="A3" s="1" t="inlineStr">
        <is>
          <t>Item ID</t>
        </is>
      </c>
      <c r="B3" s="1" t="inlineStr">
        <is>
          <t>Type</t>
        </is>
      </c>
      <c r="C3" s="1" t="inlineStr">
        <is>
          <t>Institution / Provider</t>
        </is>
      </c>
      <c r="D3" s="1" t="inlineStr">
        <is>
          <t>Account / Document Name</t>
        </is>
      </c>
      <c r="E3" s="1" t="inlineStr">
        <is>
          <t>Last 4 (only)</t>
        </is>
      </c>
      <c r="F3" s="1" t="inlineStr">
        <is>
          <t>Owner</t>
        </is>
      </c>
      <c r="G3" s="1" t="inlineStr">
        <is>
          <t>Authorized Contact</t>
        </is>
      </c>
      <c r="H3" s="1" t="inlineStr">
        <is>
          <t>Location / Storage</t>
        </is>
      </c>
      <c r="I3" s="1" t="inlineStr">
        <is>
          <t>Document Link</t>
        </is>
      </c>
      <c r="J3" s="1" t="inlineStr">
        <is>
          <t>Renewal / Review Date</t>
        </is>
      </c>
      <c r="K3" s="1" t="inlineStr">
        <is>
          <t>Responsible Person</t>
        </is>
      </c>
      <c r="L3" s="1" t="inlineStr">
        <is>
          <t>Status</t>
        </is>
      </c>
      <c r="M3" s="1" t="inlineStr">
        <is>
          <t>Notes</t>
        </is>
      </c>
      <c r="N3" s="1" t="inlineStr">
        <is>
          <t>Warning (auto)</t>
        </is>
      </c>
    </row>
    <row r="4">
      <c r="A4" s="9" t="inlineStr">
        <is>
          <t>D1</t>
        </is>
      </c>
      <c r="B4" s="9" t="inlineStr">
        <is>
          <t>Bank</t>
        </is>
      </c>
      <c r="C4" s="9" t="inlineStr">
        <is>
          <t>Riverside Community Bank</t>
        </is>
      </c>
      <c r="D4" s="9" t="inlineStr">
        <is>
          <t>Eleanor Checking</t>
        </is>
      </c>
      <c r="E4" s="9" t="inlineStr">
        <is>
          <t>4821</t>
        </is>
      </c>
      <c r="F4" s="9" t="inlineStr">
        <is>
          <t>Eleanor Brooks</t>
        </is>
      </c>
      <c r="G4" s="9" t="inlineStr">
        <is>
          <t>Sarah Chen</t>
        </is>
      </c>
      <c r="H4" s="9" t="inlineStr">
        <is>
          <t>Home filing cabinet, top drawer</t>
        </is>
      </c>
      <c r="I4" s="9" t="inlineStr"/>
      <c r="J4" s="19" t="n">
        <v>46376</v>
      </c>
      <c r="K4" s="9" t="inlineStr">
        <is>
          <t>Sarah Chen</t>
        </is>
      </c>
      <c r="L4" s="9" t="inlineStr">
        <is>
          <t>Active</t>
        </is>
      </c>
      <c r="M4" s="9" t="n"/>
      <c r="N4">
        <f>IF($A4="","",IF(AND($J4&lt;&gt;"",TODAY()-$J4&gt;365),"⚠ review overdue",""))</f>
        <v/>
      </c>
    </row>
    <row r="5">
      <c r="A5" s="9" t="inlineStr">
        <is>
          <t>D2</t>
        </is>
      </c>
      <c r="B5" s="9" t="inlineStr">
        <is>
          <t>Credit Card</t>
        </is>
      </c>
      <c r="C5" s="9" t="inlineStr">
        <is>
          <t>Meridian Visa</t>
        </is>
      </c>
      <c r="D5" s="9" t="inlineStr">
        <is>
          <t>Eleanor's everyday card</t>
        </is>
      </c>
      <c r="E5" s="9" t="inlineStr">
        <is>
          <t>2290</t>
        </is>
      </c>
      <c r="F5" s="9" t="inlineStr">
        <is>
          <t>Eleanor Brooks</t>
        </is>
      </c>
      <c r="G5" s="9" t="inlineStr">
        <is>
          <t>Sarah Chen</t>
        </is>
      </c>
      <c r="H5" s="9" t="inlineStr">
        <is>
          <t>Eleanor's wallet</t>
        </is>
      </c>
      <c r="I5" s="9" t="inlineStr"/>
      <c r="J5" s="19" t="n">
        <v>46486</v>
      </c>
      <c r="K5" s="9" t="inlineStr">
        <is>
          <t>Sarah Chen</t>
        </is>
      </c>
      <c r="L5" s="9" t="inlineStr">
        <is>
          <t>Active</t>
        </is>
      </c>
      <c r="M5" s="9" t="n"/>
      <c r="N5">
        <f>IF($A5="","",IF(AND($J5&lt;&gt;"",TODAY()-$J5&gt;365),"⚠ review overdue",""))</f>
        <v/>
      </c>
    </row>
    <row r="6">
      <c r="A6" s="9" t="inlineStr">
        <is>
          <t>D3</t>
        </is>
      </c>
      <c r="B6" s="9" t="inlineStr">
        <is>
          <t>Insurance</t>
        </is>
      </c>
      <c r="C6" s="9" t="inlineStr">
        <is>
          <t>MediGuard</t>
        </is>
      </c>
      <c r="D6" s="9" t="inlineStr">
        <is>
          <t>Medicare supplement policy</t>
        </is>
      </c>
      <c r="E6" s="9" t="inlineStr"/>
      <c r="F6" s="9" t="inlineStr">
        <is>
          <t>Eleanor Brooks</t>
        </is>
      </c>
      <c r="G6" s="9" t="inlineStr">
        <is>
          <t>Sarah Chen</t>
        </is>
      </c>
      <c r="H6" s="9" t="inlineStr">
        <is>
          <t>Home filing cabinet, insurance folder</t>
        </is>
      </c>
      <c r="I6" s="9" t="inlineStr"/>
      <c r="J6" s="19" t="n">
        <v>45886</v>
      </c>
      <c r="K6" s="9" t="inlineStr">
        <is>
          <t>Parent Account</t>
        </is>
      </c>
      <c r="L6" s="9" t="inlineStr">
        <is>
          <t>Active</t>
        </is>
      </c>
      <c r="M6" s="9" t="n"/>
      <c r="N6">
        <f>IF($A6="","",IF(AND($J6&lt;&gt;"",TODAY()-$J6&gt;365),"⚠ review overdue",""))</f>
        <v/>
      </c>
    </row>
    <row r="7">
      <c r="A7" s="9" t="inlineStr">
        <is>
          <t>D4</t>
        </is>
      </c>
      <c r="B7" s="9" t="inlineStr">
        <is>
          <t>Pension/Retirement</t>
        </is>
      </c>
      <c r="C7" s="9" t="inlineStr">
        <is>
          <t>State Teachers Pension</t>
        </is>
      </c>
      <c r="D7" s="9" t="inlineStr">
        <is>
          <t>Monthly pension</t>
        </is>
      </c>
      <c r="E7" s="9" t="inlineStr"/>
      <c r="F7" s="9" t="inlineStr">
        <is>
          <t>Eleanor Brooks</t>
        </is>
      </c>
      <c r="G7" s="9" t="inlineStr">
        <is>
          <t>Sarah Chen</t>
        </is>
      </c>
      <c r="H7" s="9" t="inlineStr">
        <is>
          <t>Direct deposit -- no physical document</t>
        </is>
      </c>
      <c r="I7" s="9" t="inlineStr"/>
      <c r="J7" s="19" t="n">
        <v>46586</v>
      </c>
      <c r="K7" s="9" t="inlineStr">
        <is>
          <t>Sarah Chen</t>
        </is>
      </c>
      <c r="L7" s="9" t="inlineStr">
        <is>
          <t>Active</t>
        </is>
      </c>
      <c r="M7" s="9" t="n"/>
      <c r="N7">
        <f>IF($A7="","",IF(AND($J7&lt;&gt;"",TODAY()-$J7&gt;365),"⚠ review overdue",""))</f>
        <v/>
      </c>
    </row>
    <row r="8">
      <c r="A8" s="9" t="inlineStr">
        <is>
          <t>D5</t>
        </is>
      </c>
      <c r="B8" s="9" t="inlineStr">
        <is>
          <t>Property</t>
        </is>
      </c>
      <c r="C8" s="9" t="inlineStr">
        <is>
          <t>County Records Office</t>
        </is>
      </c>
      <c r="D8" s="9" t="inlineStr">
        <is>
          <t>Prior home sale deed (2024)</t>
        </is>
      </c>
      <c r="E8" s="9" t="inlineStr"/>
      <c r="F8" s="9" t="inlineStr">
        <is>
          <t>Eleanor Brooks</t>
        </is>
      </c>
      <c r="G8" s="9" t="inlineStr">
        <is>
          <t>Sarah Chen</t>
        </is>
      </c>
      <c r="H8" s="9" t="inlineStr">
        <is>
          <t>Safe deposit box, First National Bank</t>
        </is>
      </c>
      <c r="I8" s="9" t="inlineStr"/>
      <c r="J8" s="19" t="n">
        <v>46886</v>
      </c>
      <c r="K8" s="9" t="inlineStr">
        <is>
          <t>Sarah Chen</t>
        </is>
      </c>
      <c r="L8" s="9" t="inlineStr">
        <is>
          <t>Active</t>
        </is>
      </c>
      <c r="M8" s="9" t="n"/>
      <c r="N8">
        <f>IF($A8="","",IF(AND($J8&lt;&gt;"",TODAY()-$J8&gt;365),"⚠ review overdue",""))</f>
        <v/>
      </c>
    </row>
    <row r="9">
      <c r="A9" s="9" t="inlineStr">
        <is>
          <t>D6</t>
        </is>
      </c>
      <c r="B9" s="9" t="inlineStr">
        <is>
          <t>Legal Document</t>
        </is>
      </c>
      <c r="C9" s="9" t="inlineStr">
        <is>
          <t>Family Attorney (example only)</t>
        </is>
      </c>
      <c r="D9" s="9" t="inlineStr">
        <is>
          <t>Power of Attorney document (location only)</t>
        </is>
      </c>
      <c r="E9" s="9" t="inlineStr"/>
      <c r="F9" s="9" t="inlineStr">
        <is>
          <t>Eleanor Brooks</t>
        </is>
      </c>
      <c r="G9" s="9" t="inlineStr">
        <is>
          <t>Sarah Chen</t>
        </is>
      </c>
      <c r="H9" s="9" t="inlineStr">
        <is>
          <t>Attorney's office + copy in home safe</t>
        </is>
      </c>
      <c r="I9" s="9" t="inlineStr"/>
      <c r="J9" s="19" t="n">
        <v>46536</v>
      </c>
      <c r="K9" s="9" t="inlineStr">
        <is>
          <t>Sarah Chen</t>
        </is>
      </c>
      <c r="L9" s="9" t="inlineStr">
        <is>
          <t>Active</t>
        </is>
      </c>
      <c r="M9" s="9" t="n"/>
      <c r="N9">
        <f>IF($A9="","",IF(AND($J9&lt;&gt;"",TODAY()-$J9&gt;365),"⚠ review overdue",""))</f>
        <v/>
      </c>
    </row>
    <row r="10">
      <c r="A10" s="9" t="inlineStr">
        <is>
          <t>D7</t>
        </is>
      </c>
      <c r="B10" s="9" t="inlineStr">
        <is>
          <t>Utilities</t>
        </is>
      </c>
      <c r="C10" s="9" t="inlineStr">
        <is>
          <t>ClearLine Telecom</t>
        </is>
      </c>
      <c r="D10" s="9" t="inlineStr">
        <is>
          <t>Phone/internet account</t>
        </is>
      </c>
      <c r="E10" s="9" t="inlineStr"/>
      <c r="F10" s="9" t="inlineStr">
        <is>
          <t>Eleanor Brooks</t>
        </is>
      </c>
      <c r="G10" s="9" t="inlineStr">
        <is>
          <t>Sarah Chen</t>
        </is>
      </c>
      <c r="H10" s="9" t="inlineStr">
        <is>
          <t>Online account -- see Bills tab</t>
        </is>
      </c>
      <c r="I10" s="9" t="inlineStr"/>
      <c r="J10" s="19" t="n">
        <v>46406</v>
      </c>
      <c r="K10" s="9" t="inlineStr">
        <is>
          <t>Sarah Chen</t>
        </is>
      </c>
      <c r="L10" s="9" t="inlineStr">
        <is>
          <t>Active</t>
        </is>
      </c>
      <c r="M10" s="9" t="n"/>
      <c r="N10">
        <f>IF($A10="","",IF(AND($J10&lt;&gt;"",TODAY()-$J10&gt;365),"⚠ review overdue",""))</f>
        <v/>
      </c>
    </row>
    <row r="11">
      <c r="A11" s="9" t="inlineStr">
        <is>
          <t>D8</t>
        </is>
      </c>
      <c r="B11" s="9" t="inlineStr">
        <is>
          <t>ID Document</t>
        </is>
      </c>
      <c r="C11" s="9" t="inlineStr">
        <is>
          <t>State DMV</t>
        </is>
      </c>
      <c r="D11" s="9" t="inlineStr">
        <is>
          <t>Driver's license / State ID</t>
        </is>
      </c>
      <c r="E11" s="9" t="inlineStr"/>
      <c r="F11" s="9" t="inlineStr">
        <is>
          <t>Eleanor Brooks</t>
        </is>
      </c>
      <c r="G11" s="9" t="inlineStr">
        <is>
          <t>Sarah Chen</t>
        </is>
      </c>
      <c r="H11" s="9" t="inlineStr">
        <is>
          <t>Eleanor's wallet</t>
        </is>
      </c>
      <c r="I11" s="9" t="inlineStr"/>
      <c r="J11" s="19" t="n">
        <v>46466</v>
      </c>
      <c r="K11" s="9" t="inlineStr">
        <is>
          <t>Sarah Chen</t>
        </is>
      </c>
      <c r="L11" s="9" t="inlineStr">
        <is>
          <t>Active</t>
        </is>
      </c>
      <c r="M11" s="9" t="n"/>
      <c r="N11">
        <f>IF($A11="","",IF(AND($J11&lt;&gt;"",TODAY()-$J11&gt;365),"⚠ review overdue",""))</f>
        <v/>
      </c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19" t="n"/>
      <c r="K12" s="9" t="n"/>
      <c r="L12" s="9" t="n"/>
      <c r="M12" s="9" t="n"/>
      <c r="N12">
        <f>IF($A12="","",IF(AND($J12&lt;&gt;"",TODAY()-$J12&gt;365),"⚠ review overdue",""))</f>
        <v/>
      </c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19" t="n"/>
      <c r="K13" s="9" t="n"/>
      <c r="L13" s="9" t="n"/>
      <c r="M13" s="9" t="n"/>
      <c r="N13">
        <f>IF($A13="","",IF(AND($J13&lt;&gt;"",TODAY()-$J13&gt;365),"⚠ review overdue",""))</f>
        <v/>
      </c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19" t="n"/>
      <c r="K14" s="9" t="n"/>
      <c r="L14" s="9" t="n"/>
      <c r="M14" s="9" t="n"/>
      <c r="N14">
        <f>IF($A14="","",IF(AND($J14&lt;&gt;"",TODAY()-$J14&gt;365),"⚠ review overdue",""))</f>
        <v/>
      </c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19" t="n"/>
      <c r="K15" s="9" t="n"/>
      <c r="L15" s="9" t="n"/>
      <c r="M15" s="9" t="n"/>
      <c r="N15">
        <f>IF($A15="","",IF(AND($J15&lt;&gt;"",TODAY()-$J15&gt;365),"⚠ review overdue",""))</f>
        <v/>
      </c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19" t="n"/>
      <c r="K16" s="9" t="n"/>
      <c r="L16" s="9" t="n"/>
      <c r="M16" s="9" t="n"/>
      <c r="N16">
        <f>IF($A16="","",IF(AND($J16&lt;&gt;"",TODAY()-$J16&gt;365),"⚠ review overdue",""))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19" t="n"/>
      <c r="K17" s="9" t="n"/>
      <c r="L17" s="9" t="n"/>
      <c r="M17" s="9" t="n"/>
      <c r="N17">
        <f>IF($A17="","",IF(AND($J17&lt;&gt;"",TODAY()-$J17&gt;365),"⚠ review overdue",""))</f>
        <v/>
      </c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19" t="n"/>
      <c r="K18" s="9" t="n"/>
      <c r="L18" s="9" t="n"/>
      <c r="M18" s="9" t="n"/>
      <c r="N18">
        <f>IF($A18="","",IF(AND($J18&lt;&gt;"",TODAY()-$J18&gt;365),"⚠ review overdue",""))</f>
        <v/>
      </c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19" t="n"/>
      <c r="K19" s="9" t="n"/>
      <c r="L19" s="9" t="n"/>
      <c r="M19" s="9" t="n"/>
      <c r="N19">
        <f>IF($A19="","",IF(AND($J19&lt;&gt;"",TODAY()-$J19&gt;365),"⚠ review overdue",""))</f>
        <v/>
      </c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19" t="n"/>
      <c r="K20" s="9" t="n"/>
      <c r="L20" s="9" t="n"/>
      <c r="M20" s="9" t="n"/>
      <c r="N20">
        <f>IF($A20="","",IF(AND($J20&lt;&gt;"",TODAY()-$J20&gt;365),"⚠ review overdue",""))</f>
        <v/>
      </c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19" t="n"/>
      <c r="K21" s="9" t="n"/>
      <c r="L21" s="9" t="n"/>
      <c r="M21" s="9" t="n"/>
      <c r="N21">
        <f>IF($A21="","",IF(AND($J21&lt;&gt;"",TODAY()-$J21&gt;365),"⚠ review overdue",""))</f>
        <v/>
      </c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19" t="n"/>
      <c r="K22" s="9" t="n"/>
      <c r="L22" s="9" t="n"/>
      <c r="M22" s="9" t="n"/>
      <c r="N22">
        <f>IF($A22="","",IF(AND($J22&lt;&gt;"",TODAY()-$J22&gt;365),"⚠ review overdue",""))</f>
        <v/>
      </c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19" t="n"/>
      <c r="K23" s="9" t="n"/>
      <c r="L23" s="9" t="n"/>
      <c r="M23" s="9" t="n"/>
      <c r="N23">
        <f>IF($A23="","",IF(AND($J23&lt;&gt;"",TODAY()-$J23&gt;365),"⚠ review overdue",""))</f>
        <v/>
      </c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19" t="n"/>
      <c r="K24" s="9" t="n"/>
      <c r="L24" s="9" t="n"/>
      <c r="M24" s="9" t="n"/>
      <c r="N24">
        <f>IF($A24="","",IF(AND($J24&lt;&gt;"",TODAY()-$J24&gt;365),"⚠ review overdue",""))</f>
        <v/>
      </c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19" t="n"/>
      <c r="K25" s="9" t="n"/>
      <c r="L25" s="9" t="n"/>
      <c r="M25" s="9" t="n"/>
      <c r="N25">
        <f>IF($A25="","",IF(AND($J25&lt;&gt;"",TODAY()-$J25&gt;365),"⚠ review overdue",""))</f>
        <v/>
      </c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19" t="n"/>
      <c r="K26" s="9" t="n"/>
      <c r="L26" s="9" t="n"/>
      <c r="M26" s="9" t="n"/>
      <c r="N26">
        <f>IF($A26="","",IF(AND($J26&lt;&gt;"",TODAY()-$J26&gt;365),"⚠ review overdue",""))</f>
        <v/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19" t="n"/>
      <c r="K27" s="9" t="n"/>
      <c r="L27" s="9" t="n"/>
      <c r="M27" s="9" t="n"/>
      <c r="N27">
        <f>IF($A27="","",IF(AND($J27&lt;&gt;"",TODAY()-$J27&gt;365),"⚠ review overdue",""))</f>
        <v/>
      </c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19" t="n"/>
      <c r="K28" s="9" t="n"/>
      <c r="L28" s="9" t="n"/>
      <c r="M28" s="9" t="n"/>
      <c r="N28">
        <f>IF($A28="","",IF(AND($J28&lt;&gt;"",TODAY()-$J28&gt;365),"⚠ review overdue",""))</f>
        <v/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19" t="n"/>
      <c r="K29" s="9" t="n"/>
      <c r="L29" s="9" t="n"/>
      <c r="M29" s="9" t="n"/>
      <c r="N29">
        <f>IF($A29="","",IF(AND($J29&lt;&gt;"",TODAY()-$J29&gt;365),"⚠ review overdue",""))</f>
        <v/>
      </c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19" t="n"/>
      <c r="K30" s="9" t="n"/>
      <c r="L30" s="9" t="n"/>
      <c r="M30" s="9" t="n"/>
      <c r="N30">
        <f>IF($A30="","",IF(AND($J30&lt;&gt;"",TODAY()-$J30&gt;365),"⚠ review overdue",""))</f>
        <v/>
      </c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19" t="n"/>
      <c r="K31" s="9" t="n"/>
      <c r="L31" s="9" t="n"/>
      <c r="M31" s="9" t="n"/>
      <c r="N31">
        <f>IF($A31="","",IF(AND($J31&lt;&gt;"",TODAY()-$J31&gt;365),"⚠ review overdue",""))</f>
        <v/>
      </c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19" t="n"/>
      <c r="K32" s="9" t="n"/>
      <c r="L32" s="9" t="n"/>
      <c r="M32" s="9" t="n"/>
      <c r="N32">
        <f>IF($A32="","",IF(AND($J32&lt;&gt;"",TODAY()-$J32&gt;365),"⚠ review overdue",""))</f>
        <v/>
      </c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19" t="n"/>
      <c r="K33" s="9" t="n"/>
      <c r="L33" s="9" t="n"/>
      <c r="M33" s="9" t="n"/>
      <c r="N33">
        <f>IF($A33="","",IF(AND($J33&lt;&gt;"",TODAY()-$J33&gt;365),"⚠ review overdue",""))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19" t="n"/>
      <c r="K34" s="9" t="n"/>
      <c r="L34" s="9" t="n"/>
      <c r="M34" s="9" t="n"/>
      <c r="N34">
        <f>IF($A34="","",IF(AND($J34&lt;&gt;"",TODAY()-$J34&gt;365),"⚠ review overdue",""))</f>
        <v/>
      </c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19" t="n"/>
      <c r="K35" s="9" t="n"/>
      <c r="L35" s="9" t="n"/>
      <c r="M35" s="9" t="n"/>
      <c r="N35">
        <f>IF($A35="","",IF(AND($J35&lt;&gt;"",TODAY()-$J35&gt;365),"⚠ review overdue",""))</f>
        <v/>
      </c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19" t="n"/>
      <c r="K36" s="9" t="n"/>
      <c r="L36" s="9" t="n"/>
      <c r="M36" s="9" t="n"/>
      <c r="N36">
        <f>IF($A36="","",IF(AND($J36&lt;&gt;"",TODAY()-$J36&gt;365),"⚠ review overdue",""))</f>
        <v/>
      </c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19" t="n"/>
      <c r="K37" s="9" t="n"/>
      <c r="L37" s="9" t="n"/>
      <c r="M37" s="9" t="n"/>
      <c r="N37">
        <f>IF($A37="","",IF(AND($J37&lt;&gt;"",TODAY()-$J37&gt;365),"⚠ review overdue",""))</f>
        <v/>
      </c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19" t="n"/>
      <c r="K38" s="9" t="n"/>
      <c r="L38" s="9" t="n"/>
      <c r="M38" s="9" t="n"/>
      <c r="N38">
        <f>IF($A38="","",IF(AND($J38&lt;&gt;"",TODAY()-$J38&gt;365),"⚠ review overdue",""))</f>
        <v/>
      </c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19" t="n"/>
      <c r="K39" s="9" t="n"/>
      <c r="L39" s="9" t="n"/>
      <c r="M39" s="9" t="n"/>
      <c r="N39">
        <f>IF($A39="","",IF(AND($J39&lt;&gt;"",TODAY()-$J39&gt;365),"⚠ review overdue",""))</f>
        <v/>
      </c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19" t="n"/>
      <c r="K40" s="9" t="n"/>
      <c r="L40" s="9" t="n"/>
      <c r="M40" s="9" t="n"/>
      <c r="N40">
        <f>IF($A40="","",IF(AND($J40&lt;&gt;"",TODAY()-$J40&gt;365),"⚠ review overdue",""))</f>
        <v/>
      </c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19" t="n"/>
      <c r="K41" s="9" t="n"/>
      <c r="L41" s="9" t="n"/>
      <c r="M41" s="9" t="n"/>
      <c r="N41">
        <f>IF($A41="","",IF(AND($J41&lt;&gt;"",TODAY()-$J41&gt;365),"⚠ review overdue",""))</f>
        <v/>
      </c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19" t="n"/>
      <c r="K42" s="9" t="n"/>
      <c r="L42" s="9" t="n"/>
      <c r="M42" s="9" t="n"/>
      <c r="N42">
        <f>IF($A42="","",IF(AND($J42&lt;&gt;"",TODAY()-$J42&gt;365),"⚠ review overdue",""))</f>
        <v/>
      </c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19" t="n"/>
      <c r="K43" s="9" t="n"/>
      <c r="L43" s="9" t="n"/>
      <c r="M43" s="9" t="n"/>
      <c r="N43">
        <f>IF($A43="","",IF(AND($J43&lt;&gt;"",TODAY()-$J43&gt;365),"⚠ review overdue",""))</f>
        <v/>
      </c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19" t="n"/>
      <c r="K44" s="9" t="n"/>
      <c r="L44" s="9" t="n"/>
      <c r="M44" s="9" t="n"/>
      <c r="N44">
        <f>IF($A44="","",IF(AND($J44&lt;&gt;"",TODAY()-$J44&gt;365),"⚠ review overdue",""))</f>
        <v/>
      </c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19" t="n"/>
      <c r="K45" s="9" t="n"/>
      <c r="L45" s="9" t="n"/>
      <c r="M45" s="9" t="n"/>
      <c r="N45">
        <f>IF($A45="","",IF(AND($J45&lt;&gt;"",TODAY()-$J45&gt;365),"⚠ review overdue",""))</f>
        <v/>
      </c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19" t="n"/>
      <c r="K46" s="9" t="n"/>
      <c r="L46" s="9" t="n"/>
      <c r="M46" s="9" t="n"/>
      <c r="N46">
        <f>IF($A46="","",IF(AND($J46&lt;&gt;"",TODAY()-$J46&gt;365),"⚠ review overdue",""))</f>
        <v/>
      </c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19" t="n"/>
      <c r="K47" s="9" t="n"/>
      <c r="L47" s="9" t="n"/>
      <c r="M47" s="9" t="n"/>
      <c r="N47">
        <f>IF($A47="","",IF(AND($J47&lt;&gt;"",TODAY()-$J47&gt;365),"⚠ review overdue",""))</f>
        <v/>
      </c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19" t="n"/>
      <c r="K48" s="9" t="n"/>
      <c r="L48" s="9" t="n"/>
      <c r="M48" s="9" t="n"/>
      <c r="N48">
        <f>IF($A48="","",IF(AND($J48&lt;&gt;"",TODAY()-$J48&gt;365),"⚠ review overdue",""))</f>
        <v/>
      </c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19" t="n"/>
      <c r="K49" s="9" t="n"/>
      <c r="L49" s="9" t="n"/>
      <c r="M49" s="9" t="n"/>
      <c r="N49">
        <f>IF($A49="","",IF(AND($J49&lt;&gt;"",TODAY()-$J49&gt;365),"⚠ review overdue",""))</f>
        <v/>
      </c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19" t="n"/>
      <c r="K50" s="9" t="n"/>
      <c r="L50" s="9" t="n"/>
      <c r="M50" s="9" t="n"/>
      <c r="N50">
        <f>IF($A50="","",IF(AND($J50&lt;&gt;"",TODAY()-$J50&gt;365),"⚠ review overdue",""))</f>
        <v/>
      </c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19" t="n"/>
      <c r="K51" s="9" t="n"/>
      <c r="L51" s="9" t="n"/>
      <c r="M51" s="9" t="n"/>
      <c r="N51">
        <f>IF($A51="","",IF(AND($J51&lt;&gt;"",TODAY()-$J51&gt;365),"⚠ review overdue",""))</f>
        <v/>
      </c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19" t="n"/>
      <c r="K52" s="9" t="n"/>
      <c r="L52" s="9" t="n"/>
      <c r="M52" s="9" t="n"/>
      <c r="N52">
        <f>IF($A52="","",IF(AND($J52&lt;&gt;"",TODAY()-$J52&gt;365),"⚠ review overdue",""))</f>
        <v/>
      </c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19" t="n"/>
      <c r="K53" s="9" t="n"/>
      <c r="L53" s="9" t="n"/>
      <c r="M53" s="9" t="n"/>
      <c r="N53">
        <f>IF($A53="","",IF(AND($J53&lt;&gt;"",TODAY()-$J53&gt;365),"⚠ review overdue",""))</f>
        <v/>
      </c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19" t="n"/>
      <c r="K54" s="9" t="n"/>
      <c r="L54" s="9" t="n"/>
      <c r="M54" s="9" t="n"/>
      <c r="N54">
        <f>IF($A54="","",IF(AND($J54&lt;&gt;"",TODAY()-$J54&gt;365),"⚠ review overdue",""))</f>
        <v/>
      </c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19" t="n"/>
      <c r="K55" s="9" t="n"/>
      <c r="L55" s="9" t="n"/>
      <c r="M55" s="9" t="n"/>
      <c r="N55">
        <f>IF($A55="","",IF(AND($J55&lt;&gt;"",TODAY()-$J55&gt;365),"⚠ review overdue",""))</f>
        <v/>
      </c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19" t="n"/>
      <c r="K56" s="9" t="n"/>
      <c r="L56" s="9" t="n"/>
      <c r="M56" s="9" t="n"/>
      <c r="N56">
        <f>IF($A56="","",IF(AND($J56&lt;&gt;"",TODAY()-$J56&gt;365),"⚠ review overdue",""))</f>
        <v/>
      </c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19" t="n"/>
      <c r="K57" s="9" t="n"/>
      <c r="L57" s="9" t="n"/>
      <c r="M57" s="9" t="n"/>
      <c r="N57">
        <f>IF($A57="","",IF(AND($J57&lt;&gt;"",TODAY()-$J57&gt;365),"⚠ review overdue",""))</f>
        <v/>
      </c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19" t="n"/>
      <c r="K58" s="9" t="n"/>
      <c r="L58" s="9" t="n"/>
      <c r="M58" s="9" t="n"/>
      <c r="N58">
        <f>IF($A58="","",IF(AND($J58&lt;&gt;"",TODAY()-$J58&gt;365),"⚠ review overdue",""))</f>
        <v/>
      </c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19" t="n"/>
      <c r="K59" s="9" t="n"/>
      <c r="L59" s="9" t="n"/>
      <c r="M59" s="9" t="n"/>
      <c r="N59">
        <f>IF($A59="","",IF(AND($J59&lt;&gt;"",TODAY()-$J59&gt;365),"⚠ review overdue",""))</f>
        <v/>
      </c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19" t="n"/>
      <c r="K60" s="9" t="n"/>
      <c r="L60" s="9" t="n"/>
      <c r="M60" s="9" t="n"/>
      <c r="N60">
        <f>IF($A60="","",IF(AND($J60&lt;&gt;"",TODAY()-$J60&gt;365),"⚠ review overdue",""))</f>
        <v/>
      </c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19" t="n"/>
      <c r="K61" s="9" t="n"/>
      <c r="L61" s="9" t="n"/>
      <c r="M61" s="9" t="n"/>
      <c r="N61">
        <f>IF($A61="","",IF(AND($J61&lt;&gt;"",TODAY()-$J61&gt;365),"⚠ review overdue",""))</f>
        <v/>
      </c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19" t="n"/>
      <c r="K62" s="9" t="n"/>
      <c r="L62" s="9" t="n"/>
      <c r="M62" s="9" t="n"/>
      <c r="N62">
        <f>IF($A62="","",IF(AND($J62&lt;&gt;"",TODAY()-$J62&gt;365),"⚠ review overdue",""))</f>
        <v/>
      </c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19" t="n"/>
      <c r="K63" s="9" t="n"/>
      <c r="L63" s="9" t="n"/>
      <c r="M63" s="9" t="n"/>
      <c r="N63">
        <f>IF($A63="","",IF(AND($J63&lt;&gt;"",TODAY()-$J63&gt;365),"⚠ review overdue",""))</f>
        <v/>
      </c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19" t="n"/>
      <c r="K64" s="9" t="n"/>
      <c r="L64" s="9" t="n"/>
      <c r="M64" s="9" t="n"/>
      <c r="N64">
        <f>IF($A64="","",IF(AND($J64&lt;&gt;"",TODAY()-$J64&gt;365),"⚠ review overdue",""))</f>
        <v/>
      </c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19" t="n"/>
      <c r="K65" s="9" t="n"/>
      <c r="L65" s="9" t="n"/>
      <c r="M65" s="9" t="n"/>
      <c r="N65">
        <f>IF($A65="","",IF(AND($J65&lt;&gt;"",TODAY()-$J65&gt;365),"⚠ review overdue",""))</f>
        <v/>
      </c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19" t="n"/>
      <c r="K66" s="9" t="n"/>
      <c r="L66" s="9" t="n"/>
      <c r="M66" s="9" t="n"/>
      <c r="N66">
        <f>IF($A66="","",IF(AND($J66&lt;&gt;"",TODAY()-$J66&gt;365),"⚠ review overdue",""))</f>
        <v/>
      </c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19" t="n"/>
      <c r="K67" s="9" t="n"/>
      <c r="L67" s="9" t="n"/>
      <c r="M67" s="9" t="n"/>
      <c r="N67">
        <f>IF($A67="","",IF(AND($J67&lt;&gt;"",TODAY()-$J67&gt;365),"⚠ review overdue",""))</f>
        <v/>
      </c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19" t="n"/>
      <c r="K68" s="9" t="n"/>
      <c r="L68" s="9" t="n"/>
      <c r="M68" s="9" t="n"/>
      <c r="N68">
        <f>IF($A68="","",IF(AND($J68&lt;&gt;"",TODAY()-$J68&gt;365),"⚠ review overdue",""))</f>
        <v/>
      </c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19" t="n"/>
      <c r="K69" s="9" t="n"/>
      <c r="L69" s="9" t="n"/>
      <c r="M69" s="9" t="n"/>
      <c r="N69">
        <f>IF($A69="","",IF(AND($J69&lt;&gt;"",TODAY()-$J69&gt;365),"⚠ review overdue",""))</f>
        <v/>
      </c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19" t="n"/>
      <c r="K70" s="9" t="n"/>
      <c r="L70" s="9" t="n"/>
      <c r="M70" s="9" t="n"/>
      <c r="N70">
        <f>IF($A70="","",IF(AND($J70&lt;&gt;"",TODAY()-$J70&gt;365),"⚠ review overdue",""))</f>
        <v/>
      </c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19" t="n"/>
      <c r="K71" s="9" t="n"/>
      <c r="L71" s="9" t="n"/>
      <c r="M71" s="9" t="n"/>
      <c r="N71">
        <f>IF($A71="","",IF(AND($J71&lt;&gt;"",TODAY()-$J71&gt;365),"⚠ review overdue",""))</f>
        <v/>
      </c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19" t="n"/>
      <c r="K72" s="9" t="n"/>
      <c r="L72" s="9" t="n"/>
      <c r="M72" s="9" t="n"/>
      <c r="N72">
        <f>IF($A72="","",IF(AND($J72&lt;&gt;"",TODAY()-$J72&gt;365),"⚠ review overdue",""))</f>
        <v/>
      </c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19" t="n"/>
      <c r="K73" s="9" t="n"/>
      <c r="L73" s="9" t="n"/>
      <c r="M73" s="9" t="n"/>
      <c r="N73">
        <f>IF($A73="","",IF(AND($J73&lt;&gt;"",TODAY()-$J73&gt;365),"⚠ review overdue",""))</f>
        <v/>
      </c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19" t="n"/>
      <c r="K74" s="9" t="n"/>
      <c r="L74" s="9" t="n"/>
      <c r="M74" s="9" t="n"/>
      <c r="N74">
        <f>IF($A74="","",IF(AND($J74&lt;&gt;"",TODAY()-$J74&gt;365),"⚠ review overdue",""))</f>
        <v/>
      </c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19" t="n"/>
      <c r="K75" s="9" t="n"/>
      <c r="L75" s="9" t="n"/>
      <c r="M75" s="9" t="n"/>
      <c r="N75">
        <f>IF($A75="","",IF(AND($J75&lt;&gt;"",TODAY()-$J75&gt;365),"⚠ review overdue",""))</f>
        <v/>
      </c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19" t="n"/>
      <c r="K76" s="9" t="n"/>
      <c r="L76" s="9" t="n"/>
      <c r="M76" s="9" t="n"/>
      <c r="N76">
        <f>IF($A76="","",IF(AND($J76&lt;&gt;"",TODAY()-$J76&gt;365),"⚠ review overdue",""))</f>
        <v/>
      </c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19" t="n"/>
      <c r="K77" s="9" t="n"/>
      <c r="L77" s="9" t="n"/>
      <c r="M77" s="9" t="n"/>
      <c r="N77">
        <f>IF($A77="","",IF(AND($J77&lt;&gt;"",TODAY()-$J77&gt;365),"⚠ review overdue",""))</f>
        <v/>
      </c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19" t="n"/>
      <c r="K78" s="9" t="n"/>
      <c r="L78" s="9" t="n"/>
      <c r="M78" s="9" t="n"/>
      <c r="N78">
        <f>IF($A78="","",IF(AND($J78&lt;&gt;"",TODAY()-$J78&gt;365),"⚠ review overdue",""))</f>
        <v/>
      </c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19" t="n"/>
      <c r="K79" s="9" t="n"/>
      <c r="L79" s="9" t="n"/>
      <c r="M79" s="9" t="n"/>
      <c r="N79">
        <f>IF($A79="","",IF(AND($J79&lt;&gt;"",TODAY()-$J79&gt;365),"⚠ review overdue",""))</f>
        <v/>
      </c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19" t="n"/>
      <c r="K80" s="9" t="n"/>
      <c r="L80" s="9" t="n"/>
      <c r="M80" s="9" t="n"/>
      <c r="N80">
        <f>IF($A80="","",IF(AND($J80&lt;&gt;"",TODAY()-$J80&gt;365),"⚠ review overdue",""))</f>
        <v/>
      </c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19" t="n"/>
      <c r="K81" s="9" t="n"/>
      <c r="L81" s="9" t="n"/>
      <c r="M81" s="9" t="n"/>
      <c r="N81">
        <f>IF($A81="","",IF(AND($J81&lt;&gt;"",TODAY()-$J81&gt;365),"⚠ review overdue",""))</f>
        <v/>
      </c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19" t="n"/>
      <c r="K82" s="9" t="n"/>
      <c r="L82" s="9" t="n"/>
      <c r="M82" s="9" t="n"/>
      <c r="N82">
        <f>IF($A82="","",IF(AND($J82&lt;&gt;"",TODAY()-$J82&gt;365),"⚠ review overdue",""))</f>
        <v/>
      </c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19" t="n"/>
      <c r="K83" s="9" t="n"/>
      <c r="L83" s="9" t="n"/>
      <c r="M83" s="9" t="n"/>
      <c r="N83">
        <f>IF($A83="","",IF(AND($J83&lt;&gt;"",TODAY()-$J83&gt;365),"⚠ review overdue",""))</f>
        <v/>
      </c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19" t="n"/>
      <c r="K84" s="9" t="n"/>
      <c r="L84" s="9" t="n"/>
      <c r="M84" s="9" t="n"/>
      <c r="N84">
        <f>IF($A84="","",IF(AND($J84&lt;&gt;"",TODAY()-$J84&gt;365),"⚠ review overdue",""))</f>
        <v/>
      </c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19" t="n"/>
      <c r="K85" s="9" t="n"/>
      <c r="L85" s="9" t="n"/>
      <c r="M85" s="9" t="n"/>
      <c r="N85">
        <f>IF($A85="","",IF(AND($J85&lt;&gt;"",TODAY()-$J85&gt;365),"⚠ review overdue",""))</f>
        <v/>
      </c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19" t="n"/>
      <c r="K86" s="9" t="n"/>
      <c r="L86" s="9" t="n"/>
      <c r="M86" s="9" t="n"/>
      <c r="N86">
        <f>IF($A86="","",IF(AND($J86&lt;&gt;"",TODAY()-$J86&gt;365),"⚠ review overdue",""))</f>
        <v/>
      </c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19" t="n"/>
      <c r="K87" s="9" t="n"/>
      <c r="L87" s="9" t="n"/>
      <c r="M87" s="9" t="n"/>
      <c r="N87">
        <f>IF($A87="","",IF(AND($J87&lt;&gt;"",TODAY()-$J87&gt;365),"⚠ review overdue",""))</f>
        <v/>
      </c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19" t="n"/>
      <c r="K88" s="9" t="n"/>
      <c r="L88" s="9" t="n"/>
      <c r="M88" s="9" t="n"/>
      <c r="N88">
        <f>IF($A88="","",IF(AND($J88&lt;&gt;"",TODAY()-$J88&gt;365),"⚠ review overdue",""))</f>
        <v/>
      </c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19" t="n"/>
      <c r="K89" s="9" t="n"/>
      <c r="L89" s="9" t="n"/>
      <c r="M89" s="9" t="n"/>
      <c r="N89">
        <f>IF($A89="","",IF(AND($J89&lt;&gt;"",TODAY()-$J89&gt;365),"⚠ review overdue",""))</f>
        <v/>
      </c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19" t="n"/>
      <c r="K90" s="9" t="n"/>
      <c r="L90" s="9" t="n"/>
      <c r="M90" s="9" t="n"/>
      <c r="N90">
        <f>IF($A90="","",IF(AND($J90&lt;&gt;"",TODAY()-$J90&gt;365),"⚠ review overdue",""))</f>
        <v/>
      </c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19" t="n"/>
      <c r="K91" s="9" t="n"/>
      <c r="L91" s="9" t="n"/>
      <c r="M91" s="9" t="n"/>
      <c r="N91">
        <f>IF($A91="","",IF(AND($J91&lt;&gt;"",TODAY()-$J91&gt;365),"⚠ review overdue",""))</f>
        <v/>
      </c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19" t="n"/>
      <c r="K92" s="9" t="n"/>
      <c r="L92" s="9" t="n"/>
      <c r="M92" s="9" t="n"/>
      <c r="N92">
        <f>IF($A92="","",IF(AND($J92&lt;&gt;"",TODAY()-$J92&gt;365),"⚠ review overdue",""))</f>
        <v/>
      </c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19" t="n"/>
      <c r="K93" s="9" t="n"/>
      <c r="L93" s="9" t="n"/>
      <c r="M93" s="9" t="n"/>
      <c r="N93">
        <f>IF($A93="","",IF(AND($J93&lt;&gt;"",TODAY()-$J93&gt;365),"⚠ review overdue",""))</f>
        <v/>
      </c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19" t="n"/>
      <c r="K94" s="9" t="n"/>
      <c r="L94" s="9" t="n"/>
      <c r="M94" s="9" t="n"/>
      <c r="N94">
        <f>IF($A94="","",IF(AND($J94&lt;&gt;"",TODAY()-$J94&gt;365),"⚠ review overdue",""))</f>
        <v/>
      </c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19" t="n"/>
      <c r="K95" s="9" t="n"/>
      <c r="L95" s="9" t="n"/>
      <c r="M95" s="9" t="n"/>
      <c r="N95">
        <f>IF($A95="","",IF(AND($J95&lt;&gt;"",TODAY()-$J95&gt;365),"⚠ review overdue",""))</f>
        <v/>
      </c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19" t="n"/>
      <c r="K96" s="9" t="n"/>
      <c r="L96" s="9" t="n"/>
      <c r="M96" s="9" t="n"/>
      <c r="N96">
        <f>IF($A96="","",IF(AND($J96&lt;&gt;"",TODAY()-$J96&gt;365),"⚠ review overdue",""))</f>
        <v/>
      </c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19" t="n"/>
      <c r="K97" s="9" t="n"/>
      <c r="L97" s="9" t="n"/>
      <c r="M97" s="9" t="n"/>
      <c r="N97">
        <f>IF($A97="","",IF(AND($J97&lt;&gt;"",TODAY()-$J97&gt;365),"⚠ review overdue",""))</f>
        <v/>
      </c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19" t="n"/>
      <c r="K98" s="9" t="n"/>
      <c r="L98" s="9" t="n"/>
      <c r="M98" s="9" t="n"/>
      <c r="N98">
        <f>IF($A98="","",IF(AND($J98&lt;&gt;"",TODAY()-$J98&gt;365),"⚠ review overdue",""))</f>
        <v/>
      </c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19" t="n"/>
      <c r="K99" s="9" t="n"/>
      <c r="L99" s="9" t="n"/>
      <c r="M99" s="9" t="n"/>
      <c r="N99">
        <f>IF($A99="","",IF(AND($J99&lt;&gt;"",TODAY()-$J99&gt;365),"⚠ review overdue",""))</f>
        <v/>
      </c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19" t="n"/>
      <c r="K100" s="9" t="n"/>
      <c r="L100" s="9" t="n"/>
      <c r="M100" s="9" t="n"/>
      <c r="N100">
        <f>IF($A100="","",IF(AND($J100&lt;&gt;"",TODAY()-$J100&gt;365),"⚠ review overdue",""))</f>
        <v/>
      </c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19" t="n"/>
      <c r="K101" s="9" t="n"/>
      <c r="L101" s="9" t="n"/>
      <c r="M101" s="9" t="n"/>
      <c r="N101">
        <f>IF($A101="","",IF(AND($J101&lt;&gt;"",TODAY()-$J101&gt;365),"⚠ review overdue",""))</f>
        <v/>
      </c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19" t="n"/>
      <c r="K102" s="9" t="n"/>
      <c r="L102" s="9" t="n"/>
      <c r="M102" s="9" t="n"/>
      <c r="N102">
        <f>IF($A102="","",IF(AND($J102&lt;&gt;"",TODAY()-$J102&gt;365),"⚠ review overdue",""))</f>
        <v/>
      </c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19" t="n"/>
      <c r="K103" s="9" t="n"/>
      <c r="L103" s="9" t="n"/>
      <c r="M103" s="9" t="n"/>
      <c r="N103">
        <f>IF($A103="","",IF(AND($J103&lt;&gt;"",TODAY()-$J103&gt;365),"⚠ review overdue",""))</f>
        <v/>
      </c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19" t="n"/>
      <c r="K104" s="9" t="n"/>
      <c r="L104" s="9" t="n"/>
      <c r="M104" s="9" t="n"/>
      <c r="N104">
        <f>IF($A104="","",IF(AND($J104&lt;&gt;"",TODAY()-$J104&gt;365),"⚠ review overdue",""))</f>
        <v/>
      </c>
    </row>
    <row r="105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19" t="n"/>
      <c r="K105" s="9" t="n"/>
      <c r="L105" s="9" t="n"/>
      <c r="M105" s="9" t="n"/>
      <c r="N105">
        <f>IF($A105="","",IF(AND($J105&lt;&gt;"",TODAY()-$J105&gt;365),"⚠ review overdue",""))</f>
        <v/>
      </c>
    </row>
    <row r="106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19" t="n"/>
      <c r="K106" s="9" t="n"/>
      <c r="L106" s="9" t="n"/>
      <c r="M106" s="9" t="n"/>
      <c r="N106">
        <f>IF($A106="","",IF(AND($J106&lt;&gt;"",TODAY()-$J106&gt;365),"⚠ review overdue",""))</f>
        <v/>
      </c>
    </row>
    <row r="107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19" t="n"/>
      <c r="K107" s="9" t="n"/>
      <c r="L107" s="9" t="n"/>
      <c r="M107" s="9" t="n"/>
      <c r="N107">
        <f>IF($A107="","",IF(AND($J107&lt;&gt;"",TODAY()-$J107&gt;365),"⚠ review overdue",""))</f>
        <v/>
      </c>
    </row>
    <row r="10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19" t="n"/>
      <c r="K108" s="9" t="n"/>
      <c r="L108" s="9" t="n"/>
      <c r="M108" s="9" t="n"/>
      <c r="N108">
        <f>IF($A108="","",IF(AND($J108&lt;&gt;"",TODAY()-$J108&gt;365),"⚠ review overdue",""))</f>
        <v/>
      </c>
    </row>
    <row r="109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19" t="n"/>
      <c r="K109" s="9" t="n"/>
      <c r="L109" s="9" t="n"/>
      <c r="M109" s="9" t="n"/>
      <c r="N109">
        <f>IF($A109="","",IF(AND($J109&lt;&gt;"",TODAY()-$J109&gt;365),"⚠ review overdue",""))</f>
        <v/>
      </c>
    </row>
    <row r="110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19" t="n"/>
      <c r="K110" s="9" t="n"/>
      <c r="L110" s="9" t="n"/>
      <c r="M110" s="9" t="n"/>
      <c r="N110">
        <f>IF($A110="","",IF(AND($J110&lt;&gt;"",TODAY()-$J110&gt;365),"⚠ review overdue",""))</f>
        <v/>
      </c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19" t="n"/>
      <c r="K111" s="9" t="n"/>
      <c r="L111" s="9" t="n"/>
      <c r="M111" s="9" t="n"/>
      <c r="N111">
        <f>IF($A111="","",IF(AND($J111&lt;&gt;"",TODAY()-$J111&gt;365),"⚠ review overdue",""))</f>
        <v/>
      </c>
    </row>
    <row r="11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19" t="n"/>
      <c r="K112" s="9" t="n"/>
      <c r="L112" s="9" t="n"/>
      <c r="M112" s="9" t="n"/>
      <c r="N112">
        <f>IF($A112="","",IF(AND($J112&lt;&gt;"",TODAY()-$J112&gt;365),"⚠ review overdue",""))</f>
        <v/>
      </c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19" t="n"/>
      <c r="K113" s="9" t="n"/>
      <c r="L113" s="9" t="n"/>
      <c r="M113" s="9" t="n"/>
      <c r="N113">
        <f>IF($A113="","",IF(AND($J113&lt;&gt;"",TODAY()-$J113&gt;365),"⚠ review overdue",""))</f>
        <v/>
      </c>
    </row>
    <row r="114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19" t="n"/>
      <c r="K114" s="9" t="n"/>
      <c r="L114" s="9" t="n"/>
      <c r="M114" s="9" t="n"/>
      <c r="N114">
        <f>IF($A114="","",IF(AND($J114&lt;&gt;"",TODAY()-$J114&gt;365),"⚠ review overdue",""))</f>
        <v/>
      </c>
    </row>
    <row r="115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19" t="n"/>
      <c r="K115" s="9" t="n"/>
      <c r="L115" s="9" t="n"/>
      <c r="M115" s="9" t="n"/>
      <c r="N115">
        <f>IF($A115="","",IF(AND($J115&lt;&gt;"",TODAY()-$J115&gt;365),"⚠ review overdue",""))</f>
        <v/>
      </c>
    </row>
    <row r="116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19" t="n"/>
      <c r="K116" s="9" t="n"/>
      <c r="L116" s="9" t="n"/>
      <c r="M116" s="9" t="n"/>
      <c r="N116">
        <f>IF($A116="","",IF(AND($J116&lt;&gt;"",TODAY()-$J116&gt;365),"⚠ review overdue",""))</f>
        <v/>
      </c>
    </row>
    <row r="117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19" t="n"/>
      <c r="K117" s="9" t="n"/>
      <c r="L117" s="9" t="n"/>
      <c r="M117" s="9" t="n"/>
      <c r="N117">
        <f>IF($A117="","",IF(AND($J117&lt;&gt;"",TODAY()-$J117&gt;365),"⚠ review overdue",""))</f>
        <v/>
      </c>
    </row>
    <row r="11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19" t="n"/>
      <c r="K118" s="9" t="n"/>
      <c r="L118" s="9" t="n"/>
      <c r="M118" s="9" t="n"/>
      <c r="N118">
        <f>IF($A118="","",IF(AND($J118&lt;&gt;"",TODAY()-$J118&gt;365),"⚠ review overdue",""))</f>
        <v/>
      </c>
    </row>
    <row r="119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19" t="n"/>
      <c r="K119" s="9" t="n"/>
      <c r="L119" s="9" t="n"/>
      <c r="M119" s="9" t="n"/>
      <c r="N119">
        <f>IF($A119="","",IF(AND($J119&lt;&gt;"",TODAY()-$J119&gt;365),"⚠ review overdue",""))</f>
        <v/>
      </c>
    </row>
    <row r="120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19" t="n"/>
      <c r="K120" s="9" t="n"/>
      <c r="L120" s="9" t="n"/>
      <c r="M120" s="9" t="n"/>
      <c r="N120">
        <f>IF($A120="","",IF(AND($J120&lt;&gt;"",TODAY()-$J120&gt;365),"⚠ review overdue",""))</f>
        <v/>
      </c>
    </row>
    <row r="12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19" t="n"/>
      <c r="K121" s="9" t="n"/>
      <c r="L121" s="9" t="n"/>
      <c r="M121" s="9" t="n"/>
      <c r="N121">
        <f>IF($A121="","",IF(AND($J121&lt;&gt;"",TODAY()-$J121&gt;365),"⚠ review overdue",""))</f>
        <v/>
      </c>
    </row>
    <row r="12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19" t="n"/>
      <c r="K122" s="9" t="n"/>
      <c r="L122" s="9" t="n"/>
      <c r="M122" s="9" t="n"/>
      <c r="N122">
        <f>IF($A122="","",IF(AND($J122&lt;&gt;"",TODAY()-$J122&gt;365),"⚠ review overdue",""))</f>
        <v/>
      </c>
    </row>
    <row r="123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19" t="n"/>
      <c r="K123" s="9" t="n"/>
      <c r="L123" s="9" t="n"/>
      <c r="M123" s="9" t="n"/>
      <c r="N123">
        <f>IF($A123="","",IF(AND($J123&lt;&gt;"",TODAY()-$J123&gt;365),"⚠ review overdue",""))</f>
        <v/>
      </c>
    </row>
    <row r="124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19" t="n"/>
      <c r="K124" s="9" t="n"/>
      <c r="L124" s="9" t="n"/>
      <c r="M124" s="9" t="n"/>
      <c r="N124">
        <f>IF($A124="","",IF(AND($J124&lt;&gt;"",TODAY()-$J124&gt;365),"⚠ review overdue",""))</f>
        <v/>
      </c>
    </row>
    <row r="125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19" t="n"/>
      <c r="K125" s="9" t="n"/>
      <c r="L125" s="9" t="n"/>
      <c r="M125" s="9" t="n"/>
      <c r="N125">
        <f>IF($A125="","",IF(AND($J125&lt;&gt;"",TODAY()-$J125&gt;365),"⚠ review overdue",""))</f>
        <v/>
      </c>
    </row>
    <row r="126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19" t="n"/>
      <c r="K126" s="9" t="n"/>
      <c r="L126" s="9" t="n"/>
      <c r="M126" s="9" t="n"/>
      <c r="N126">
        <f>IF($A126="","",IF(AND($J126&lt;&gt;"",TODAY()-$J126&gt;365),"⚠ review overdue",""))</f>
        <v/>
      </c>
    </row>
    <row r="127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19" t="n"/>
      <c r="K127" s="9" t="n"/>
      <c r="L127" s="9" t="n"/>
      <c r="M127" s="9" t="n"/>
      <c r="N127">
        <f>IF($A127="","",IF(AND($J127&lt;&gt;"",TODAY()-$J127&gt;365),"⚠ review overdue",""))</f>
        <v/>
      </c>
    </row>
    <row r="12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19" t="n"/>
      <c r="K128" s="9" t="n"/>
      <c r="L128" s="9" t="n"/>
      <c r="M128" s="9" t="n"/>
      <c r="N128">
        <f>IF($A128="","",IF(AND($J128&lt;&gt;"",TODAY()-$J128&gt;365),"⚠ review overdue",""))</f>
        <v/>
      </c>
    </row>
    <row r="129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19" t="n"/>
      <c r="K129" s="9" t="n"/>
      <c r="L129" s="9" t="n"/>
      <c r="M129" s="9" t="n"/>
      <c r="N129">
        <f>IF($A129="","",IF(AND($J129&lt;&gt;"",TODAY()-$J129&gt;365),"⚠ review overdue",""))</f>
        <v/>
      </c>
    </row>
    <row r="130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19" t="n"/>
      <c r="K130" s="9" t="n"/>
      <c r="L130" s="9" t="n"/>
      <c r="M130" s="9" t="n"/>
      <c r="N130">
        <f>IF($A130="","",IF(AND($J130&lt;&gt;"",TODAY()-$J130&gt;365),"⚠ review overdue",""))</f>
        <v/>
      </c>
    </row>
    <row r="13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19" t="n"/>
      <c r="K131" s="9" t="n"/>
      <c r="L131" s="9" t="n"/>
      <c r="M131" s="9" t="n"/>
      <c r="N131">
        <f>IF($A131="","",IF(AND($J131&lt;&gt;"",TODAY()-$J131&gt;365),"⚠ review overdue",""))</f>
        <v/>
      </c>
    </row>
    <row r="1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19" t="n"/>
      <c r="K132" s="9" t="n"/>
      <c r="L132" s="9" t="n"/>
      <c r="M132" s="9" t="n"/>
      <c r="N132">
        <f>IF($A132="","",IF(AND($J132&lt;&gt;"",TODAY()-$J132&gt;365),"⚠ review overdue",""))</f>
        <v/>
      </c>
    </row>
    <row r="133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19" t="n"/>
      <c r="K133" s="9" t="n"/>
      <c r="L133" s="9" t="n"/>
      <c r="M133" s="9" t="n"/>
      <c r="N133">
        <f>IF($A133="","",IF(AND($J133&lt;&gt;"",TODAY()-$J133&gt;365),"⚠ review overdue",""))</f>
        <v/>
      </c>
    </row>
    <row r="134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19" t="n"/>
      <c r="K134" s="9" t="n"/>
      <c r="L134" s="9" t="n"/>
      <c r="M134" s="9" t="n"/>
      <c r="N134">
        <f>IF($A134="","",IF(AND($J134&lt;&gt;"",TODAY()-$J134&gt;365),"⚠ review overdue",""))</f>
        <v/>
      </c>
    </row>
    <row r="135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19" t="n"/>
      <c r="K135" s="9" t="n"/>
      <c r="L135" s="9" t="n"/>
      <c r="M135" s="9" t="n"/>
      <c r="N135">
        <f>IF($A135="","",IF(AND($J135&lt;&gt;"",TODAY()-$J135&gt;365),"⚠ review overdue",""))</f>
        <v/>
      </c>
    </row>
    <row r="136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19" t="n"/>
      <c r="K136" s="9" t="n"/>
      <c r="L136" s="9" t="n"/>
      <c r="M136" s="9" t="n"/>
      <c r="N136">
        <f>IF($A136="","",IF(AND($J136&lt;&gt;"",TODAY()-$J136&gt;365),"⚠ review overdue",""))</f>
        <v/>
      </c>
    </row>
    <row r="137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19" t="n"/>
      <c r="K137" s="9" t="n"/>
      <c r="L137" s="9" t="n"/>
      <c r="M137" s="9" t="n"/>
      <c r="N137">
        <f>IF($A137="","",IF(AND($J137&lt;&gt;"",TODAY()-$J137&gt;365),"⚠ review overdue",""))</f>
        <v/>
      </c>
    </row>
    <row r="13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19" t="n"/>
      <c r="K138" s="9" t="n"/>
      <c r="L138" s="9" t="n"/>
      <c r="M138" s="9" t="n"/>
      <c r="N138">
        <f>IF($A138="","",IF(AND($J138&lt;&gt;"",TODAY()-$J138&gt;365),"⚠ review overdue",""))</f>
        <v/>
      </c>
    </row>
    <row r="139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19" t="n"/>
      <c r="K139" s="9" t="n"/>
      <c r="L139" s="9" t="n"/>
      <c r="M139" s="9" t="n"/>
      <c r="N139">
        <f>IF($A139="","",IF(AND($J139&lt;&gt;"",TODAY()-$J139&gt;365),"⚠ review overdue",""))</f>
        <v/>
      </c>
    </row>
    <row r="140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19" t="n"/>
      <c r="K140" s="9" t="n"/>
      <c r="L140" s="9" t="n"/>
      <c r="M140" s="9" t="n"/>
      <c r="N140">
        <f>IF($A140="","",IF(AND($J140&lt;&gt;"",TODAY()-$J140&gt;365),"⚠ review overdue",""))</f>
        <v/>
      </c>
    </row>
    <row r="14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19" t="n"/>
      <c r="K141" s="9" t="n"/>
      <c r="L141" s="9" t="n"/>
      <c r="M141" s="9" t="n"/>
      <c r="N141">
        <f>IF($A141="","",IF(AND($J141&lt;&gt;"",TODAY()-$J141&gt;365),"⚠ review overdue",""))</f>
        <v/>
      </c>
    </row>
    <row r="14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19" t="n"/>
      <c r="K142" s="9" t="n"/>
      <c r="L142" s="9" t="n"/>
      <c r="M142" s="9" t="n"/>
      <c r="N142">
        <f>IF($A142="","",IF(AND($J142&lt;&gt;"",TODAY()-$J142&gt;365),"⚠ review overdue",""))</f>
        <v/>
      </c>
    </row>
    <row r="143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19" t="n"/>
      <c r="K143" s="9" t="n"/>
      <c r="L143" s="9" t="n"/>
      <c r="M143" s="9" t="n"/>
      <c r="N143">
        <f>IF($A143="","",IF(AND($J143&lt;&gt;"",TODAY()-$J143&gt;365),"⚠ review overdue",""))</f>
        <v/>
      </c>
    </row>
    <row r="144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19" t="n"/>
      <c r="K144" s="9" t="n"/>
      <c r="L144" s="9" t="n"/>
      <c r="M144" s="9" t="n"/>
      <c r="N144">
        <f>IF($A144="","",IF(AND($J144&lt;&gt;"",TODAY()-$J144&gt;365),"⚠ review overdue",""))</f>
        <v/>
      </c>
    </row>
    <row r="145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19" t="n"/>
      <c r="K145" s="9" t="n"/>
      <c r="L145" s="9" t="n"/>
      <c r="M145" s="9" t="n"/>
      <c r="N145">
        <f>IF($A145="","",IF(AND($J145&lt;&gt;"",TODAY()-$J145&gt;365),"⚠ review overdue",""))</f>
        <v/>
      </c>
    </row>
    <row r="146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19" t="n"/>
      <c r="K146" s="9" t="n"/>
      <c r="L146" s="9" t="n"/>
      <c r="M146" s="9" t="n"/>
      <c r="N146">
        <f>IF($A146="","",IF(AND($J146&lt;&gt;"",TODAY()-$J146&gt;365),"⚠ review overdue",""))</f>
        <v/>
      </c>
    </row>
    <row r="147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19" t="n"/>
      <c r="K147" s="9" t="n"/>
      <c r="L147" s="9" t="n"/>
      <c r="M147" s="9" t="n"/>
      <c r="N147">
        <f>IF($A147="","",IF(AND($J147&lt;&gt;"",TODAY()-$J147&gt;365),"⚠ review overdue",""))</f>
        <v/>
      </c>
    </row>
    <row r="14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19" t="n"/>
      <c r="K148" s="9" t="n"/>
      <c r="L148" s="9" t="n"/>
      <c r="M148" s="9" t="n"/>
      <c r="N148">
        <f>IF($A148="","",IF(AND($J148&lt;&gt;"",TODAY()-$J148&gt;365),"⚠ review overdue",""))</f>
        <v/>
      </c>
    </row>
    <row r="149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19" t="n"/>
      <c r="K149" s="9" t="n"/>
      <c r="L149" s="9" t="n"/>
      <c r="M149" s="9" t="n"/>
      <c r="N149">
        <f>IF($A149="","",IF(AND($J149&lt;&gt;"",TODAY()-$J149&gt;365),"⚠ review overdue",""))</f>
        <v/>
      </c>
    </row>
    <row r="150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19" t="n"/>
      <c r="K150" s="9" t="n"/>
      <c r="L150" s="9" t="n"/>
      <c r="M150" s="9" t="n"/>
      <c r="N150">
        <f>IF($A150="","",IF(AND($J150&lt;&gt;"",TODAY()-$J150&gt;365),"⚠ review overdue",""))</f>
        <v/>
      </c>
    </row>
    <row r="15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19" t="n"/>
      <c r="K151" s="9" t="n"/>
      <c r="L151" s="9" t="n"/>
      <c r="M151" s="9" t="n"/>
      <c r="N151">
        <f>IF($A151="","",IF(AND($J151&lt;&gt;"",TODAY()-$J151&gt;365),"⚠ review overdue",""))</f>
        <v/>
      </c>
    </row>
    <row r="15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19" t="n"/>
      <c r="K152" s="9" t="n"/>
      <c r="L152" s="9" t="n"/>
      <c r="M152" s="9" t="n"/>
      <c r="N152">
        <f>IF($A152="","",IF(AND($J152&lt;&gt;"",TODAY()-$J152&gt;365),"⚠ review overdue",""))</f>
        <v/>
      </c>
    </row>
    <row r="153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19" t="n"/>
      <c r="K153" s="9" t="n"/>
      <c r="L153" s="9" t="n"/>
      <c r="M153" s="9" t="n"/>
      <c r="N153">
        <f>IF($A153="","",IF(AND($J153&lt;&gt;"",TODAY()-$J153&gt;365),"⚠ review overdue",""))</f>
        <v/>
      </c>
    </row>
    <row r="154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19" t="n"/>
      <c r="K154" s="9" t="n"/>
      <c r="L154" s="9" t="n"/>
      <c r="M154" s="9" t="n"/>
      <c r="N154">
        <f>IF($A154="","",IF(AND($J154&lt;&gt;"",TODAY()-$J154&gt;365),"⚠ review overdue",""))</f>
        <v/>
      </c>
    </row>
    <row r="155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19" t="n"/>
      <c r="K155" s="9" t="n"/>
      <c r="L155" s="9" t="n"/>
      <c r="M155" s="9" t="n"/>
      <c r="N155">
        <f>IF($A155="","",IF(AND($J155&lt;&gt;"",TODAY()-$J155&gt;365),"⚠ review overdue",""))</f>
        <v/>
      </c>
    </row>
    <row r="156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19" t="n"/>
      <c r="K156" s="9" t="n"/>
      <c r="L156" s="9" t="n"/>
      <c r="M156" s="9" t="n"/>
      <c r="N156">
        <f>IF($A156="","",IF(AND($J156&lt;&gt;"",TODAY()-$J156&gt;365),"⚠ review overdue",""))</f>
        <v/>
      </c>
    </row>
    <row r="157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19" t="n"/>
      <c r="K157" s="9" t="n"/>
      <c r="L157" s="9" t="n"/>
      <c r="M157" s="9" t="n"/>
      <c r="N157">
        <f>IF($A157="","",IF(AND($J157&lt;&gt;"",TODAY()-$J157&gt;365),"⚠ review overdue",""))</f>
        <v/>
      </c>
    </row>
    <row r="15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19" t="n"/>
      <c r="K158" s="9" t="n"/>
      <c r="L158" s="9" t="n"/>
      <c r="M158" s="9" t="n"/>
      <c r="N158">
        <f>IF($A158="","",IF(AND($J158&lt;&gt;"",TODAY()-$J158&gt;365),"⚠ review overdue",""))</f>
        <v/>
      </c>
    </row>
    <row r="159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19" t="n"/>
      <c r="K159" s="9" t="n"/>
      <c r="L159" s="9" t="n"/>
      <c r="M159" s="9" t="n"/>
      <c r="N159">
        <f>IF($A159="","",IF(AND($J159&lt;&gt;"",TODAY()-$J159&gt;365),"⚠ review overdue",""))</f>
        <v/>
      </c>
    </row>
    <row r="160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19" t="n"/>
      <c r="K160" s="9" t="n"/>
      <c r="L160" s="9" t="n"/>
      <c r="M160" s="9" t="n"/>
      <c r="N160">
        <f>IF($A160="","",IF(AND($J160&lt;&gt;"",TODAY()-$J160&gt;365),"⚠ review overdue",""))</f>
        <v/>
      </c>
    </row>
    <row r="16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19" t="n"/>
      <c r="K161" s="9" t="n"/>
      <c r="L161" s="9" t="n"/>
      <c r="M161" s="9" t="n"/>
      <c r="N161">
        <f>IF($A161="","",IF(AND($J161&lt;&gt;"",TODAY()-$J161&gt;365),"⚠ review overdue",""))</f>
        <v/>
      </c>
    </row>
    <row r="16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19" t="n"/>
      <c r="K162" s="9" t="n"/>
      <c r="L162" s="9" t="n"/>
      <c r="M162" s="9" t="n"/>
      <c r="N162">
        <f>IF($A162="","",IF(AND($J162&lt;&gt;"",TODAY()-$J162&gt;365),"⚠ review overdue",""))</f>
        <v/>
      </c>
    </row>
    <row r="163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19" t="n"/>
      <c r="K163" s="9" t="n"/>
      <c r="L163" s="9" t="n"/>
      <c r="M163" s="9" t="n"/>
      <c r="N163">
        <f>IF($A163="","",IF(AND($J163&lt;&gt;"",TODAY()-$J163&gt;365),"⚠ review overdue",""))</f>
        <v/>
      </c>
    </row>
    <row r="164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19" t="n"/>
      <c r="K164" s="9" t="n"/>
      <c r="L164" s="9" t="n"/>
      <c r="M164" s="9" t="n"/>
      <c r="N164">
        <f>IF($A164="","",IF(AND($J164&lt;&gt;"",TODAY()-$J164&gt;365),"⚠ review overdue",""))</f>
        <v/>
      </c>
    </row>
    <row r="165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19" t="n"/>
      <c r="K165" s="9" t="n"/>
      <c r="L165" s="9" t="n"/>
      <c r="M165" s="9" t="n"/>
      <c r="N165">
        <f>IF($A165="","",IF(AND($J165&lt;&gt;"",TODAY()-$J165&gt;365),"⚠ review overdue",""))</f>
        <v/>
      </c>
    </row>
    <row r="166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19" t="n"/>
      <c r="K166" s="9" t="n"/>
      <c r="L166" s="9" t="n"/>
      <c r="M166" s="9" t="n"/>
      <c r="N166">
        <f>IF($A166="","",IF(AND($J166&lt;&gt;"",TODAY()-$J166&gt;365),"⚠ review overdue",""))</f>
        <v/>
      </c>
    </row>
    <row r="167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19" t="n"/>
      <c r="K167" s="9" t="n"/>
      <c r="L167" s="9" t="n"/>
      <c r="M167" s="9" t="n"/>
      <c r="N167">
        <f>IF($A167="","",IF(AND($J167&lt;&gt;"",TODAY()-$J167&gt;365),"⚠ review overdue",""))</f>
        <v/>
      </c>
    </row>
    <row r="16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19" t="n"/>
      <c r="K168" s="9" t="n"/>
      <c r="L168" s="9" t="n"/>
      <c r="M168" s="9" t="n"/>
      <c r="N168">
        <f>IF($A168="","",IF(AND($J168&lt;&gt;"",TODAY()-$J168&gt;365),"⚠ review overdue",""))</f>
        <v/>
      </c>
    </row>
    <row r="169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19" t="n"/>
      <c r="K169" s="9" t="n"/>
      <c r="L169" s="9" t="n"/>
      <c r="M169" s="9" t="n"/>
      <c r="N169">
        <f>IF($A169="","",IF(AND($J169&lt;&gt;"",TODAY()-$J169&gt;365),"⚠ review overdue",""))</f>
        <v/>
      </c>
    </row>
    <row r="170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19" t="n"/>
      <c r="K170" s="9" t="n"/>
      <c r="L170" s="9" t="n"/>
      <c r="M170" s="9" t="n"/>
      <c r="N170">
        <f>IF($A170="","",IF(AND($J170&lt;&gt;"",TODAY()-$J170&gt;365),"⚠ review overdue",""))</f>
        <v/>
      </c>
    </row>
    <row r="17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19" t="n"/>
      <c r="K171" s="9" t="n"/>
      <c r="L171" s="9" t="n"/>
      <c r="M171" s="9" t="n"/>
      <c r="N171">
        <f>IF($A171="","",IF(AND($J171&lt;&gt;"",TODAY()-$J171&gt;365),"⚠ review overdue",""))</f>
        <v/>
      </c>
    </row>
    <row r="17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19" t="n"/>
      <c r="K172" s="9" t="n"/>
      <c r="L172" s="9" t="n"/>
      <c r="M172" s="9" t="n"/>
      <c r="N172">
        <f>IF($A172="","",IF(AND($J172&lt;&gt;"",TODAY()-$J172&gt;365),"⚠ review overdue",""))</f>
        <v/>
      </c>
    </row>
    <row r="173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19" t="n"/>
      <c r="K173" s="9" t="n"/>
      <c r="L173" s="9" t="n"/>
      <c r="M173" s="9" t="n"/>
      <c r="N173">
        <f>IF($A173="","",IF(AND($J173&lt;&gt;"",TODAY()-$J173&gt;365),"⚠ review overdue",""))</f>
        <v/>
      </c>
    </row>
    <row r="174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19" t="n"/>
      <c r="K174" s="9" t="n"/>
      <c r="L174" s="9" t="n"/>
      <c r="M174" s="9" t="n"/>
      <c r="N174">
        <f>IF($A174="","",IF(AND($J174&lt;&gt;"",TODAY()-$J174&gt;365),"⚠ review overdue",""))</f>
        <v/>
      </c>
    </row>
    <row r="175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19" t="n"/>
      <c r="K175" s="9" t="n"/>
      <c r="L175" s="9" t="n"/>
      <c r="M175" s="9" t="n"/>
      <c r="N175">
        <f>IF($A175="","",IF(AND($J175&lt;&gt;"",TODAY()-$J175&gt;365),"⚠ review overdue",""))</f>
        <v/>
      </c>
    </row>
    <row r="176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19" t="n"/>
      <c r="K176" s="9" t="n"/>
      <c r="L176" s="9" t="n"/>
      <c r="M176" s="9" t="n"/>
      <c r="N176">
        <f>IF($A176="","",IF(AND($J176&lt;&gt;"",TODAY()-$J176&gt;365),"⚠ review overdue",""))</f>
        <v/>
      </c>
    </row>
    <row r="177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19" t="n"/>
      <c r="K177" s="9" t="n"/>
      <c r="L177" s="9" t="n"/>
      <c r="M177" s="9" t="n"/>
      <c r="N177">
        <f>IF($A177="","",IF(AND($J177&lt;&gt;"",TODAY()-$J177&gt;365),"⚠ review overdue",""))</f>
        <v/>
      </c>
    </row>
    <row r="1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19" t="n"/>
      <c r="K178" s="9" t="n"/>
      <c r="L178" s="9" t="n"/>
      <c r="M178" s="9" t="n"/>
      <c r="N178">
        <f>IF($A178="","",IF(AND($J178&lt;&gt;"",TODAY()-$J178&gt;365),"⚠ review overdue",""))</f>
        <v/>
      </c>
    </row>
    <row r="179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19" t="n"/>
      <c r="K179" s="9" t="n"/>
      <c r="L179" s="9" t="n"/>
      <c r="M179" s="9" t="n"/>
      <c r="N179">
        <f>IF($A179="","",IF(AND($J179&lt;&gt;"",TODAY()-$J179&gt;365),"⚠ review overdue",""))</f>
        <v/>
      </c>
    </row>
    <row r="180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19" t="n"/>
      <c r="K180" s="9" t="n"/>
      <c r="L180" s="9" t="n"/>
      <c r="M180" s="9" t="n"/>
      <c r="N180">
        <f>IF($A180="","",IF(AND($J180&lt;&gt;"",TODAY()-$J180&gt;365),"⚠ review overdue",""))</f>
        <v/>
      </c>
    </row>
    <row r="18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19" t="n"/>
      <c r="K181" s="9" t="n"/>
      <c r="L181" s="9" t="n"/>
      <c r="M181" s="9" t="n"/>
      <c r="N181">
        <f>IF($A181="","",IF(AND($J181&lt;&gt;"",TODAY()-$J181&gt;365),"⚠ review overdue",""))</f>
        <v/>
      </c>
    </row>
    <row r="18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19" t="n"/>
      <c r="K182" s="9" t="n"/>
      <c r="L182" s="9" t="n"/>
      <c r="M182" s="9" t="n"/>
      <c r="N182">
        <f>IF($A182="","",IF(AND($J182&lt;&gt;"",TODAY()-$J182&gt;365),"⚠ review overdue",""))</f>
        <v/>
      </c>
    </row>
    <row r="183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19" t="n"/>
      <c r="K183" s="9" t="n"/>
      <c r="L183" s="9" t="n"/>
      <c r="M183" s="9" t="n"/>
      <c r="N183">
        <f>IF($A183="","",IF(AND($J183&lt;&gt;"",TODAY()-$J183&gt;365),"⚠ review overdue",""))</f>
        <v/>
      </c>
    </row>
    <row r="184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19" t="n"/>
      <c r="K184" s="9" t="n"/>
      <c r="L184" s="9" t="n"/>
      <c r="M184" s="9" t="n"/>
      <c r="N184">
        <f>IF($A184="","",IF(AND($J184&lt;&gt;"",TODAY()-$J184&gt;365),"⚠ review overdue",""))</f>
        <v/>
      </c>
    </row>
    <row r="185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19" t="n"/>
      <c r="K185" s="9" t="n"/>
      <c r="L185" s="9" t="n"/>
      <c r="M185" s="9" t="n"/>
      <c r="N185">
        <f>IF($A185="","",IF(AND($J185&lt;&gt;"",TODAY()-$J185&gt;365),"⚠ review overdue",""))</f>
        <v/>
      </c>
    </row>
    <row r="186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19" t="n"/>
      <c r="K186" s="9" t="n"/>
      <c r="L186" s="9" t="n"/>
      <c r="M186" s="9" t="n"/>
      <c r="N186">
        <f>IF($A186="","",IF(AND($J186&lt;&gt;"",TODAY()-$J186&gt;365),"⚠ review overdue",""))</f>
        <v/>
      </c>
    </row>
    <row r="187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19" t="n"/>
      <c r="K187" s="9" t="n"/>
      <c r="L187" s="9" t="n"/>
      <c r="M187" s="9" t="n"/>
      <c r="N187">
        <f>IF($A187="","",IF(AND($J187&lt;&gt;"",TODAY()-$J187&gt;365),"⚠ review overdue",""))</f>
        <v/>
      </c>
    </row>
    <row r="18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19" t="n"/>
      <c r="K188" s="9" t="n"/>
      <c r="L188" s="9" t="n"/>
      <c r="M188" s="9" t="n"/>
      <c r="N188">
        <f>IF($A188="","",IF(AND($J188&lt;&gt;"",TODAY()-$J188&gt;365),"⚠ review overdue",""))</f>
        <v/>
      </c>
    </row>
    <row r="189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19" t="n"/>
      <c r="K189" s="9" t="n"/>
      <c r="L189" s="9" t="n"/>
      <c r="M189" s="9" t="n"/>
      <c r="N189">
        <f>IF($A189="","",IF(AND($J189&lt;&gt;"",TODAY()-$J189&gt;365),"⚠ review overdue",""))</f>
        <v/>
      </c>
    </row>
    <row r="190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19" t="n"/>
      <c r="K190" s="9" t="n"/>
      <c r="L190" s="9" t="n"/>
      <c r="M190" s="9" t="n"/>
      <c r="N190">
        <f>IF($A190="","",IF(AND($J190&lt;&gt;"",TODAY()-$J190&gt;365),"⚠ review overdue",""))</f>
        <v/>
      </c>
    </row>
    <row r="1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19" t="n"/>
      <c r="K191" s="9" t="n"/>
      <c r="L191" s="9" t="n"/>
      <c r="M191" s="9" t="n"/>
      <c r="N191">
        <f>IF($A191="","",IF(AND($J191&lt;&gt;"",TODAY()-$J191&gt;365),"⚠ review overdue",""))</f>
        <v/>
      </c>
    </row>
    <row r="19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19" t="n"/>
      <c r="K192" s="9" t="n"/>
      <c r="L192" s="9" t="n"/>
      <c r="M192" s="9" t="n"/>
      <c r="N192">
        <f>IF($A192="","",IF(AND($J192&lt;&gt;"",TODAY()-$J192&gt;365),"⚠ review overdue",""))</f>
        <v/>
      </c>
    </row>
    <row r="193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19" t="n"/>
      <c r="K193" s="9" t="n"/>
      <c r="L193" s="9" t="n"/>
      <c r="M193" s="9" t="n"/>
      <c r="N193">
        <f>IF($A193="","",IF(AND($J193&lt;&gt;"",TODAY()-$J193&gt;365),"⚠ review overdue",""))</f>
        <v/>
      </c>
    </row>
    <row r="194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19" t="n"/>
      <c r="K194" s="9" t="n"/>
      <c r="L194" s="9" t="n"/>
      <c r="M194" s="9" t="n"/>
      <c r="N194">
        <f>IF($A194="","",IF(AND($J194&lt;&gt;"",TODAY()-$J194&gt;365),"⚠ review overdue",""))</f>
        <v/>
      </c>
    </row>
    <row r="195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19" t="n"/>
      <c r="K195" s="9" t="n"/>
      <c r="L195" s="9" t="n"/>
      <c r="M195" s="9" t="n"/>
      <c r="N195">
        <f>IF($A195="","",IF(AND($J195&lt;&gt;"",TODAY()-$J195&gt;365),"⚠ review overdue",""))</f>
        <v/>
      </c>
    </row>
    <row r="196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19" t="n"/>
      <c r="K196" s="9" t="n"/>
      <c r="L196" s="9" t="n"/>
      <c r="M196" s="9" t="n"/>
      <c r="N196">
        <f>IF($A196="","",IF(AND($J196&lt;&gt;"",TODAY()-$J196&gt;365),"⚠ review overdue",""))</f>
        <v/>
      </c>
    </row>
    <row r="197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19" t="n"/>
      <c r="K197" s="9" t="n"/>
      <c r="L197" s="9" t="n"/>
      <c r="M197" s="9" t="n"/>
      <c r="N197">
        <f>IF($A197="","",IF(AND($J197&lt;&gt;"",TODAY()-$J197&gt;365),"⚠ review overdue",""))</f>
        <v/>
      </c>
    </row>
    <row r="19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19" t="n"/>
      <c r="K198" s="9" t="n"/>
      <c r="L198" s="9" t="n"/>
      <c r="M198" s="9" t="n"/>
      <c r="N198">
        <f>IF($A198="","",IF(AND($J198&lt;&gt;"",TODAY()-$J198&gt;365),"⚠ review overdue",""))</f>
        <v/>
      </c>
    </row>
    <row r="199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19" t="n"/>
      <c r="K199" s="9" t="n"/>
      <c r="L199" s="9" t="n"/>
      <c r="M199" s="9" t="n"/>
      <c r="N199">
        <f>IF($A199="","",IF(AND($J199&lt;&gt;"",TODAY()-$J199&gt;365),"⚠ review overdue",""))</f>
        <v/>
      </c>
    </row>
    <row r="200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19" t="n"/>
      <c r="K200" s="9" t="n"/>
      <c r="L200" s="9" t="n"/>
      <c r="M200" s="9" t="n"/>
      <c r="N200">
        <f>IF($A200="","",IF(AND($J200&lt;&gt;"",TODAY()-$J200&gt;365),"⚠ review overdue",""))</f>
        <v/>
      </c>
    </row>
    <row r="20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19" t="n"/>
      <c r="K201" s="9" t="n"/>
      <c r="L201" s="9" t="n"/>
      <c r="M201" s="9" t="n"/>
      <c r="N201">
        <f>IF($A201="","",IF(AND($J201&lt;&gt;"",TODAY()-$J201&gt;365),"⚠ review overdue",""))</f>
        <v/>
      </c>
    </row>
    <row r="20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19" t="n"/>
      <c r="K202" s="9" t="n"/>
      <c r="L202" s="9" t="n"/>
      <c r="M202" s="9" t="n"/>
      <c r="N202">
        <f>IF($A202="","",IF(AND($J202&lt;&gt;"",TODAY()-$J202&gt;365),"⚠ review overdue",""))</f>
        <v/>
      </c>
    </row>
    <row r="203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19" t="n"/>
      <c r="K203" s="9" t="n"/>
      <c r="L203" s="9" t="n"/>
      <c r="M203" s="9" t="n"/>
      <c r="N203">
        <f>IF($A203="","",IF(AND($J203&lt;&gt;"",TODAY()-$J203&gt;365),"⚠ review overdue",""))</f>
        <v/>
      </c>
    </row>
    <row r="204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19" t="n"/>
      <c r="K204" s="9" t="n"/>
      <c r="L204" s="9" t="n"/>
      <c r="M204" s="9" t="n"/>
      <c r="N204">
        <f>IF($A204="","",IF(AND($J204&lt;&gt;"",TODAY()-$J204&gt;365),"⚠ review overdue",""))</f>
        <v/>
      </c>
    </row>
    <row r="205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19" t="n"/>
      <c r="K205" s="9" t="n"/>
      <c r="L205" s="9" t="n"/>
      <c r="M205" s="9" t="n"/>
      <c r="N205">
        <f>IF($A205="","",IF(AND($J205&lt;&gt;"",TODAY()-$J205&gt;365),"⚠ review overdue",""))</f>
        <v/>
      </c>
    </row>
    <row r="206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19" t="n"/>
      <c r="K206" s="9" t="n"/>
      <c r="L206" s="9" t="n"/>
      <c r="M206" s="9" t="n"/>
      <c r="N206">
        <f>IF($A206="","",IF(AND($J206&lt;&gt;"",TODAY()-$J206&gt;365),"⚠ review overdue",""))</f>
        <v/>
      </c>
    </row>
    <row r="207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19" t="n"/>
      <c r="K207" s="9" t="n"/>
      <c r="L207" s="9" t="n"/>
      <c r="M207" s="9" t="n"/>
      <c r="N207">
        <f>IF($A207="","",IF(AND($J207&lt;&gt;"",TODAY()-$J207&gt;365),"⚠ review overdue",""))</f>
        <v/>
      </c>
    </row>
    <row r="208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19" t="n"/>
      <c r="K208" s="9" t="n"/>
      <c r="L208" s="9" t="n"/>
      <c r="M208" s="9" t="n"/>
      <c r="N208">
        <f>IF($A208="","",IF(AND($J208&lt;&gt;"",TODAY()-$J208&gt;365),"⚠ review overdue",""))</f>
        <v/>
      </c>
    </row>
    <row r="209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19" t="n"/>
      <c r="K209" s="9" t="n"/>
      <c r="L209" s="9" t="n"/>
      <c r="M209" s="9" t="n"/>
      <c r="N209">
        <f>IF($A209="","",IF(AND($J209&lt;&gt;"",TODAY()-$J209&gt;365),"⚠ review overdue",""))</f>
        <v/>
      </c>
    </row>
    <row r="210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19" t="n"/>
      <c r="K210" s="9" t="n"/>
      <c r="L210" s="9" t="n"/>
      <c r="M210" s="9" t="n"/>
      <c r="N210">
        <f>IF($A210="","",IF(AND($J210&lt;&gt;"",TODAY()-$J210&gt;365),"⚠ review overdue",""))</f>
        <v/>
      </c>
    </row>
    <row r="21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19" t="n"/>
      <c r="K211" s="9" t="n"/>
      <c r="L211" s="9" t="n"/>
      <c r="M211" s="9" t="n"/>
      <c r="N211">
        <f>IF($A211="","",IF(AND($J211&lt;&gt;"",TODAY()-$J211&gt;365),"⚠ review overdue",""))</f>
        <v/>
      </c>
    </row>
    <row r="21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19" t="n"/>
      <c r="K212" s="9" t="n"/>
      <c r="L212" s="9" t="n"/>
      <c r="M212" s="9" t="n"/>
      <c r="N212">
        <f>IF($A212="","",IF(AND($J212&lt;&gt;"",TODAY()-$J212&gt;365),"⚠ review overdue",""))</f>
        <v/>
      </c>
    </row>
    <row r="213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19" t="n"/>
      <c r="K213" s="9" t="n"/>
      <c r="L213" s="9" t="n"/>
      <c r="M213" s="9" t="n"/>
      <c r="N213">
        <f>IF($A213="","",IF(AND($J213&lt;&gt;"",TODAY()-$J213&gt;365),"⚠ review overdue",""))</f>
        <v/>
      </c>
    </row>
    <row r="214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19" t="n"/>
      <c r="K214" s="9" t="n"/>
      <c r="L214" s="9" t="n"/>
      <c r="M214" s="9" t="n"/>
      <c r="N214">
        <f>IF($A214="","",IF(AND($J214&lt;&gt;"",TODAY()-$J214&gt;365),"⚠ review overdue",""))</f>
        <v/>
      </c>
    </row>
    <row r="215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19" t="n"/>
      <c r="K215" s="9" t="n"/>
      <c r="L215" s="9" t="n"/>
      <c r="M215" s="9" t="n"/>
      <c r="N215">
        <f>IF($A215="","",IF(AND($J215&lt;&gt;"",TODAY()-$J215&gt;365),"⚠ review overdue",""))</f>
        <v/>
      </c>
    </row>
    <row r="216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19" t="n"/>
      <c r="K216" s="9" t="n"/>
      <c r="L216" s="9" t="n"/>
      <c r="M216" s="9" t="n"/>
      <c r="N216">
        <f>IF($A216="","",IF(AND($J216&lt;&gt;"",TODAY()-$J216&gt;365),"⚠ review overdue",""))</f>
        <v/>
      </c>
    </row>
    <row r="217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19" t="n"/>
      <c r="K217" s="9" t="n"/>
      <c r="L217" s="9" t="n"/>
      <c r="M217" s="9" t="n"/>
      <c r="N217">
        <f>IF($A217="","",IF(AND($J217&lt;&gt;"",TODAY()-$J217&gt;365),"⚠ review overdue",""))</f>
        <v/>
      </c>
    </row>
    <row r="218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19" t="n"/>
      <c r="K218" s="9" t="n"/>
      <c r="L218" s="9" t="n"/>
      <c r="M218" s="9" t="n"/>
      <c r="N218">
        <f>IF($A218="","",IF(AND($J218&lt;&gt;"",TODAY()-$J218&gt;365),"⚠ review overdue",""))</f>
        <v/>
      </c>
    </row>
    <row r="219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19" t="n"/>
      <c r="K219" s="9" t="n"/>
      <c r="L219" s="9" t="n"/>
      <c r="M219" s="9" t="n"/>
      <c r="N219">
        <f>IF($A219="","",IF(AND($J219&lt;&gt;"",TODAY()-$J219&gt;365),"⚠ review overdue",""))</f>
        <v/>
      </c>
    </row>
    <row r="220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19" t="n"/>
      <c r="K220" s="9" t="n"/>
      <c r="L220" s="9" t="n"/>
      <c r="M220" s="9" t="n"/>
      <c r="N220">
        <f>IF($A220="","",IF(AND($J220&lt;&gt;"",TODAY()-$J220&gt;365),"⚠ review overdue",""))</f>
        <v/>
      </c>
    </row>
    <row r="221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19" t="n"/>
      <c r="K221" s="9" t="n"/>
      <c r="L221" s="9" t="n"/>
      <c r="M221" s="9" t="n"/>
      <c r="N221">
        <f>IF($A221="","",IF(AND($J221&lt;&gt;"",TODAY()-$J221&gt;365),"⚠ review overdue",""))</f>
        <v/>
      </c>
    </row>
    <row r="22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19" t="n"/>
      <c r="K222" s="9" t="n"/>
      <c r="L222" s="9" t="n"/>
      <c r="M222" s="9" t="n"/>
      <c r="N222">
        <f>IF($A222="","",IF(AND($J222&lt;&gt;"",TODAY()-$J222&gt;365),"⚠ review overdue",""))</f>
        <v/>
      </c>
    </row>
    <row r="223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19" t="n"/>
      <c r="K223" s="9" t="n"/>
      <c r="L223" s="9" t="n"/>
      <c r="M223" s="9" t="n"/>
      <c r="N223">
        <f>IF($A223="","",IF(AND($J223&lt;&gt;"",TODAY()-$J223&gt;365),"⚠ review overdue",""))</f>
        <v/>
      </c>
    </row>
    <row r="224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19" t="n"/>
      <c r="K224" s="9" t="n"/>
      <c r="L224" s="9" t="n"/>
      <c r="M224" s="9" t="n"/>
      <c r="N224">
        <f>IF($A224="","",IF(AND($J224&lt;&gt;"",TODAY()-$J224&gt;365),"⚠ review overdue",""))</f>
        <v/>
      </c>
    </row>
    <row r="225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19" t="n"/>
      <c r="K225" s="9" t="n"/>
      <c r="L225" s="9" t="n"/>
      <c r="M225" s="9" t="n"/>
      <c r="N225">
        <f>IF($A225="","",IF(AND($J225&lt;&gt;"",TODAY()-$J225&gt;365),"⚠ review overdue",""))</f>
        <v/>
      </c>
    </row>
    <row r="226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19" t="n"/>
      <c r="K226" s="9" t="n"/>
      <c r="L226" s="9" t="n"/>
      <c r="M226" s="9" t="n"/>
      <c r="N226">
        <f>IF($A226="","",IF(AND($J226&lt;&gt;"",TODAY()-$J226&gt;365),"⚠ review overdue",""))</f>
        <v/>
      </c>
    </row>
    <row r="227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19" t="n"/>
      <c r="K227" s="9" t="n"/>
      <c r="L227" s="9" t="n"/>
      <c r="M227" s="9" t="n"/>
      <c r="N227">
        <f>IF($A227="","",IF(AND($J227&lt;&gt;"",TODAY()-$J227&gt;365),"⚠ review overdue",""))</f>
        <v/>
      </c>
    </row>
    <row r="228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19" t="n"/>
      <c r="K228" s="9" t="n"/>
      <c r="L228" s="9" t="n"/>
      <c r="M228" s="9" t="n"/>
      <c r="N228">
        <f>IF($A228="","",IF(AND($J228&lt;&gt;"",TODAY()-$J228&gt;365),"⚠ review overdue",""))</f>
        <v/>
      </c>
    </row>
    <row r="229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19" t="n"/>
      <c r="K229" s="9" t="n"/>
      <c r="L229" s="9" t="n"/>
      <c r="M229" s="9" t="n"/>
      <c r="N229">
        <f>IF($A229="","",IF(AND($J229&lt;&gt;"",TODAY()-$J229&gt;365),"⚠ review overdue",""))</f>
        <v/>
      </c>
    </row>
    <row r="230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19" t="n"/>
      <c r="K230" s="9" t="n"/>
      <c r="L230" s="9" t="n"/>
      <c r="M230" s="9" t="n"/>
      <c r="N230">
        <f>IF($A230="","",IF(AND($J230&lt;&gt;"",TODAY()-$J230&gt;365),"⚠ review overdue",""))</f>
        <v/>
      </c>
    </row>
    <row r="23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19" t="n"/>
      <c r="K231" s="9" t="n"/>
      <c r="L231" s="9" t="n"/>
      <c r="M231" s="9" t="n"/>
      <c r="N231">
        <f>IF($A231="","",IF(AND($J231&lt;&gt;"",TODAY()-$J231&gt;365),"⚠ review overdue",""))</f>
        <v/>
      </c>
    </row>
    <row r="2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19" t="n"/>
      <c r="K232" s="9" t="n"/>
      <c r="L232" s="9" t="n"/>
      <c r="M232" s="9" t="n"/>
      <c r="N232">
        <f>IF($A232="","",IF(AND($J232&lt;&gt;"",TODAY()-$J232&gt;365),"⚠ review overdue",""))</f>
        <v/>
      </c>
    </row>
    <row r="233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19" t="n"/>
      <c r="K233" s="9" t="n"/>
      <c r="L233" s="9" t="n"/>
      <c r="M233" s="9" t="n"/>
      <c r="N233">
        <f>IF($A233="","",IF(AND($J233&lt;&gt;"",TODAY()-$J233&gt;365),"⚠ review overdue",""))</f>
        <v/>
      </c>
    </row>
    <row r="234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19" t="n"/>
      <c r="K234" s="9" t="n"/>
      <c r="L234" s="9" t="n"/>
      <c r="M234" s="9" t="n"/>
      <c r="N234">
        <f>IF($A234="","",IF(AND($J234&lt;&gt;"",TODAY()-$J234&gt;365),"⚠ review overdue",""))</f>
        <v/>
      </c>
    </row>
    <row r="235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19" t="n"/>
      <c r="K235" s="9" t="n"/>
      <c r="L235" s="9" t="n"/>
      <c r="M235" s="9" t="n"/>
      <c r="N235">
        <f>IF($A235="","",IF(AND($J235&lt;&gt;"",TODAY()-$J235&gt;365),"⚠ review overdue",""))</f>
        <v/>
      </c>
    </row>
    <row r="236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19" t="n"/>
      <c r="K236" s="9" t="n"/>
      <c r="L236" s="9" t="n"/>
      <c r="M236" s="9" t="n"/>
      <c r="N236">
        <f>IF($A236="","",IF(AND($J236&lt;&gt;"",TODAY()-$J236&gt;365),"⚠ review overdue",""))</f>
        <v/>
      </c>
    </row>
    <row r="237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19" t="n"/>
      <c r="K237" s="9" t="n"/>
      <c r="L237" s="9" t="n"/>
      <c r="M237" s="9" t="n"/>
      <c r="N237">
        <f>IF($A237="","",IF(AND($J237&lt;&gt;"",TODAY()-$J237&gt;365),"⚠ review overdue",""))</f>
        <v/>
      </c>
    </row>
    <row r="238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19" t="n"/>
      <c r="K238" s="9" t="n"/>
      <c r="L238" s="9" t="n"/>
      <c r="M238" s="9" t="n"/>
      <c r="N238">
        <f>IF($A238="","",IF(AND($J238&lt;&gt;"",TODAY()-$J238&gt;365),"⚠ review overdue",""))</f>
        <v/>
      </c>
    </row>
    <row r="239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19" t="n"/>
      <c r="K239" s="9" t="n"/>
      <c r="L239" s="9" t="n"/>
      <c r="M239" s="9" t="n"/>
      <c r="N239">
        <f>IF($A239="","",IF(AND($J239&lt;&gt;"",TODAY()-$J239&gt;365),"⚠ review overdue",""))</f>
        <v/>
      </c>
    </row>
    <row r="240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19" t="n"/>
      <c r="K240" s="9" t="n"/>
      <c r="L240" s="9" t="n"/>
      <c r="M240" s="9" t="n"/>
      <c r="N240">
        <f>IF($A240="","",IF(AND($J240&lt;&gt;"",TODAY()-$J240&gt;365),"⚠ review overdue",""))</f>
        <v/>
      </c>
    </row>
    <row r="241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19" t="n"/>
      <c r="K241" s="9" t="n"/>
      <c r="L241" s="9" t="n"/>
      <c r="M241" s="9" t="n"/>
      <c r="N241">
        <f>IF($A241="","",IF(AND($J241&lt;&gt;"",TODAY()-$J241&gt;365),"⚠ review overdue",""))</f>
        <v/>
      </c>
    </row>
    <row r="24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19" t="n"/>
      <c r="K242" s="9" t="n"/>
      <c r="L242" s="9" t="n"/>
      <c r="M242" s="9" t="n"/>
      <c r="N242">
        <f>IF($A242="","",IF(AND($J242&lt;&gt;"",TODAY()-$J242&gt;365),"⚠ review overdue",""))</f>
        <v/>
      </c>
    </row>
    <row r="243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19" t="n"/>
      <c r="K243" s="9" t="n"/>
      <c r="L243" s="9" t="n"/>
      <c r="M243" s="9" t="n"/>
      <c r="N243">
        <f>IF($A243="","",IF(AND($J243&lt;&gt;"",TODAY()-$J243&gt;365),"⚠ review overdue",""))</f>
        <v/>
      </c>
    </row>
    <row r="244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19" t="n"/>
      <c r="K244" s="9" t="n"/>
      <c r="L244" s="9" t="n"/>
      <c r="M244" s="9" t="n"/>
      <c r="N244">
        <f>IF($A244="","",IF(AND($J244&lt;&gt;"",TODAY()-$J244&gt;365),"⚠ review overdue",""))</f>
        <v/>
      </c>
    </row>
    <row r="245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19" t="n"/>
      <c r="K245" s="9" t="n"/>
      <c r="L245" s="9" t="n"/>
      <c r="M245" s="9" t="n"/>
      <c r="N245">
        <f>IF($A245="","",IF(AND($J245&lt;&gt;"",TODAY()-$J245&gt;365),"⚠ review overdue",""))</f>
        <v/>
      </c>
    </row>
    <row r="246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19" t="n"/>
      <c r="K246" s="9" t="n"/>
      <c r="L246" s="9" t="n"/>
      <c r="M246" s="9" t="n"/>
      <c r="N246">
        <f>IF($A246="","",IF(AND($J246&lt;&gt;"",TODAY()-$J246&gt;365),"⚠ review overdue",""))</f>
        <v/>
      </c>
    </row>
    <row r="247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19" t="n"/>
      <c r="K247" s="9" t="n"/>
      <c r="L247" s="9" t="n"/>
      <c r="M247" s="9" t="n"/>
      <c r="N247">
        <f>IF($A247="","",IF(AND($J247&lt;&gt;"",TODAY()-$J247&gt;365),"⚠ review overdue",""))</f>
        <v/>
      </c>
    </row>
    <row r="248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19" t="n"/>
      <c r="K248" s="9" t="n"/>
      <c r="L248" s="9" t="n"/>
      <c r="M248" s="9" t="n"/>
      <c r="N248">
        <f>IF($A248="","",IF(AND($J248&lt;&gt;"",TODAY()-$J248&gt;365),"⚠ review overdue",""))</f>
        <v/>
      </c>
    </row>
    <row r="249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19" t="n"/>
      <c r="K249" s="9" t="n"/>
      <c r="L249" s="9" t="n"/>
      <c r="M249" s="9" t="n"/>
      <c r="N249">
        <f>IF($A249="","",IF(AND($J249&lt;&gt;"",TODAY()-$J249&gt;365),"⚠ review overdue",""))</f>
        <v/>
      </c>
    </row>
    <row r="250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19" t="n"/>
      <c r="K250" s="9" t="n"/>
      <c r="L250" s="9" t="n"/>
      <c r="M250" s="9" t="n"/>
      <c r="N250">
        <f>IF($A250="","",IF(AND($J250&lt;&gt;"",TODAY()-$J250&gt;365),"⚠ review overdue",""))</f>
        <v/>
      </c>
    </row>
    <row r="251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19" t="n"/>
      <c r="K251" s="9" t="n"/>
      <c r="L251" s="9" t="n"/>
      <c r="M251" s="9" t="n"/>
      <c r="N251">
        <f>IF($A251="","",IF(AND($J251&lt;&gt;"",TODAY()-$J251&gt;365),"⚠ review overdue",""))</f>
        <v/>
      </c>
    </row>
    <row r="25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19" t="n"/>
      <c r="K252" s="9" t="n"/>
      <c r="L252" s="9" t="n"/>
      <c r="M252" s="9" t="n"/>
      <c r="N252">
        <f>IF($A252="","",IF(AND($J252&lt;&gt;"",TODAY()-$J252&gt;365),"⚠ review overdue",""))</f>
        <v/>
      </c>
    </row>
    <row r="253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19" t="n"/>
      <c r="K253" s="9" t="n"/>
      <c r="L253" s="9" t="n"/>
      <c r="M253" s="9" t="n"/>
      <c r="N253">
        <f>IF($A253="","",IF(AND($J253&lt;&gt;"",TODAY()-$J253&gt;365),"⚠ review overdue",""))</f>
        <v/>
      </c>
    </row>
    <row r="254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19" t="n"/>
      <c r="K254" s="9" t="n"/>
      <c r="L254" s="9" t="n"/>
      <c r="M254" s="9" t="n"/>
      <c r="N254">
        <f>IF($A254="","",IF(AND($J254&lt;&gt;"",TODAY()-$J254&gt;365),"⚠ review overdue",""))</f>
        <v/>
      </c>
    </row>
    <row r="255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19" t="n"/>
      <c r="K255" s="9" t="n"/>
      <c r="L255" s="9" t="n"/>
      <c r="M255" s="9" t="n"/>
      <c r="N255">
        <f>IF($A255="","",IF(AND($J255&lt;&gt;"",TODAY()-$J255&gt;365),"⚠ review overdue",""))</f>
        <v/>
      </c>
    </row>
    <row r="256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19" t="n"/>
      <c r="K256" s="9" t="n"/>
      <c r="L256" s="9" t="n"/>
      <c r="M256" s="9" t="n"/>
      <c r="N256">
        <f>IF($A256="","",IF(AND($J256&lt;&gt;"",TODAY()-$J256&gt;365),"⚠ review overdue",""))</f>
        <v/>
      </c>
    </row>
    <row r="257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19" t="n"/>
      <c r="K257" s="9" t="n"/>
      <c r="L257" s="9" t="n"/>
      <c r="M257" s="9" t="n"/>
      <c r="N257">
        <f>IF($A257="","",IF(AND($J257&lt;&gt;"",TODAY()-$J257&gt;365),"⚠ review overdue",""))</f>
        <v/>
      </c>
    </row>
    <row r="258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19" t="n"/>
      <c r="K258" s="9" t="n"/>
      <c r="L258" s="9" t="n"/>
      <c r="M258" s="9" t="n"/>
      <c r="N258">
        <f>IF($A258="","",IF(AND($J258&lt;&gt;"",TODAY()-$J258&gt;365),"⚠ review overdue",""))</f>
        <v/>
      </c>
    </row>
    <row r="259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19" t="n"/>
      <c r="K259" s="9" t="n"/>
      <c r="L259" s="9" t="n"/>
      <c r="M259" s="9" t="n"/>
      <c r="N259">
        <f>IF($A259="","",IF(AND($J259&lt;&gt;"",TODAY()-$J259&gt;365),"⚠ review overdue",""))</f>
        <v/>
      </c>
    </row>
    <row r="260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19" t="n"/>
      <c r="K260" s="9" t="n"/>
      <c r="L260" s="9" t="n"/>
      <c r="M260" s="9" t="n"/>
      <c r="N260">
        <f>IF($A260="","",IF(AND($J260&lt;&gt;"",TODAY()-$J260&gt;365),"⚠ review overdue",""))</f>
        <v/>
      </c>
    </row>
    <row r="261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19" t="n"/>
      <c r="K261" s="9" t="n"/>
      <c r="L261" s="9" t="n"/>
      <c r="M261" s="9" t="n"/>
      <c r="N261">
        <f>IF($A261="","",IF(AND($J261&lt;&gt;"",TODAY()-$J261&gt;365),"⚠ review overdue",""))</f>
        <v/>
      </c>
    </row>
    <row r="26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19" t="n"/>
      <c r="K262" s="9" t="n"/>
      <c r="L262" s="9" t="n"/>
      <c r="M262" s="9" t="n"/>
      <c r="N262">
        <f>IF($A262="","",IF(AND($J262&lt;&gt;"",TODAY()-$J262&gt;365),"⚠ review overdue",""))</f>
        <v/>
      </c>
    </row>
    <row r="263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19" t="n"/>
      <c r="K263" s="9" t="n"/>
      <c r="L263" s="9" t="n"/>
      <c r="M263" s="9" t="n"/>
      <c r="N263">
        <f>IF($A263="","",IF(AND($J263&lt;&gt;"",TODAY()-$J263&gt;365),"⚠ review overdue",""))</f>
        <v/>
      </c>
    </row>
    <row r="264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19" t="n"/>
      <c r="K264" s="9" t="n"/>
      <c r="L264" s="9" t="n"/>
      <c r="M264" s="9" t="n"/>
      <c r="N264">
        <f>IF($A264="","",IF(AND($J264&lt;&gt;"",TODAY()-$J264&gt;365),"⚠ review overdue",""))</f>
        <v/>
      </c>
    </row>
    <row r="265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19" t="n"/>
      <c r="K265" s="9" t="n"/>
      <c r="L265" s="9" t="n"/>
      <c r="M265" s="9" t="n"/>
      <c r="N265">
        <f>IF($A265="","",IF(AND($J265&lt;&gt;"",TODAY()-$J265&gt;365),"⚠ review overdue",""))</f>
        <v/>
      </c>
    </row>
    <row r="266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19" t="n"/>
      <c r="K266" s="9" t="n"/>
      <c r="L266" s="9" t="n"/>
      <c r="M266" s="9" t="n"/>
      <c r="N266">
        <f>IF($A266="","",IF(AND($J266&lt;&gt;"",TODAY()-$J266&gt;365),"⚠ review overdue",""))</f>
        <v/>
      </c>
    </row>
    <row r="267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19" t="n"/>
      <c r="K267" s="9" t="n"/>
      <c r="L267" s="9" t="n"/>
      <c r="M267" s="9" t="n"/>
      <c r="N267">
        <f>IF($A267="","",IF(AND($J267&lt;&gt;"",TODAY()-$J267&gt;365),"⚠ review overdue",""))</f>
        <v/>
      </c>
    </row>
    <row r="268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19" t="n"/>
      <c r="K268" s="9" t="n"/>
      <c r="L268" s="9" t="n"/>
      <c r="M268" s="9" t="n"/>
      <c r="N268">
        <f>IF($A268="","",IF(AND($J268&lt;&gt;"",TODAY()-$J268&gt;365),"⚠ review overdue",""))</f>
        <v/>
      </c>
    </row>
    <row r="269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19" t="n"/>
      <c r="K269" s="9" t="n"/>
      <c r="L269" s="9" t="n"/>
      <c r="M269" s="9" t="n"/>
      <c r="N269">
        <f>IF($A269="","",IF(AND($J269&lt;&gt;"",TODAY()-$J269&gt;365),"⚠ review overdue",""))</f>
        <v/>
      </c>
    </row>
    <row r="270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19" t="n"/>
      <c r="K270" s="9" t="n"/>
      <c r="L270" s="9" t="n"/>
      <c r="M270" s="9" t="n"/>
      <c r="N270">
        <f>IF($A270="","",IF(AND($J270&lt;&gt;"",TODAY()-$J270&gt;365),"⚠ review overdue",""))</f>
        <v/>
      </c>
    </row>
    <row r="271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19" t="n"/>
      <c r="K271" s="9" t="n"/>
      <c r="L271" s="9" t="n"/>
      <c r="M271" s="9" t="n"/>
      <c r="N271">
        <f>IF($A271="","",IF(AND($J271&lt;&gt;"",TODAY()-$J271&gt;365),"⚠ review overdue",""))</f>
        <v/>
      </c>
    </row>
    <row r="27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19" t="n"/>
      <c r="K272" s="9" t="n"/>
      <c r="L272" s="9" t="n"/>
      <c r="M272" s="9" t="n"/>
      <c r="N272">
        <f>IF($A272="","",IF(AND($J272&lt;&gt;"",TODAY()-$J272&gt;365),"⚠ review overdue",""))</f>
        <v/>
      </c>
    </row>
    <row r="273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19" t="n"/>
      <c r="K273" s="9" t="n"/>
      <c r="L273" s="9" t="n"/>
      <c r="M273" s="9" t="n"/>
      <c r="N273">
        <f>IF($A273="","",IF(AND($J273&lt;&gt;"",TODAY()-$J273&gt;365),"⚠ review overdue",""))</f>
        <v/>
      </c>
    </row>
    <row r="274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19" t="n"/>
      <c r="K274" s="9" t="n"/>
      <c r="L274" s="9" t="n"/>
      <c r="M274" s="9" t="n"/>
      <c r="N274">
        <f>IF($A274="","",IF(AND($J274&lt;&gt;"",TODAY()-$J274&gt;365),"⚠ review overdue",""))</f>
        <v/>
      </c>
    </row>
    <row r="275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19" t="n"/>
      <c r="K275" s="9" t="n"/>
      <c r="L275" s="9" t="n"/>
      <c r="M275" s="9" t="n"/>
      <c r="N275">
        <f>IF($A275="","",IF(AND($J275&lt;&gt;"",TODAY()-$J275&gt;365),"⚠ review overdue",""))</f>
        <v/>
      </c>
    </row>
    <row r="276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19" t="n"/>
      <c r="K276" s="9" t="n"/>
      <c r="L276" s="9" t="n"/>
      <c r="M276" s="9" t="n"/>
      <c r="N276">
        <f>IF($A276="","",IF(AND($J276&lt;&gt;"",TODAY()-$J276&gt;365),"⚠ review overdue",""))</f>
        <v/>
      </c>
    </row>
    <row r="277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19" t="n"/>
      <c r="K277" s="9" t="n"/>
      <c r="L277" s="9" t="n"/>
      <c r="M277" s="9" t="n"/>
      <c r="N277">
        <f>IF($A277="","",IF(AND($J277&lt;&gt;"",TODAY()-$J277&gt;365),"⚠ review overdue",""))</f>
        <v/>
      </c>
    </row>
    <row r="278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19" t="n"/>
      <c r="K278" s="9" t="n"/>
      <c r="L278" s="9" t="n"/>
      <c r="M278" s="9" t="n"/>
      <c r="N278">
        <f>IF($A278="","",IF(AND($J278&lt;&gt;"",TODAY()-$J278&gt;365),"⚠ review overdue",""))</f>
        <v/>
      </c>
    </row>
    <row r="279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19" t="n"/>
      <c r="K279" s="9" t="n"/>
      <c r="L279" s="9" t="n"/>
      <c r="M279" s="9" t="n"/>
      <c r="N279">
        <f>IF($A279="","",IF(AND($J279&lt;&gt;"",TODAY()-$J279&gt;365),"⚠ review overdue",""))</f>
        <v/>
      </c>
    </row>
    <row r="280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19" t="n"/>
      <c r="K280" s="9" t="n"/>
      <c r="L280" s="9" t="n"/>
      <c r="M280" s="9" t="n"/>
      <c r="N280">
        <f>IF($A280="","",IF(AND($J280&lt;&gt;"",TODAY()-$J280&gt;365),"⚠ review overdue",""))</f>
        <v/>
      </c>
    </row>
    <row r="28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19" t="n"/>
      <c r="K281" s="9" t="n"/>
      <c r="L281" s="9" t="n"/>
      <c r="M281" s="9" t="n"/>
      <c r="N281">
        <f>IF($A281="","",IF(AND($J281&lt;&gt;"",TODAY()-$J281&gt;365),"⚠ review overdue",""))</f>
        <v/>
      </c>
    </row>
    <row r="28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19" t="n"/>
      <c r="K282" s="9" t="n"/>
      <c r="L282" s="9" t="n"/>
      <c r="M282" s="9" t="n"/>
      <c r="N282">
        <f>IF($A282="","",IF(AND($J282&lt;&gt;"",TODAY()-$J282&gt;365),"⚠ review overdue",""))</f>
        <v/>
      </c>
    </row>
    <row r="283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19" t="n"/>
      <c r="K283" s="9" t="n"/>
      <c r="L283" s="9" t="n"/>
      <c r="M283" s="9" t="n"/>
      <c r="N283">
        <f>IF($A283="","",IF(AND($J283&lt;&gt;"",TODAY()-$J283&gt;365),"⚠ review overdue",""))</f>
        <v/>
      </c>
    </row>
    <row r="284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19" t="n"/>
      <c r="K284" s="9" t="n"/>
      <c r="L284" s="9" t="n"/>
      <c r="M284" s="9" t="n"/>
      <c r="N284">
        <f>IF($A284="","",IF(AND($J284&lt;&gt;"",TODAY()-$J284&gt;365),"⚠ review overdue",""))</f>
        <v/>
      </c>
    </row>
    <row r="285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19" t="n"/>
      <c r="K285" s="9" t="n"/>
      <c r="L285" s="9" t="n"/>
      <c r="M285" s="9" t="n"/>
      <c r="N285">
        <f>IF($A285="","",IF(AND($J285&lt;&gt;"",TODAY()-$J285&gt;365),"⚠ review overdue",""))</f>
        <v/>
      </c>
    </row>
    <row r="286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19" t="n"/>
      <c r="K286" s="9" t="n"/>
      <c r="L286" s="9" t="n"/>
      <c r="M286" s="9" t="n"/>
      <c r="N286">
        <f>IF($A286="","",IF(AND($J286&lt;&gt;"",TODAY()-$J286&gt;365),"⚠ review overdue",""))</f>
        <v/>
      </c>
    </row>
    <row r="287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19" t="n"/>
      <c r="K287" s="9" t="n"/>
      <c r="L287" s="9" t="n"/>
      <c r="M287" s="9" t="n"/>
      <c r="N287">
        <f>IF($A287="","",IF(AND($J287&lt;&gt;"",TODAY()-$J287&gt;365),"⚠ review overdue",""))</f>
        <v/>
      </c>
    </row>
    <row r="288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19" t="n"/>
      <c r="K288" s="9" t="n"/>
      <c r="L288" s="9" t="n"/>
      <c r="M288" s="9" t="n"/>
      <c r="N288">
        <f>IF($A288="","",IF(AND($J288&lt;&gt;"",TODAY()-$J288&gt;365),"⚠ review overdue",""))</f>
        <v/>
      </c>
    </row>
    <row r="289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19" t="n"/>
      <c r="K289" s="9" t="n"/>
      <c r="L289" s="9" t="n"/>
      <c r="M289" s="9" t="n"/>
      <c r="N289">
        <f>IF($A289="","",IF(AND($J289&lt;&gt;"",TODAY()-$J289&gt;365),"⚠ review overdue",""))</f>
        <v/>
      </c>
    </row>
    <row r="290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19" t="n"/>
      <c r="K290" s="9" t="n"/>
      <c r="L290" s="9" t="n"/>
      <c r="M290" s="9" t="n"/>
      <c r="N290">
        <f>IF($A290="","",IF(AND($J290&lt;&gt;"",TODAY()-$J290&gt;365),"⚠ review overdue",""))</f>
        <v/>
      </c>
    </row>
    <row r="291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19" t="n"/>
      <c r="K291" s="9" t="n"/>
      <c r="L291" s="9" t="n"/>
      <c r="M291" s="9" t="n"/>
      <c r="N291">
        <f>IF($A291="","",IF(AND($J291&lt;&gt;"",TODAY()-$J291&gt;365),"⚠ review overdue",""))</f>
        <v/>
      </c>
    </row>
    <row r="29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19" t="n"/>
      <c r="K292" s="9" t="n"/>
      <c r="L292" s="9" t="n"/>
      <c r="M292" s="9" t="n"/>
      <c r="N292">
        <f>IF($A292="","",IF(AND($J292&lt;&gt;"",TODAY()-$J292&gt;365),"⚠ review overdue",""))</f>
        <v/>
      </c>
    </row>
    <row r="293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19" t="n"/>
      <c r="K293" s="9" t="n"/>
      <c r="L293" s="9" t="n"/>
      <c r="M293" s="9" t="n"/>
      <c r="N293">
        <f>IF($A293="","",IF(AND($J293&lt;&gt;"",TODAY()-$J293&gt;365),"⚠ review overdue",""))</f>
        <v/>
      </c>
    </row>
    <row r="294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19" t="n"/>
      <c r="K294" s="9" t="n"/>
      <c r="L294" s="9" t="n"/>
      <c r="M294" s="9" t="n"/>
      <c r="N294">
        <f>IF($A294="","",IF(AND($J294&lt;&gt;"",TODAY()-$J294&gt;365),"⚠ review overdue",""))</f>
        <v/>
      </c>
    </row>
    <row r="295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19" t="n"/>
      <c r="K295" s="9" t="n"/>
      <c r="L295" s="9" t="n"/>
      <c r="M295" s="9" t="n"/>
      <c r="N295">
        <f>IF($A295="","",IF(AND($J295&lt;&gt;"",TODAY()-$J295&gt;365),"⚠ review overdue",""))</f>
        <v/>
      </c>
    </row>
    <row r="296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19" t="n"/>
      <c r="K296" s="9" t="n"/>
      <c r="L296" s="9" t="n"/>
      <c r="M296" s="9" t="n"/>
      <c r="N296">
        <f>IF($A296="","",IF(AND($J296&lt;&gt;"",TODAY()-$J296&gt;365),"⚠ review overdue",""))</f>
        <v/>
      </c>
    </row>
    <row r="297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19" t="n"/>
      <c r="K297" s="9" t="n"/>
      <c r="L297" s="9" t="n"/>
      <c r="M297" s="9" t="n"/>
      <c r="N297">
        <f>IF($A297="","",IF(AND($J297&lt;&gt;"",TODAY()-$J297&gt;365),"⚠ review overdue",""))</f>
        <v/>
      </c>
    </row>
    <row r="298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19" t="n"/>
      <c r="K298" s="9" t="n"/>
      <c r="L298" s="9" t="n"/>
      <c r="M298" s="9" t="n"/>
      <c r="N298">
        <f>IF($A298="","",IF(AND($J298&lt;&gt;"",TODAY()-$J298&gt;365),"⚠ review overdue",""))</f>
        <v/>
      </c>
    </row>
    <row r="299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19" t="n"/>
      <c r="K299" s="9" t="n"/>
      <c r="L299" s="9" t="n"/>
      <c r="M299" s="9" t="n"/>
      <c r="N299">
        <f>IF($A299="","",IF(AND($J299&lt;&gt;"",TODAY()-$J299&gt;365),"⚠ review overdue",""))</f>
        <v/>
      </c>
    </row>
    <row r="300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19" t="n"/>
      <c r="K300" s="9" t="n"/>
      <c r="L300" s="9" t="n"/>
      <c r="M300" s="9" t="n"/>
      <c r="N300">
        <f>IF($A300="","",IF(AND($J300&lt;&gt;"",TODAY()-$J300&gt;365),"⚠ review overdue",""))</f>
        <v/>
      </c>
    </row>
    <row r="301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19" t="n"/>
      <c r="K301" s="9" t="n"/>
      <c r="L301" s="9" t="n"/>
      <c r="M301" s="9" t="n"/>
      <c r="N301">
        <f>IF($A301="","",IF(AND($J301&lt;&gt;"",TODAY()-$J301&gt;365),"⚠ review overdue",""))</f>
        <v/>
      </c>
    </row>
    <row r="30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19" t="n"/>
      <c r="K302" s="9" t="n"/>
      <c r="L302" s="9" t="n"/>
      <c r="M302" s="9" t="n"/>
      <c r="N302">
        <f>IF($A302="","",IF(AND($J302&lt;&gt;"",TODAY()-$J302&gt;365),"⚠ review overdue",""))</f>
        <v/>
      </c>
    </row>
    <row r="303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19" t="n"/>
      <c r="K303" s="9" t="n"/>
      <c r="L303" s="9" t="n"/>
      <c r="M303" s="9" t="n"/>
      <c r="N303">
        <f>IF($A303="","",IF(AND($J303&lt;&gt;"",TODAY()-$J303&gt;365),"⚠ review overdue",""))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N4:N303">
    <cfRule type="cellIs" priority="1" operator="equal" dxfId="1">
      <formula>"⚠ review overdue"</formula>
    </cfRule>
  </conditionalFormatting>
  <dataValidations count="2">
    <dataValidation sqref="B4:B303" showDropDown="0" showInputMessage="0" showErrorMessage="0" allowBlank="1" type="list">
      <formula1>"Bank,Credit Card,Insurance,Pension/Retirement,Utilities,Property,Loan,Subscription,Tax Document,Legal Document,ID Document,Care Agreement,Other"</formula1>
    </dataValidation>
    <dataValidation sqref="L4:L303" showDropDown="0" showInputMessage="0" showErrorMessage="0" allowBlank="1" type="list">
      <formula1>"Active,Closed,Needs Review"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1" customWidth="1" min="3" max="3"/>
    <col width="12" customWidth="1" min="4" max="4"/>
    <col width="16" customWidth="1" min="5" max="5"/>
    <col width="10" customWidth="1" min="6" max="6"/>
    <col width="10" customWidth="1" min="7" max="7"/>
    <col width="14" customWidth="1" min="8" max="8"/>
    <col width="18" customWidth="1" min="9" max="9"/>
    <col width="14" customWidth="1" min="10" max="10"/>
    <col width="26" customWidth="1" min="11" max="11"/>
    <col width="22" customWidth="1" min="12" max="12"/>
  </cols>
  <sheetData>
    <row r="1">
      <c r="A1" s="8" t="inlineStr">
        <is>
          <t>SUBSCRIPTIONS &amp; MONEY LEAK REVIEW</t>
        </is>
      </c>
    </row>
    <row r="3">
      <c r="A3" s="1" t="inlineStr">
        <is>
          <t>Provider</t>
        </is>
      </c>
      <c r="B3" s="1" t="inlineStr">
        <is>
          <t>Category</t>
        </is>
      </c>
      <c r="C3" s="1" t="inlineStr">
        <is>
          <t>Amount</t>
        </is>
      </c>
      <c r="D3" s="1" t="inlineStr">
        <is>
          <t>Frequency</t>
        </is>
      </c>
      <c r="E3" s="1" t="inlineStr">
        <is>
          <t>Monthly Equivalent (auto)</t>
        </is>
      </c>
      <c r="F3" s="1" t="inlineStr">
        <is>
          <t>Used?</t>
        </is>
      </c>
      <c r="G3" s="1" t="inlineStr">
        <is>
          <t>Needed?</t>
        </is>
      </c>
      <c r="H3" s="1" t="inlineStr">
        <is>
          <t>Cancel Candidate?</t>
        </is>
      </c>
      <c r="I3" s="1" t="inlineStr">
        <is>
          <t>Responsible Person</t>
        </is>
      </c>
      <c r="J3" s="1" t="inlineStr">
        <is>
          <t>Last Reviewed</t>
        </is>
      </c>
      <c r="K3" s="1" t="inlineStr">
        <is>
          <t>Action</t>
        </is>
      </c>
      <c r="L3" s="1" t="inlineStr">
        <is>
          <t>Notes</t>
        </is>
      </c>
    </row>
    <row r="4">
      <c r="A4" s="9" t="inlineStr">
        <is>
          <t>StreamFlix</t>
        </is>
      </c>
      <c r="B4" s="9" t="inlineStr">
        <is>
          <t>Entertainment</t>
        </is>
      </c>
      <c r="C4" s="10" t="n">
        <v>15.99</v>
      </c>
      <c r="D4" s="9" t="inlineStr">
        <is>
          <t>Monthly</t>
        </is>
      </c>
      <c r="E4" s="12">
        <f>IF($A4="",0,IF($D4="Monthly",$C4,IF($D4="Annual",$C4/12,IF($D4="Weekly",$C4*52/12,IF($D4="Quarterly",$C4/3,$C4)))))</f>
        <v/>
      </c>
      <c r="F4" s="9" t="inlineStr">
        <is>
          <t>Unsure</t>
        </is>
      </c>
      <c r="G4" s="9" t="inlineStr">
        <is>
          <t>Review</t>
        </is>
      </c>
      <c r="H4" s="9" t="inlineStr">
        <is>
          <t>Yes</t>
        </is>
      </c>
      <c r="I4" s="9" t="inlineStr">
        <is>
          <t>Sarah Chen</t>
        </is>
      </c>
      <c r="J4" s="19" t="n">
        <v>46076</v>
      </c>
      <c r="K4" s="9" t="inlineStr">
        <is>
          <t>Review with Eleanor next visit</t>
        </is>
      </c>
    </row>
    <row r="5">
      <c r="A5" s="9" t="inlineStr">
        <is>
          <t>Hometown Gazette</t>
        </is>
      </c>
      <c r="B5" s="9" t="inlineStr">
        <is>
          <t>News</t>
        </is>
      </c>
      <c r="C5" s="10" t="n">
        <v>60</v>
      </c>
      <c r="D5" s="9" t="inlineStr">
        <is>
          <t>Annual</t>
        </is>
      </c>
      <c r="E5" s="12">
        <f>IF($A5="",0,IF($D5="Monthly",$C5,IF($D5="Annual",$C5/12,IF($D5="Weekly",$C5*52/12,IF($D5="Quarterly",$C5/3,$C5)))))</f>
        <v/>
      </c>
      <c r="F5" s="9" t="inlineStr">
        <is>
          <t>No</t>
        </is>
      </c>
      <c r="G5" s="9" t="inlineStr">
        <is>
          <t>No</t>
        </is>
      </c>
      <c r="H5" s="9" t="inlineStr">
        <is>
          <t>Yes</t>
        </is>
      </c>
      <c r="I5" s="9" t="inlineStr">
        <is>
          <t>Parent Account</t>
        </is>
      </c>
      <c r="J5" s="19" t="n">
        <v>45906</v>
      </c>
      <c r="K5" s="9" t="inlineStr">
        <is>
          <t>Cancel</t>
        </is>
      </c>
    </row>
    <row r="6">
      <c r="A6" s="9" t="inlineStr">
        <is>
          <t>FitLife Gym</t>
        </is>
      </c>
      <c r="B6" s="9" t="inlineStr">
        <is>
          <t>Wellness</t>
        </is>
      </c>
      <c r="C6" s="10" t="n">
        <v>45</v>
      </c>
      <c r="D6" s="9" t="inlineStr">
        <is>
          <t>Monthly</t>
        </is>
      </c>
      <c r="E6" s="12">
        <f>IF($A6="",0,IF($D6="Monthly",$C6,IF($D6="Annual",$C6/12,IF($D6="Weekly",$C6*52/12,IF($D6="Quarterly",$C6/3,$C6)))))</f>
        <v/>
      </c>
      <c r="F6" s="9" t="inlineStr">
        <is>
          <t>No</t>
        </is>
      </c>
      <c r="G6" s="9" t="inlineStr">
        <is>
          <t>No</t>
        </is>
      </c>
      <c r="H6" s="9" t="inlineStr">
        <is>
          <t>Yes</t>
        </is>
      </c>
      <c r="I6" s="9" t="inlineStr">
        <is>
          <t>Sarah Chen</t>
        </is>
      </c>
      <c r="J6" s="19" t="n">
        <v>46096</v>
      </c>
      <c r="K6" s="9" t="inlineStr">
        <is>
          <t>Cancel -- unused since move</t>
        </is>
      </c>
    </row>
    <row r="7">
      <c r="A7" s="9" t="inlineStr">
        <is>
          <t>SafeCloud Backup</t>
        </is>
      </c>
      <c r="B7" s="9" t="inlineStr">
        <is>
          <t>Document Storage</t>
        </is>
      </c>
      <c r="C7" s="10" t="n">
        <v>8.99</v>
      </c>
      <c r="D7" s="9" t="inlineStr">
        <is>
          <t>Monthly</t>
        </is>
      </c>
      <c r="E7" s="12">
        <f>IF($A7="",0,IF($D7="Monthly",$C7,IF($D7="Annual",$C7/12,IF($D7="Weekly",$C7*52/12,IF($D7="Quarterly",$C7/3,$C7)))))</f>
        <v/>
      </c>
      <c r="F7" s="9" t="inlineStr">
        <is>
          <t>Yes</t>
        </is>
      </c>
      <c r="G7" s="9" t="inlineStr">
        <is>
          <t>Yes</t>
        </is>
      </c>
      <c r="H7" s="9" t="inlineStr">
        <is>
          <t>No</t>
        </is>
      </c>
      <c r="I7" s="9" t="inlineStr">
        <is>
          <t>Sarah Chen</t>
        </is>
      </c>
      <c r="J7" s="19" t="n">
        <v>46266</v>
      </c>
      <c r="K7" s="9" t="inlineStr">
        <is>
          <t>Keep</t>
        </is>
      </c>
    </row>
    <row r="8">
      <c r="A8" s="9" t="inlineStr">
        <is>
          <t>Weekly Herald</t>
        </is>
      </c>
      <c r="B8" s="9" t="inlineStr">
        <is>
          <t>News</t>
        </is>
      </c>
      <c r="C8" s="10" t="n">
        <v>12</v>
      </c>
      <c r="D8" s="9" t="inlineStr">
        <is>
          <t>Monthly</t>
        </is>
      </c>
      <c r="E8" s="12">
        <f>IF($A8="",0,IF($D8="Monthly",$C8,IF($D8="Annual",$C8/12,IF($D8="Weekly",$C8*52/12,IF($D8="Quarterly",$C8/3,$C8)))))</f>
        <v/>
      </c>
      <c r="F8" s="9" t="inlineStr">
        <is>
          <t>Unsure</t>
        </is>
      </c>
      <c r="G8" s="9" t="inlineStr">
        <is>
          <t>Review</t>
        </is>
      </c>
      <c r="H8" s="9" t="inlineStr">
        <is>
          <t>No</t>
        </is>
      </c>
      <c r="I8" s="9" t="inlineStr">
        <is>
          <t>Rachel Brooks</t>
        </is>
      </c>
      <c r="J8" s="19" t="n">
        <v>46191</v>
      </c>
      <c r="K8" s="9" t="inlineStr">
        <is>
          <t>Ask Eleanor if still reading it</t>
        </is>
      </c>
    </row>
    <row r="9">
      <c r="A9" s="9" t="inlineStr">
        <is>
          <t>MedAlert Monitoring</t>
        </is>
      </c>
      <c r="B9" s="9" t="inlineStr">
        <is>
          <t>Medical Alert</t>
        </is>
      </c>
      <c r="C9" s="10" t="n">
        <v>34.99</v>
      </c>
      <c r="D9" s="9" t="inlineStr">
        <is>
          <t>Monthly</t>
        </is>
      </c>
      <c r="E9" s="12">
        <f>IF($A9="",0,IF($D9="Monthly",$C9,IF($D9="Annual",$C9/12,IF($D9="Weekly",$C9*52/12,IF($D9="Quarterly",$C9/3,$C9)))))</f>
        <v/>
      </c>
      <c r="F9" s="9" t="inlineStr">
        <is>
          <t>Yes</t>
        </is>
      </c>
      <c r="G9" s="9" t="inlineStr">
        <is>
          <t>Yes</t>
        </is>
      </c>
      <c r="H9" s="9" t="inlineStr">
        <is>
          <t>No</t>
        </is>
      </c>
      <c r="I9" s="9" t="inlineStr">
        <is>
          <t>Sarah Chen</t>
        </is>
      </c>
      <c r="J9" s="19" t="n">
        <v>46271</v>
      </c>
      <c r="K9" s="9" t="inlineStr">
        <is>
          <t>Keep -- actively used</t>
        </is>
      </c>
    </row>
    <row r="10">
      <c r="A10" s="9" t="n"/>
      <c r="B10" s="9" t="n"/>
      <c r="C10" s="10" t="n"/>
      <c r="D10" s="9" t="n"/>
      <c r="E10" s="12">
        <f>IF($A10="",0,IF($D10="Monthly",$C10,IF($D10="Annual",$C10/12,IF($D10="Weekly",$C10*52/12,IF($D10="Quarterly",$C10/3,$C10)))))</f>
        <v/>
      </c>
      <c r="F10" s="9" t="n"/>
      <c r="G10" s="9" t="n"/>
      <c r="H10" s="9" t="n"/>
      <c r="I10" s="9" t="n"/>
      <c r="J10" s="19" t="n"/>
      <c r="K10" s="9" t="n"/>
    </row>
    <row r="11">
      <c r="A11" s="9" t="n"/>
      <c r="B11" s="9" t="n"/>
      <c r="C11" s="10" t="n"/>
      <c r="D11" s="9" t="n"/>
      <c r="E11" s="12">
        <f>IF($A11="",0,IF($D11="Monthly",$C11,IF($D11="Annual",$C11/12,IF($D11="Weekly",$C11*52/12,IF($D11="Quarterly",$C11/3,$C11)))))</f>
        <v/>
      </c>
      <c r="F11" s="9" t="n"/>
      <c r="G11" s="9" t="n"/>
      <c r="H11" s="9" t="n"/>
      <c r="I11" s="9" t="n"/>
      <c r="J11" s="19" t="n"/>
      <c r="K11" s="9" t="n"/>
    </row>
    <row r="12">
      <c r="A12" s="9" t="n"/>
      <c r="B12" s="9" t="n"/>
      <c r="C12" s="10" t="n"/>
      <c r="D12" s="9" t="n"/>
      <c r="E12" s="12">
        <f>IF($A12="",0,IF($D12="Monthly",$C12,IF($D12="Annual",$C12/12,IF($D12="Weekly",$C12*52/12,IF($D12="Quarterly",$C12/3,$C12)))))</f>
        <v/>
      </c>
      <c r="F12" s="9" t="n"/>
      <c r="G12" s="9" t="n"/>
      <c r="H12" s="9" t="n"/>
      <c r="I12" s="9" t="n"/>
      <c r="J12" s="19" t="n"/>
      <c r="K12" s="9" t="n"/>
    </row>
    <row r="13">
      <c r="A13" s="9" t="n"/>
      <c r="B13" s="9" t="n"/>
      <c r="C13" s="10" t="n"/>
      <c r="D13" s="9" t="n"/>
      <c r="E13" s="12">
        <f>IF($A13="",0,IF($D13="Monthly",$C13,IF($D13="Annual",$C13/12,IF($D13="Weekly",$C13*52/12,IF($D13="Quarterly",$C13/3,$C13)))))</f>
        <v/>
      </c>
      <c r="F13" s="9" t="n"/>
      <c r="G13" s="9" t="n"/>
      <c r="H13" s="9" t="n"/>
      <c r="I13" s="9" t="n"/>
      <c r="J13" s="19" t="n"/>
      <c r="K13" s="9" t="n"/>
    </row>
    <row r="14">
      <c r="A14" s="9" t="n"/>
      <c r="B14" s="9" t="n"/>
      <c r="C14" s="10" t="n"/>
      <c r="D14" s="9" t="n"/>
      <c r="E14" s="12">
        <f>IF($A14="",0,IF($D14="Monthly",$C14,IF($D14="Annual",$C14/12,IF($D14="Weekly",$C14*52/12,IF($D14="Quarterly",$C14/3,$C14)))))</f>
        <v/>
      </c>
      <c r="F14" s="9" t="n"/>
      <c r="G14" s="9" t="n"/>
      <c r="H14" s="9" t="n"/>
      <c r="I14" s="9" t="n"/>
      <c r="J14" s="19" t="n"/>
      <c r="K14" s="9" t="n"/>
    </row>
    <row r="15">
      <c r="A15" s="9" t="n"/>
      <c r="B15" s="9" t="n"/>
      <c r="C15" s="10" t="n"/>
      <c r="D15" s="9" t="n"/>
      <c r="E15" s="12">
        <f>IF($A15="",0,IF($D15="Monthly",$C15,IF($D15="Annual",$C15/12,IF($D15="Weekly",$C15*52/12,IF($D15="Quarterly",$C15/3,$C15)))))</f>
        <v/>
      </c>
      <c r="F15" s="9" t="n"/>
      <c r="G15" s="9" t="n"/>
      <c r="H15" s="9" t="n"/>
      <c r="I15" s="9" t="n"/>
      <c r="J15" s="19" t="n"/>
      <c r="K15" s="9" t="n"/>
    </row>
    <row r="16">
      <c r="A16" s="9" t="n"/>
      <c r="B16" s="9" t="n"/>
      <c r="C16" s="10" t="n"/>
      <c r="D16" s="9" t="n"/>
      <c r="E16" s="12">
        <f>IF($A16="",0,IF($D16="Monthly",$C16,IF($D16="Annual",$C16/12,IF($D16="Weekly",$C16*52/12,IF($D16="Quarterly",$C16/3,$C16)))))</f>
        <v/>
      </c>
      <c r="F16" s="9" t="n"/>
      <c r="G16" s="9" t="n"/>
      <c r="H16" s="9" t="n"/>
      <c r="I16" s="9" t="n"/>
      <c r="J16" s="19" t="n"/>
      <c r="K16" s="9" t="n"/>
    </row>
    <row r="17">
      <c r="A17" s="9" t="n"/>
      <c r="B17" s="9" t="n"/>
      <c r="C17" s="10" t="n"/>
      <c r="D17" s="9" t="n"/>
      <c r="E17" s="12">
        <f>IF($A17="",0,IF($D17="Monthly",$C17,IF($D17="Annual",$C17/12,IF($D17="Weekly",$C17*52/12,IF($D17="Quarterly",$C17/3,$C17)))))</f>
        <v/>
      </c>
      <c r="F17" s="9" t="n"/>
      <c r="G17" s="9" t="n"/>
      <c r="H17" s="9" t="n"/>
      <c r="I17" s="9" t="n"/>
      <c r="J17" s="19" t="n"/>
      <c r="K17" s="9" t="n"/>
    </row>
    <row r="18">
      <c r="A18" s="9" t="n"/>
      <c r="B18" s="9" t="n"/>
      <c r="C18" s="10" t="n"/>
      <c r="D18" s="9" t="n"/>
      <c r="E18" s="12">
        <f>IF($A18="",0,IF($D18="Monthly",$C18,IF($D18="Annual",$C18/12,IF($D18="Weekly",$C18*52/12,IF($D18="Quarterly",$C18/3,$C18)))))</f>
        <v/>
      </c>
      <c r="F18" s="9" t="n"/>
      <c r="G18" s="9" t="n"/>
      <c r="H18" s="9" t="n"/>
      <c r="I18" s="9" t="n"/>
      <c r="J18" s="19" t="n"/>
      <c r="K18" s="9" t="n"/>
    </row>
    <row r="19">
      <c r="A19" s="9" t="n"/>
      <c r="B19" s="9" t="n"/>
      <c r="C19" s="10" t="n"/>
      <c r="D19" s="9" t="n"/>
      <c r="E19" s="12">
        <f>IF($A19="",0,IF($D19="Monthly",$C19,IF($D19="Annual",$C19/12,IF($D19="Weekly",$C19*52/12,IF($D19="Quarterly",$C19/3,$C19)))))</f>
        <v/>
      </c>
      <c r="F19" s="9" t="n"/>
      <c r="G19" s="9" t="n"/>
      <c r="H19" s="9" t="n"/>
      <c r="I19" s="9" t="n"/>
      <c r="J19" s="19" t="n"/>
      <c r="K19" s="9" t="n"/>
    </row>
    <row r="20">
      <c r="A20" s="9" t="n"/>
      <c r="B20" s="9" t="n"/>
      <c r="C20" s="10" t="n"/>
      <c r="D20" s="9" t="n"/>
      <c r="E20" s="12">
        <f>IF($A20="",0,IF($D20="Monthly",$C20,IF($D20="Annual",$C20/12,IF($D20="Weekly",$C20*52/12,IF($D20="Quarterly",$C20/3,$C20)))))</f>
        <v/>
      </c>
      <c r="F20" s="9" t="n"/>
      <c r="G20" s="9" t="n"/>
      <c r="H20" s="9" t="n"/>
      <c r="I20" s="9" t="n"/>
      <c r="J20" s="19" t="n"/>
      <c r="K20" s="9" t="n"/>
    </row>
    <row r="21">
      <c r="A21" s="9" t="n"/>
      <c r="B21" s="9" t="n"/>
      <c r="C21" s="10" t="n"/>
      <c r="D21" s="9" t="n"/>
      <c r="E21" s="12">
        <f>IF($A21="",0,IF($D21="Monthly",$C21,IF($D21="Annual",$C21/12,IF($D21="Weekly",$C21*52/12,IF($D21="Quarterly",$C21/3,$C21)))))</f>
        <v/>
      </c>
      <c r="F21" s="9" t="n"/>
      <c r="G21" s="9" t="n"/>
      <c r="H21" s="9" t="n"/>
      <c r="I21" s="9" t="n"/>
      <c r="J21" s="19" t="n"/>
      <c r="K21" s="9" t="n"/>
    </row>
    <row r="22">
      <c r="A22" s="9" t="n"/>
      <c r="B22" s="9" t="n"/>
      <c r="C22" s="10" t="n"/>
      <c r="D22" s="9" t="n"/>
      <c r="E22" s="12">
        <f>IF($A22="",0,IF($D22="Monthly",$C22,IF($D22="Annual",$C22/12,IF($D22="Weekly",$C22*52/12,IF($D22="Quarterly",$C22/3,$C22)))))</f>
        <v/>
      </c>
      <c r="F22" s="9" t="n"/>
      <c r="G22" s="9" t="n"/>
      <c r="H22" s="9" t="n"/>
      <c r="I22" s="9" t="n"/>
      <c r="J22" s="19" t="n"/>
      <c r="K22" s="9" t="n"/>
    </row>
    <row r="23">
      <c r="A23" s="9" t="n"/>
      <c r="B23" s="9" t="n"/>
      <c r="C23" s="10" t="n"/>
      <c r="D23" s="9" t="n"/>
      <c r="E23" s="12">
        <f>IF($A23="",0,IF($D23="Monthly",$C23,IF($D23="Annual",$C23/12,IF($D23="Weekly",$C23*52/12,IF($D23="Quarterly",$C23/3,$C23)))))</f>
        <v/>
      </c>
      <c r="F23" s="9" t="n"/>
      <c r="G23" s="9" t="n"/>
      <c r="H23" s="9" t="n"/>
      <c r="I23" s="9" t="n"/>
      <c r="J23" s="19" t="n"/>
      <c r="K23" s="9" t="n"/>
    </row>
    <row r="24">
      <c r="A24" s="9" t="n"/>
      <c r="B24" s="9" t="n"/>
      <c r="C24" s="10" t="n"/>
      <c r="D24" s="9" t="n"/>
      <c r="E24" s="12">
        <f>IF($A24="",0,IF($D24="Monthly",$C24,IF($D24="Annual",$C24/12,IF($D24="Weekly",$C24*52/12,IF($D24="Quarterly",$C24/3,$C24)))))</f>
        <v/>
      </c>
      <c r="F24" s="9" t="n"/>
      <c r="G24" s="9" t="n"/>
      <c r="H24" s="9" t="n"/>
      <c r="I24" s="9" t="n"/>
      <c r="J24" s="19" t="n"/>
      <c r="K24" s="9" t="n"/>
    </row>
    <row r="25">
      <c r="A25" s="9" t="n"/>
      <c r="B25" s="9" t="n"/>
      <c r="C25" s="10" t="n"/>
      <c r="D25" s="9" t="n"/>
      <c r="E25" s="12">
        <f>IF($A25="",0,IF($D25="Monthly",$C25,IF($D25="Annual",$C25/12,IF($D25="Weekly",$C25*52/12,IF($D25="Quarterly",$C25/3,$C25)))))</f>
        <v/>
      </c>
      <c r="F25" s="9" t="n"/>
      <c r="G25" s="9" t="n"/>
      <c r="H25" s="9" t="n"/>
      <c r="I25" s="9" t="n"/>
      <c r="J25" s="19" t="n"/>
      <c r="K25" s="9" t="n"/>
    </row>
    <row r="26">
      <c r="A26" s="9" t="n"/>
      <c r="B26" s="9" t="n"/>
      <c r="C26" s="10" t="n"/>
      <c r="D26" s="9" t="n"/>
      <c r="E26" s="12">
        <f>IF($A26="",0,IF($D26="Monthly",$C26,IF($D26="Annual",$C26/12,IF($D26="Weekly",$C26*52/12,IF($D26="Quarterly",$C26/3,$C26)))))</f>
        <v/>
      </c>
      <c r="F26" s="9" t="n"/>
      <c r="G26" s="9" t="n"/>
      <c r="H26" s="9" t="n"/>
      <c r="I26" s="9" t="n"/>
      <c r="J26" s="19" t="n"/>
      <c r="K26" s="9" t="n"/>
    </row>
    <row r="27">
      <c r="A27" s="9" t="n"/>
      <c r="B27" s="9" t="n"/>
      <c r="C27" s="10" t="n"/>
      <c r="D27" s="9" t="n"/>
      <c r="E27" s="12">
        <f>IF($A27="",0,IF($D27="Monthly",$C27,IF($D27="Annual",$C27/12,IF($D27="Weekly",$C27*52/12,IF($D27="Quarterly",$C27/3,$C27)))))</f>
        <v/>
      </c>
      <c r="F27" s="9" t="n"/>
      <c r="G27" s="9" t="n"/>
      <c r="H27" s="9" t="n"/>
      <c r="I27" s="9" t="n"/>
      <c r="J27" s="19" t="n"/>
      <c r="K27" s="9" t="n"/>
    </row>
    <row r="28">
      <c r="A28" s="9" t="n"/>
      <c r="B28" s="9" t="n"/>
      <c r="C28" s="10" t="n"/>
      <c r="D28" s="9" t="n"/>
      <c r="E28" s="12">
        <f>IF($A28="",0,IF($D28="Monthly",$C28,IF($D28="Annual",$C28/12,IF($D28="Weekly",$C28*52/12,IF($D28="Quarterly",$C28/3,$C28)))))</f>
        <v/>
      </c>
      <c r="F28" s="9" t="n"/>
      <c r="G28" s="9" t="n"/>
      <c r="H28" s="9" t="n"/>
      <c r="I28" s="9" t="n"/>
      <c r="J28" s="19" t="n"/>
      <c r="K28" s="9" t="n"/>
    </row>
    <row r="29">
      <c r="A29" s="9" t="n"/>
      <c r="B29" s="9" t="n"/>
      <c r="C29" s="10" t="n"/>
      <c r="D29" s="9" t="n"/>
      <c r="E29" s="12">
        <f>IF($A29="",0,IF($D29="Monthly",$C29,IF($D29="Annual",$C29/12,IF($D29="Weekly",$C29*52/12,IF($D29="Quarterly",$C29/3,$C29)))))</f>
        <v/>
      </c>
      <c r="F29" s="9" t="n"/>
      <c r="G29" s="9" t="n"/>
      <c r="H29" s="9" t="n"/>
      <c r="I29" s="9" t="n"/>
      <c r="J29" s="19" t="n"/>
      <c r="K29" s="9" t="n"/>
    </row>
    <row r="30">
      <c r="A30" s="9" t="n"/>
      <c r="B30" s="9" t="n"/>
      <c r="C30" s="10" t="n"/>
      <c r="D30" s="9" t="n"/>
      <c r="E30" s="12">
        <f>IF($A30="",0,IF($D30="Monthly",$C30,IF($D30="Annual",$C30/12,IF($D30="Weekly",$C30*52/12,IF($D30="Quarterly",$C30/3,$C30)))))</f>
        <v/>
      </c>
      <c r="F30" s="9" t="n"/>
      <c r="G30" s="9" t="n"/>
      <c r="H30" s="9" t="n"/>
      <c r="I30" s="9" t="n"/>
      <c r="J30" s="19" t="n"/>
      <c r="K30" s="9" t="n"/>
    </row>
    <row r="31">
      <c r="A31" s="9" t="n"/>
      <c r="B31" s="9" t="n"/>
      <c r="C31" s="10" t="n"/>
      <c r="D31" s="9" t="n"/>
      <c r="E31" s="12">
        <f>IF($A31="",0,IF($D31="Monthly",$C31,IF($D31="Annual",$C31/12,IF($D31="Weekly",$C31*52/12,IF($D31="Quarterly",$C31/3,$C31)))))</f>
        <v/>
      </c>
      <c r="F31" s="9" t="n"/>
      <c r="G31" s="9" t="n"/>
      <c r="H31" s="9" t="n"/>
      <c r="I31" s="9" t="n"/>
      <c r="J31" s="19" t="n"/>
      <c r="K31" s="9" t="n"/>
    </row>
    <row r="32">
      <c r="A32" s="9" t="n"/>
      <c r="B32" s="9" t="n"/>
      <c r="C32" s="10" t="n"/>
      <c r="D32" s="9" t="n"/>
      <c r="E32" s="12">
        <f>IF($A32="",0,IF($D32="Monthly",$C32,IF($D32="Annual",$C32/12,IF($D32="Weekly",$C32*52/12,IF($D32="Quarterly",$C32/3,$C32)))))</f>
        <v/>
      </c>
      <c r="F32" s="9" t="n"/>
      <c r="G32" s="9" t="n"/>
      <c r="H32" s="9" t="n"/>
      <c r="I32" s="9" t="n"/>
      <c r="J32" s="19" t="n"/>
      <c r="K32" s="9" t="n"/>
    </row>
    <row r="33">
      <c r="A33" s="9" t="n"/>
      <c r="B33" s="9" t="n"/>
      <c r="C33" s="10" t="n"/>
      <c r="D33" s="9" t="n"/>
      <c r="E33" s="12">
        <f>IF($A33="",0,IF($D33="Monthly",$C33,IF($D33="Annual",$C33/12,IF($D33="Weekly",$C33*52/12,IF($D33="Quarterly",$C33/3,$C33)))))</f>
        <v/>
      </c>
      <c r="F33" s="9" t="n"/>
      <c r="G33" s="9" t="n"/>
      <c r="H33" s="9" t="n"/>
      <c r="I33" s="9" t="n"/>
      <c r="J33" s="19" t="n"/>
      <c r="K33" s="9" t="n"/>
    </row>
    <row r="34">
      <c r="A34" s="9" t="n"/>
      <c r="B34" s="9" t="n"/>
      <c r="C34" s="10" t="n"/>
      <c r="D34" s="9" t="n"/>
      <c r="E34" s="12">
        <f>IF($A34="",0,IF($D34="Monthly",$C34,IF($D34="Annual",$C34/12,IF($D34="Weekly",$C34*52/12,IF($D34="Quarterly",$C34/3,$C34)))))</f>
        <v/>
      </c>
      <c r="F34" s="9" t="n"/>
      <c r="G34" s="9" t="n"/>
      <c r="H34" s="9" t="n"/>
      <c r="I34" s="9" t="n"/>
      <c r="J34" s="19" t="n"/>
      <c r="K34" s="9" t="n"/>
    </row>
    <row r="35">
      <c r="A35" s="9" t="n"/>
      <c r="B35" s="9" t="n"/>
      <c r="C35" s="10" t="n"/>
      <c r="D35" s="9" t="n"/>
      <c r="E35" s="12">
        <f>IF($A35="",0,IF($D35="Monthly",$C35,IF($D35="Annual",$C35/12,IF($D35="Weekly",$C35*52/12,IF($D35="Quarterly",$C35/3,$C35)))))</f>
        <v/>
      </c>
      <c r="F35" s="9" t="n"/>
      <c r="G35" s="9" t="n"/>
      <c r="H35" s="9" t="n"/>
      <c r="I35" s="9" t="n"/>
      <c r="J35" s="19" t="n"/>
      <c r="K35" s="9" t="n"/>
    </row>
    <row r="36">
      <c r="A36" s="9" t="n"/>
      <c r="B36" s="9" t="n"/>
      <c r="C36" s="10" t="n"/>
      <c r="D36" s="9" t="n"/>
      <c r="E36" s="12">
        <f>IF($A36="",0,IF($D36="Monthly",$C36,IF($D36="Annual",$C36/12,IF($D36="Weekly",$C36*52/12,IF($D36="Quarterly",$C36/3,$C36)))))</f>
        <v/>
      </c>
      <c r="F36" s="9" t="n"/>
      <c r="G36" s="9" t="n"/>
      <c r="H36" s="9" t="n"/>
      <c r="I36" s="9" t="n"/>
      <c r="J36" s="19" t="n"/>
      <c r="K36" s="9" t="n"/>
    </row>
    <row r="37">
      <c r="A37" s="9" t="n"/>
      <c r="B37" s="9" t="n"/>
      <c r="C37" s="10" t="n"/>
      <c r="D37" s="9" t="n"/>
      <c r="E37" s="12">
        <f>IF($A37="",0,IF($D37="Monthly",$C37,IF($D37="Annual",$C37/12,IF($D37="Weekly",$C37*52/12,IF($D37="Quarterly",$C37/3,$C37)))))</f>
        <v/>
      </c>
      <c r="F37" s="9" t="n"/>
      <c r="G37" s="9" t="n"/>
      <c r="H37" s="9" t="n"/>
      <c r="I37" s="9" t="n"/>
      <c r="J37" s="19" t="n"/>
      <c r="K37" s="9" t="n"/>
    </row>
    <row r="38">
      <c r="A38" s="9" t="n"/>
      <c r="B38" s="9" t="n"/>
      <c r="C38" s="10" t="n"/>
      <c r="D38" s="9" t="n"/>
      <c r="E38" s="12">
        <f>IF($A38="",0,IF($D38="Monthly",$C38,IF($D38="Annual",$C38/12,IF($D38="Weekly",$C38*52/12,IF($D38="Quarterly",$C38/3,$C38)))))</f>
        <v/>
      </c>
      <c r="F38" s="9" t="n"/>
      <c r="G38" s="9" t="n"/>
      <c r="H38" s="9" t="n"/>
      <c r="I38" s="9" t="n"/>
      <c r="J38" s="19" t="n"/>
      <c r="K38" s="9" t="n"/>
    </row>
    <row r="39">
      <c r="A39" s="9" t="n"/>
      <c r="B39" s="9" t="n"/>
      <c r="C39" s="10" t="n"/>
      <c r="D39" s="9" t="n"/>
      <c r="E39" s="12">
        <f>IF($A39="",0,IF($D39="Monthly",$C39,IF($D39="Annual",$C39/12,IF($D39="Weekly",$C39*52/12,IF($D39="Quarterly",$C39/3,$C39)))))</f>
        <v/>
      </c>
      <c r="F39" s="9" t="n"/>
      <c r="G39" s="9" t="n"/>
      <c r="H39" s="9" t="n"/>
      <c r="I39" s="9" t="n"/>
      <c r="J39" s="19" t="n"/>
      <c r="K39" s="9" t="n"/>
    </row>
    <row r="40">
      <c r="A40" s="9" t="n"/>
      <c r="B40" s="9" t="n"/>
      <c r="C40" s="10" t="n"/>
      <c r="D40" s="9" t="n"/>
      <c r="E40" s="12">
        <f>IF($A40="",0,IF($D40="Monthly",$C40,IF($D40="Annual",$C40/12,IF($D40="Weekly",$C40*52/12,IF($D40="Quarterly",$C40/3,$C40)))))</f>
        <v/>
      </c>
      <c r="F40" s="9" t="n"/>
      <c r="G40" s="9" t="n"/>
      <c r="H40" s="9" t="n"/>
      <c r="I40" s="9" t="n"/>
      <c r="J40" s="19" t="n"/>
      <c r="K40" s="9" t="n"/>
    </row>
    <row r="41">
      <c r="A41" s="9" t="n"/>
      <c r="B41" s="9" t="n"/>
      <c r="C41" s="10" t="n"/>
      <c r="D41" s="9" t="n"/>
      <c r="E41" s="12">
        <f>IF($A41="",0,IF($D41="Monthly",$C41,IF($D41="Annual",$C41/12,IF($D41="Weekly",$C41*52/12,IF($D41="Quarterly",$C41/3,$C41)))))</f>
        <v/>
      </c>
      <c r="F41" s="9" t="n"/>
      <c r="G41" s="9" t="n"/>
      <c r="H41" s="9" t="n"/>
      <c r="I41" s="9" t="n"/>
      <c r="J41" s="19" t="n"/>
      <c r="K41" s="9" t="n"/>
    </row>
    <row r="42">
      <c r="A42" s="9" t="n"/>
      <c r="B42" s="9" t="n"/>
      <c r="C42" s="10" t="n"/>
      <c r="D42" s="9" t="n"/>
      <c r="E42" s="12">
        <f>IF($A42="",0,IF($D42="Monthly",$C42,IF($D42="Annual",$C42/12,IF($D42="Weekly",$C42*52/12,IF($D42="Quarterly",$C42/3,$C42)))))</f>
        <v/>
      </c>
      <c r="F42" s="9" t="n"/>
      <c r="G42" s="9" t="n"/>
      <c r="H42" s="9" t="n"/>
      <c r="I42" s="9" t="n"/>
      <c r="J42" s="19" t="n"/>
      <c r="K42" s="9" t="n"/>
    </row>
    <row r="43">
      <c r="A43" s="9" t="n"/>
      <c r="B43" s="9" t="n"/>
      <c r="C43" s="10" t="n"/>
      <c r="D43" s="9" t="n"/>
      <c r="E43" s="12">
        <f>IF($A43="",0,IF($D43="Monthly",$C43,IF($D43="Annual",$C43/12,IF($D43="Weekly",$C43*52/12,IF($D43="Quarterly",$C43/3,$C43)))))</f>
        <v/>
      </c>
      <c r="F43" s="9" t="n"/>
      <c r="G43" s="9" t="n"/>
      <c r="H43" s="9" t="n"/>
      <c r="I43" s="9" t="n"/>
      <c r="J43" s="19" t="n"/>
      <c r="K43" s="9" t="n"/>
    </row>
    <row r="44">
      <c r="A44" s="9" t="n"/>
      <c r="B44" s="9" t="n"/>
      <c r="C44" s="10" t="n"/>
      <c r="D44" s="9" t="n"/>
      <c r="E44" s="12">
        <f>IF($A44="",0,IF($D44="Monthly",$C44,IF($D44="Annual",$C44/12,IF($D44="Weekly",$C44*52/12,IF($D44="Quarterly",$C44/3,$C44)))))</f>
        <v/>
      </c>
      <c r="F44" s="9" t="n"/>
      <c r="G44" s="9" t="n"/>
      <c r="H44" s="9" t="n"/>
      <c r="I44" s="9" t="n"/>
      <c r="J44" s="19" t="n"/>
      <c r="K44" s="9" t="n"/>
    </row>
    <row r="45">
      <c r="A45" s="9" t="n"/>
      <c r="B45" s="9" t="n"/>
      <c r="C45" s="10" t="n"/>
      <c r="D45" s="9" t="n"/>
      <c r="E45" s="12">
        <f>IF($A45="",0,IF($D45="Monthly",$C45,IF($D45="Annual",$C45/12,IF($D45="Weekly",$C45*52/12,IF($D45="Quarterly",$C45/3,$C45)))))</f>
        <v/>
      </c>
      <c r="F45" s="9" t="n"/>
      <c r="G45" s="9" t="n"/>
      <c r="H45" s="9" t="n"/>
      <c r="I45" s="9" t="n"/>
      <c r="J45" s="19" t="n"/>
      <c r="K45" s="9" t="n"/>
    </row>
    <row r="46">
      <c r="A46" s="9" t="n"/>
      <c r="B46" s="9" t="n"/>
      <c r="C46" s="10" t="n"/>
      <c r="D46" s="9" t="n"/>
      <c r="E46" s="12">
        <f>IF($A46="",0,IF($D46="Monthly",$C46,IF($D46="Annual",$C46/12,IF($D46="Weekly",$C46*52/12,IF($D46="Quarterly",$C46/3,$C46)))))</f>
        <v/>
      </c>
      <c r="F46" s="9" t="n"/>
      <c r="G46" s="9" t="n"/>
      <c r="H46" s="9" t="n"/>
      <c r="I46" s="9" t="n"/>
      <c r="J46" s="19" t="n"/>
      <c r="K46" s="9" t="n"/>
    </row>
    <row r="47">
      <c r="A47" s="9" t="n"/>
      <c r="B47" s="9" t="n"/>
      <c r="C47" s="10" t="n"/>
      <c r="D47" s="9" t="n"/>
      <c r="E47" s="12">
        <f>IF($A47="",0,IF($D47="Monthly",$C47,IF($D47="Annual",$C47/12,IF($D47="Weekly",$C47*52/12,IF($D47="Quarterly",$C47/3,$C47)))))</f>
        <v/>
      </c>
      <c r="F47" s="9" t="n"/>
      <c r="G47" s="9" t="n"/>
      <c r="H47" s="9" t="n"/>
      <c r="I47" s="9" t="n"/>
      <c r="J47" s="19" t="n"/>
      <c r="K47" s="9" t="n"/>
    </row>
    <row r="48">
      <c r="A48" s="9" t="n"/>
      <c r="B48" s="9" t="n"/>
      <c r="C48" s="10" t="n"/>
      <c r="D48" s="9" t="n"/>
      <c r="E48" s="12">
        <f>IF($A48="",0,IF($D48="Monthly",$C48,IF($D48="Annual",$C48/12,IF($D48="Weekly",$C48*52/12,IF($D48="Quarterly",$C48/3,$C48)))))</f>
        <v/>
      </c>
      <c r="F48" s="9" t="n"/>
      <c r="G48" s="9" t="n"/>
      <c r="H48" s="9" t="n"/>
      <c r="I48" s="9" t="n"/>
      <c r="J48" s="19" t="n"/>
      <c r="K48" s="9" t="n"/>
    </row>
    <row r="49">
      <c r="A49" s="9" t="n"/>
      <c r="B49" s="9" t="n"/>
      <c r="C49" s="10" t="n"/>
      <c r="D49" s="9" t="n"/>
      <c r="E49" s="12">
        <f>IF($A49="",0,IF($D49="Monthly",$C49,IF($D49="Annual",$C49/12,IF($D49="Weekly",$C49*52/12,IF($D49="Quarterly",$C49/3,$C49)))))</f>
        <v/>
      </c>
      <c r="F49" s="9" t="n"/>
      <c r="G49" s="9" t="n"/>
      <c r="H49" s="9" t="n"/>
      <c r="I49" s="9" t="n"/>
      <c r="J49" s="19" t="n"/>
      <c r="K49" s="9" t="n"/>
    </row>
    <row r="50">
      <c r="A50" s="9" t="n"/>
      <c r="B50" s="9" t="n"/>
      <c r="C50" s="10" t="n"/>
      <c r="D50" s="9" t="n"/>
      <c r="E50" s="12">
        <f>IF($A50="",0,IF($D50="Monthly",$C50,IF($D50="Annual",$C50/12,IF($D50="Weekly",$C50*52/12,IF($D50="Quarterly",$C50/3,$C50)))))</f>
        <v/>
      </c>
      <c r="F50" s="9" t="n"/>
      <c r="G50" s="9" t="n"/>
      <c r="H50" s="9" t="n"/>
      <c r="I50" s="9" t="n"/>
      <c r="J50" s="19" t="n"/>
      <c r="K50" s="9" t="n"/>
    </row>
    <row r="51">
      <c r="A51" s="9" t="n"/>
      <c r="B51" s="9" t="n"/>
      <c r="C51" s="10" t="n"/>
      <c r="D51" s="9" t="n"/>
      <c r="E51" s="12">
        <f>IF($A51="",0,IF($D51="Monthly",$C51,IF($D51="Annual",$C51/12,IF($D51="Weekly",$C51*52/12,IF($D51="Quarterly",$C51/3,$C51)))))</f>
        <v/>
      </c>
      <c r="F51" s="9" t="n"/>
      <c r="G51" s="9" t="n"/>
      <c r="H51" s="9" t="n"/>
      <c r="I51" s="9" t="n"/>
      <c r="J51" s="19" t="n"/>
      <c r="K51" s="9" t="n"/>
    </row>
    <row r="52">
      <c r="A52" s="9" t="n"/>
      <c r="B52" s="9" t="n"/>
      <c r="C52" s="10" t="n"/>
      <c r="D52" s="9" t="n"/>
      <c r="E52" s="12">
        <f>IF($A52="",0,IF($D52="Monthly",$C52,IF($D52="Annual",$C52/12,IF($D52="Weekly",$C52*52/12,IF($D52="Quarterly",$C52/3,$C52)))))</f>
        <v/>
      </c>
      <c r="F52" s="9" t="n"/>
      <c r="G52" s="9" t="n"/>
      <c r="H52" s="9" t="n"/>
      <c r="I52" s="9" t="n"/>
      <c r="J52" s="19" t="n"/>
      <c r="K52" s="9" t="n"/>
    </row>
    <row r="53">
      <c r="A53" s="9" t="n"/>
      <c r="B53" s="9" t="n"/>
      <c r="C53" s="10" t="n"/>
      <c r="D53" s="9" t="n"/>
      <c r="E53" s="12">
        <f>IF($A53="",0,IF($D53="Monthly",$C53,IF($D53="Annual",$C53/12,IF($D53="Weekly",$C53*52/12,IF($D53="Quarterly",$C53/3,$C53)))))</f>
        <v/>
      </c>
      <c r="F53" s="9" t="n"/>
      <c r="G53" s="9" t="n"/>
      <c r="H53" s="9" t="n"/>
      <c r="I53" s="9" t="n"/>
      <c r="J53" s="19" t="n"/>
      <c r="K53" s="9" t="n"/>
    </row>
    <row r="54">
      <c r="A54" s="9" t="n"/>
      <c r="B54" s="9" t="n"/>
      <c r="C54" s="10" t="n"/>
      <c r="D54" s="9" t="n"/>
      <c r="E54" s="12">
        <f>IF($A54="",0,IF($D54="Monthly",$C54,IF($D54="Annual",$C54/12,IF($D54="Weekly",$C54*52/12,IF($D54="Quarterly",$C54/3,$C54)))))</f>
        <v/>
      </c>
      <c r="F54" s="9" t="n"/>
      <c r="G54" s="9" t="n"/>
      <c r="H54" s="9" t="n"/>
      <c r="I54" s="9" t="n"/>
      <c r="J54" s="19" t="n"/>
      <c r="K54" s="9" t="n"/>
    </row>
    <row r="55">
      <c r="A55" s="9" t="n"/>
      <c r="B55" s="9" t="n"/>
      <c r="C55" s="10" t="n"/>
      <c r="D55" s="9" t="n"/>
      <c r="E55" s="12">
        <f>IF($A55="",0,IF($D55="Monthly",$C55,IF($D55="Annual",$C55/12,IF($D55="Weekly",$C55*52/12,IF($D55="Quarterly",$C55/3,$C55)))))</f>
        <v/>
      </c>
      <c r="F55" s="9" t="n"/>
      <c r="G55" s="9" t="n"/>
      <c r="H55" s="9" t="n"/>
      <c r="I55" s="9" t="n"/>
      <c r="J55" s="19" t="n"/>
      <c r="K55" s="9" t="n"/>
    </row>
    <row r="56">
      <c r="A56" s="9" t="n"/>
      <c r="B56" s="9" t="n"/>
      <c r="C56" s="10" t="n"/>
      <c r="D56" s="9" t="n"/>
      <c r="E56" s="12">
        <f>IF($A56="",0,IF($D56="Monthly",$C56,IF($D56="Annual",$C56/12,IF($D56="Weekly",$C56*52/12,IF($D56="Quarterly",$C56/3,$C56)))))</f>
        <v/>
      </c>
      <c r="F56" s="9" t="n"/>
      <c r="G56" s="9" t="n"/>
      <c r="H56" s="9" t="n"/>
      <c r="I56" s="9" t="n"/>
      <c r="J56" s="19" t="n"/>
      <c r="K56" s="9" t="n"/>
    </row>
    <row r="57">
      <c r="A57" s="9" t="n"/>
      <c r="B57" s="9" t="n"/>
      <c r="C57" s="10" t="n"/>
      <c r="D57" s="9" t="n"/>
      <c r="E57" s="12">
        <f>IF($A57="",0,IF($D57="Monthly",$C57,IF($D57="Annual",$C57/12,IF($D57="Weekly",$C57*52/12,IF($D57="Quarterly",$C57/3,$C57)))))</f>
        <v/>
      </c>
      <c r="F57" s="9" t="n"/>
      <c r="G57" s="9" t="n"/>
      <c r="H57" s="9" t="n"/>
      <c r="I57" s="9" t="n"/>
      <c r="J57" s="19" t="n"/>
      <c r="K57" s="9" t="n"/>
    </row>
    <row r="58">
      <c r="A58" s="9" t="n"/>
      <c r="B58" s="9" t="n"/>
      <c r="C58" s="10" t="n"/>
      <c r="D58" s="9" t="n"/>
      <c r="E58" s="12">
        <f>IF($A58="",0,IF($D58="Monthly",$C58,IF($D58="Annual",$C58/12,IF($D58="Weekly",$C58*52/12,IF($D58="Quarterly",$C58/3,$C58)))))</f>
        <v/>
      </c>
      <c r="F58" s="9" t="n"/>
      <c r="G58" s="9" t="n"/>
      <c r="H58" s="9" t="n"/>
      <c r="I58" s="9" t="n"/>
      <c r="J58" s="19" t="n"/>
      <c r="K58" s="9" t="n"/>
    </row>
    <row r="59">
      <c r="A59" s="9" t="n"/>
      <c r="B59" s="9" t="n"/>
      <c r="C59" s="10" t="n"/>
      <c r="D59" s="9" t="n"/>
      <c r="E59" s="12">
        <f>IF($A59="",0,IF($D59="Monthly",$C59,IF($D59="Annual",$C59/12,IF($D59="Weekly",$C59*52/12,IF($D59="Quarterly",$C59/3,$C59)))))</f>
        <v/>
      </c>
      <c r="F59" s="9" t="n"/>
      <c r="G59" s="9" t="n"/>
      <c r="H59" s="9" t="n"/>
      <c r="I59" s="9" t="n"/>
      <c r="J59" s="19" t="n"/>
      <c r="K59" s="9" t="n"/>
    </row>
    <row r="60">
      <c r="A60" s="9" t="n"/>
      <c r="B60" s="9" t="n"/>
      <c r="C60" s="10" t="n"/>
      <c r="D60" s="9" t="n"/>
      <c r="E60" s="12">
        <f>IF($A60="",0,IF($D60="Monthly",$C60,IF($D60="Annual",$C60/12,IF($D60="Weekly",$C60*52/12,IF($D60="Quarterly",$C60/3,$C60)))))</f>
        <v/>
      </c>
      <c r="F60" s="9" t="n"/>
      <c r="G60" s="9" t="n"/>
      <c r="H60" s="9" t="n"/>
      <c r="I60" s="9" t="n"/>
      <c r="J60" s="19" t="n"/>
      <c r="K60" s="9" t="n"/>
    </row>
    <row r="61">
      <c r="A61" s="9" t="n"/>
      <c r="B61" s="9" t="n"/>
      <c r="C61" s="10" t="n"/>
      <c r="D61" s="9" t="n"/>
      <c r="E61" s="12">
        <f>IF($A61="",0,IF($D61="Monthly",$C61,IF($D61="Annual",$C61/12,IF($D61="Weekly",$C61*52/12,IF($D61="Quarterly",$C61/3,$C61)))))</f>
        <v/>
      </c>
      <c r="F61" s="9" t="n"/>
      <c r="G61" s="9" t="n"/>
      <c r="H61" s="9" t="n"/>
      <c r="I61" s="9" t="n"/>
      <c r="J61" s="19" t="n"/>
      <c r="K61" s="9" t="n"/>
    </row>
    <row r="62">
      <c r="A62" s="9" t="n"/>
      <c r="B62" s="9" t="n"/>
      <c r="C62" s="10" t="n"/>
      <c r="D62" s="9" t="n"/>
      <c r="E62" s="12">
        <f>IF($A62="",0,IF($D62="Monthly",$C62,IF($D62="Annual",$C62/12,IF($D62="Weekly",$C62*52/12,IF($D62="Quarterly",$C62/3,$C62)))))</f>
        <v/>
      </c>
      <c r="F62" s="9" t="n"/>
      <c r="G62" s="9" t="n"/>
      <c r="H62" s="9" t="n"/>
      <c r="I62" s="9" t="n"/>
      <c r="J62" s="19" t="n"/>
      <c r="K62" s="9" t="n"/>
    </row>
    <row r="63">
      <c r="A63" s="9" t="n"/>
      <c r="B63" s="9" t="n"/>
      <c r="C63" s="10" t="n"/>
      <c r="D63" s="9" t="n"/>
      <c r="E63" s="12">
        <f>IF($A63="",0,IF($D63="Monthly",$C63,IF($D63="Annual",$C63/12,IF($D63="Weekly",$C63*52/12,IF($D63="Quarterly",$C63/3,$C63)))))</f>
        <v/>
      </c>
      <c r="F63" s="9" t="n"/>
      <c r="G63" s="9" t="n"/>
      <c r="H63" s="9" t="n"/>
      <c r="I63" s="9" t="n"/>
      <c r="J63" s="19" t="n"/>
      <c r="K63" s="9" t="n"/>
    </row>
    <row r="64">
      <c r="A64" s="9" t="n"/>
      <c r="B64" s="9" t="n"/>
      <c r="C64" s="10" t="n"/>
      <c r="D64" s="9" t="n"/>
      <c r="E64" s="12">
        <f>IF($A64="",0,IF($D64="Monthly",$C64,IF($D64="Annual",$C64/12,IF($D64="Weekly",$C64*52/12,IF($D64="Quarterly",$C64/3,$C64)))))</f>
        <v/>
      </c>
      <c r="F64" s="9" t="n"/>
      <c r="G64" s="9" t="n"/>
      <c r="H64" s="9" t="n"/>
      <c r="I64" s="9" t="n"/>
      <c r="J64" s="19" t="n"/>
      <c r="K64" s="9" t="n"/>
    </row>
    <row r="65">
      <c r="A65" s="9" t="n"/>
      <c r="B65" s="9" t="n"/>
      <c r="C65" s="10" t="n"/>
      <c r="D65" s="9" t="n"/>
      <c r="E65" s="12">
        <f>IF($A65="",0,IF($D65="Monthly",$C65,IF($D65="Annual",$C65/12,IF($D65="Weekly",$C65*52/12,IF($D65="Quarterly",$C65/3,$C65)))))</f>
        <v/>
      </c>
      <c r="F65" s="9" t="n"/>
      <c r="G65" s="9" t="n"/>
      <c r="H65" s="9" t="n"/>
      <c r="I65" s="9" t="n"/>
      <c r="J65" s="19" t="n"/>
      <c r="K65" s="9" t="n"/>
    </row>
    <row r="66">
      <c r="A66" s="9" t="n"/>
      <c r="B66" s="9" t="n"/>
      <c r="C66" s="10" t="n"/>
      <c r="D66" s="9" t="n"/>
      <c r="E66" s="12">
        <f>IF($A66="",0,IF($D66="Monthly",$C66,IF($D66="Annual",$C66/12,IF($D66="Weekly",$C66*52/12,IF($D66="Quarterly",$C66/3,$C66)))))</f>
        <v/>
      </c>
      <c r="F66" s="9" t="n"/>
      <c r="G66" s="9" t="n"/>
      <c r="H66" s="9" t="n"/>
      <c r="I66" s="9" t="n"/>
      <c r="J66" s="19" t="n"/>
      <c r="K66" s="9" t="n"/>
    </row>
    <row r="67">
      <c r="A67" s="9" t="n"/>
      <c r="B67" s="9" t="n"/>
      <c r="C67" s="10" t="n"/>
      <c r="D67" s="9" t="n"/>
      <c r="E67" s="12">
        <f>IF($A67="",0,IF($D67="Monthly",$C67,IF($D67="Annual",$C67/12,IF($D67="Weekly",$C67*52/12,IF($D67="Quarterly",$C67/3,$C67)))))</f>
        <v/>
      </c>
      <c r="F67" s="9" t="n"/>
      <c r="G67" s="9" t="n"/>
      <c r="H67" s="9" t="n"/>
      <c r="I67" s="9" t="n"/>
      <c r="J67" s="19" t="n"/>
      <c r="K67" s="9" t="n"/>
    </row>
    <row r="68">
      <c r="A68" s="9" t="n"/>
      <c r="B68" s="9" t="n"/>
      <c r="C68" s="10" t="n"/>
      <c r="D68" s="9" t="n"/>
      <c r="E68" s="12">
        <f>IF($A68="",0,IF($D68="Monthly",$C68,IF($D68="Annual",$C68/12,IF($D68="Weekly",$C68*52/12,IF($D68="Quarterly",$C68/3,$C68)))))</f>
        <v/>
      </c>
      <c r="F68" s="9" t="n"/>
      <c r="G68" s="9" t="n"/>
      <c r="H68" s="9" t="n"/>
      <c r="I68" s="9" t="n"/>
      <c r="J68" s="19" t="n"/>
      <c r="K68" s="9" t="n"/>
    </row>
    <row r="69">
      <c r="A69" s="9" t="n"/>
      <c r="B69" s="9" t="n"/>
      <c r="C69" s="10" t="n"/>
      <c r="D69" s="9" t="n"/>
      <c r="E69" s="12">
        <f>IF($A69="",0,IF($D69="Monthly",$C69,IF($D69="Annual",$C69/12,IF($D69="Weekly",$C69*52/12,IF($D69="Quarterly",$C69/3,$C69)))))</f>
        <v/>
      </c>
      <c r="F69" s="9" t="n"/>
      <c r="G69" s="9" t="n"/>
      <c r="H69" s="9" t="n"/>
      <c r="I69" s="9" t="n"/>
      <c r="J69" s="19" t="n"/>
      <c r="K69" s="9" t="n"/>
    </row>
    <row r="70">
      <c r="A70" s="9" t="n"/>
      <c r="B70" s="9" t="n"/>
      <c r="C70" s="10" t="n"/>
      <c r="D70" s="9" t="n"/>
      <c r="E70" s="12">
        <f>IF($A70="",0,IF($D70="Monthly",$C70,IF($D70="Annual",$C70/12,IF($D70="Weekly",$C70*52/12,IF($D70="Quarterly",$C70/3,$C70)))))</f>
        <v/>
      </c>
      <c r="F70" s="9" t="n"/>
      <c r="G70" s="9" t="n"/>
      <c r="H70" s="9" t="n"/>
      <c r="I70" s="9" t="n"/>
      <c r="J70" s="19" t="n"/>
      <c r="K70" s="9" t="n"/>
    </row>
    <row r="71">
      <c r="A71" s="9" t="n"/>
      <c r="B71" s="9" t="n"/>
      <c r="C71" s="10" t="n"/>
      <c r="D71" s="9" t="n"/>
      <c r="E71" s="12">
        <f>IF($A71="",0,IF($D71="Monthly",$C71,IF($D71="Annual",$C71/12,IF($D71="Weekly",$C71*52/12,IF($D71="Quarterly",$C71/3,$C71)))))</f>
        <v/>
      </c>
      <c r="F71" s="9" t="n"/>
      <c r="G71" s="9" t="n"/>
      <c r="H71" s="9" t="n"/>
      <c r="I71" s="9" t="n"/>
      <c r="J71" s="19" t="n"/>
      <c r="K71" s="9" t="n"/>
    </row>
    <row r="72">
      <c r="A72" s="9" t="n"/>
      <c r="B72" s="9" t="n"/>
      <c r="C72" s="10" t="n"/>
      <c r="D72" s="9" t="n"/>
      <c r="E72" s="12">
        <f>IF($A72="",0,IF($D72="Monthly",$C72,IF($D72="Annual",$C72/12,IF($D72="Weekly",$C72*52/12,IF($D72="Quarterly",$C72/3,$C72)))))</f>
        <v/>
      </c>
      <c r="F72" s="9" t="n"/>
      <c r="G72" s="9" t="n"/>
      <c r="H72" s="9" t="n"/>
      <c r="I72" s="9" t="n"/>
      <c r="J72" s="19" t="n"/>
      <c r="K72" s="9" t="n"/>
    </row>
    <row r="73">
      <c r="A73" s="9" t="n"/>
      <c r="B73" s="9" t="n"/>
      <c r="C73" s="10" t="n"/>
      <c r="D73" s="9" t="n"/>
      <c r="E73" s="12">
        <f>IF($A73="",0,IF($D73="Monthly",$C73,IF($D73="Annual",$C73/12,IF($D73="Weekly",$C73*52/12,IF($D73="Quarterly",$C73/3,$C73)))))</f>
        <v/>
      </c>
      <c r="F73" s="9" t="n"/>
      <c r="G73" s="9" t="n"/>
      <c r="H73" s="9" t="n"/>
      <c r="I73" s="9" t="n"/>
      <c r="J73" s="19" t="n"/>
      <c r="K73" s="9" t="n"/>
    </row>
    <row r="74">
      <c r="A74" s="9" t="n"/>
      <c r="B74" s="9" t="n"/>
      <c r="C74" s="10" t="n"/>
      <c r="D74" s="9" t="n"/>
      <c r="E74" s="12">
        <f>IF($A74="",0,IF($D74="Monthly",$C74,IF($D74="Annual",$C74/12,IF($D74="Weekly",$C74*52/12,IF($D74="Quarterly",$C74/3,$C74)))))</f>
        <v/>
      </c>
      <c r="F74" s="9" t="n"/>
      <c r="G74" s="9" t="n"/>
      <c r="H74" s="9" t="n"/>
      <c r="I74" s="9" t="n"/>
      <c r="J74" s="19" t="n"/>
      <c r="K74" s="9" t="n"/>
    </row>
    <row r="75">
      <c r="A75" s="9" t="n"/>
      <c r="B75" s="9" t="n"/>
      <c r="C75" s="10" t="n"/>
      <c r="D75" s="9" t="n"/>
      <c r="E75" s="12">
        <f>IF($A75="",0,IF($D75="Monthly",$C75,IF($D75="Annual",$C75/12,IF($D75="Weekly",$C75*52/12,IF($D75="Quarterly",$C75/3,$C75)))))</f>
        <v/>
      </c>
      <c r="F75" s="9" t="n"/>
      <c r="G75" s="9" t="n"/>
      <c r="H75" s="9" t="n"/>
      <c r="I75" s="9" t="n"/>
      <c r="J75" s="19" t="n"/>
      <c r="K75" s="9" t="n"/>
    </row>
    <row r="76">
      <c r="A76" s="9" t="n"/>
      <c r="B76" s="9" t="n"/>
      <c r="C76" s="10" t="n"/>
      <c r="D76" s="9" t="n"/>
      <c r="E76" s="12">
        <f>IF($A76="",0,IF($D76="Monthly",$C76,IF($D76="Annual",$C76/12,IF($D76="Weekly",$C76*52/12,IF($D76="Quarterly",$C76/3,$C76)))))</f>
        <v/>
      </c>
      <c r="F76" s="9" t="n"/>
      <c r="G76" s="9" t="n"/>
      <c r="H76" s="9" t="n"/>
      <c r="I76" s="9" t="n"/>
      <c r="J76" s="19" t="n"/>
      <c r="K76" s="9" t="n"/>
    </row>
    <row r="77">
      <c r="A77" s="9" t="n"/>
      <c r="B77" s="9" t="n"/>
      <c r="C77" s="10" t="n"/>
      <c r="D77" s="9" t="n"/>
      <c r="E77" s="12">
        <f>IF($A77="",0,IF($D77="Monthly",$C77,IF($D77="Annual",$C77/12,IF($D77="Weekly",$C77*52/12,IF($D77="Quarterly",$C77/3,$C77)))))</f>
        <v/>
      </c>
      <c r="F77" s="9" t="n"/>
      <c r="G77" s="9" t="n"/>
      <c r="H77" s="9" t="n"/>
      <c r="I77" s="9" t="n"/>
      <c r="J77" s="19" t="n"/>
      <c r="K77" s="9" t="n"/>
    </row>
    <row r="78">
      <c r="A78" s="9" t="n"/>
      <c r="B78" s="9" t="n"/>
      <c r="C78" s="10" t="n"/>
      <c r="D78" s="9" t="n"/>
      <c r="E78" s="12">
        <f>IF($A78="",0,IF($D78="Monthly",$C78,IF($D78="Annual",$C78/12,IF($D78="Weekly",$C78*52/12,IF($D78="Quarterly",$C78/3,$C78)))))</f>
        <v/>
      </c>
      <c r="F78" s="9" t="n"/>
      <c r="G78" s="9" t="n"/>
      <c r="H78" s="9" t="n"/>
      <c r="I78" s="9" t="n"/>
      <c r="J78" s="19" t="n"/>
      <c r="K78" s="9" t="n"/>
    </row>
    <row r="79">
      <c r="A79" s="9" t="n"/>
      <c r="B79" s="9" t="n"/>
      <c r="C79" s="10" t="n"/>
      <c r="D79" s="9" t="n"/>
      <c r="E79" s="12">
        <f>IF($A79="",0,IF($D79="Monthly",$C79,IF($D79="Annual",$C79/12,IF($D79="Weekly",$C79*52/12,IF($D79="Quarterly",$C79/3,$C79)))))</f>
        <v/>
      </c>
      <c r="F79" s="9" t="n"/>
      <c r="G79" s="9" t="n"/>
      <c r="H79" s="9" t="n"/>
      <c r="I79" s="9" t="n"/>
      <c r="J79" s="19" t="n"/>
      <c r="K79" s="9" t="n"/>
    </row>
    <row r="80">
      <c r="A80" s="9" t="n"/>
      <c r="B80" s="9" t="n"/>
      <c r="C80" s="10" t="n"/>
      <c r="D80" s="9" t="n"/>
      <c r="E80" s="12">
        <f>IF($A80="",0,IF($D80="Monthly",$C80,IF($D80="Annual",$C80/12,IF($D80="Weekly",$C80*52/12,IF($D80="Quarterly",$C80/3,$C80)))))</f>
        <v/>
      </c>
      <c r="F80" s="9" t="n"/>
      <c r="G80" s="9" t="n"/>
      <c r="H80" s="9" t="n"/>
      <c r="I80" s="9" t="n"/>
      <c r="J80" s="19" t="n"/>
      <c r="K80" s="9" t="n"/>
    </row>
    <row r="81">
      <c r="A81" s="9" t="n"/>
      <c r="B81" s="9" t="n"/>
      <c r="C81" s="10" t="n"/>
      <c r="D81" s="9" t="n"/>
      <c r="E81" s="12">
        <f>IF($A81="",0,IF($D81="Monthly",$C81,IF($D81="Annual",$C81/12,IF($D81="Weekly",$C81*52/12,IF($D81="Quarterly",$C81/3,$C81)))))</f>
        <v/>
      </c>
      <c r="F81" s="9" t="n"/>
      <c r="G81" s="9" t="n"/>
      <c r="H81" s="9" t="n"/>
      <c r="I81" s="9" t="n"/>
      <c r="J81" s="19" t="n"/>
      <c r="K81" s="9" t="n"/>
    </row>
    <row r="82">
      <c r="A82" s="9" t="n"/>
      <c r="B82" s="9" t="n"/>
      <c r="C82" s="10" t="n"/>
      <c r="D82" s="9" t="n"/>
      <c r="E82" s="12">
        <f>IF($A82="",0,IF($D82="Monthly",$C82,IF($D82="Annual",$C82/12,IF($D82="Weekly",$C82*52/12,IF($D82="Quarterly",$C82/3,$C82)))))</f>
        <v/>
      </c>
      <c r="F82" s="9" t="n"/>
      <c r="G82" s="9" t="n"/>
      <c r="H82" s="9" t="n"/>
      <c r="I82" s="9" t="n"/>
      <c r="J82" s="19" t="n"/>
      <c r="K82" s="9" t="n"/>
    </row>
    <row r="83">
      <c r="A83" s="9" t="n"/>
      <c r="B83" s="9" t="n"/>
      <c r="C83" s="10" t="n"/>
      <c r="D83" s="9" t="n"/>
      <c r="E83" s="12">
        <f>IF($A83="",0,IF($D83="Monthly",$C83,IF($D83="Annual",$C83/12,IF($D83="Weekly",$C83*52/12,IF($D83="Quarterly",$C83/3,$C83)))))</f>
        <v/>
      </c>
      <c r="F83" s="9" t="n"/>
      <c r="G83" s="9" t="n"/>
      <c r="H83" s="9" t="n"/>
      <c r="I83" s="9" t="n"/>
      <c r="J83" s="19" t="n"/>
      <c r="K83" s="9" t="n"/>
    </row>
    <row r="84">
      <c r="A84" s="9" t="n"/>
      <c r="B84" s="9" t="n"/>
      <c r="C84" s="10" t="n"/>
      <c r="D84" s="9" t="n"/>
      <c r="E84" s="12">
        <f>IF($A84="",0,IF($D84="Monthly",$C84,IF($D84="Annual",$C84/12,IF($D84="Weekly",$C84*52/12,IF($D84="Quarterly",$C84/3,$C84)))))</f>
        <v/>
      </c>
      <c r="F84" s="9" t="n"/>
      <c r="G84" s="9" t="n"/>
      <c r="H84" s="9" t="n"/>
      <c r="I84" s="9" t="n"/>
      <c r="J84" s="19" t="n"/>
      <c r="K84" s="9" t="n"/>
    </row>
    <row r="85">
      <c r="A85" s="9" t="n"/>
      <c r="B85" s="9" t="n"/>
      <c r="C85" s="10" t="n"/>
      <c r="D85" s="9" t="n"/>
      <c r="E85" s="12">
        <f>IF($A85="",0,IF($D85="Monthly",$C85,IF($D85="Annual",$C85/12,IF($D85="Weekly",$C85*52/12,IF($D85="Quarterly",$C85/3,$C85)))))</f>
        <v/>
      </c>
      <c r="F85" s="9" t="n"/>
      <c r="G85" s="9" t="n"/>
      <c r="H85" s="9" t="n"/>
      <c r="I85" s="9" t="n"/>
      <c r="J85" s="19" t="n"/>
      <c r="K85" s="9" t="n"/>
    </row>
    <row r="86">
      <c r="A86" s="9" t="n"/>
      <c r="B86" s="9" t="n"/>
      <c r="C86" s="10" t="n"/>
      <c r="D86" s="9" t="n"/>
      <c r="E86" s="12">
        <f>IF($A86="",0,IF($D86="Monthly",$C86,IF($D86="Annual",$C86/12,IF($D86="Weekly",$C86*52/12,IF($D86="Quarterly",$C86/3,$C86)))))</f>
        <v/>
      </c>
      <c r="F86" s="9" t="n"/>
      <c r="G86" s="9" t="n"/>
      <c r="H86" s="9" t="n"/>
      <c r="I86" s="9" t="n"/>
      <c r="J86" s="19" t="n"/>
      <c r="K86" s="9" t="n"/>
    </row>
    <row r="87">
      <c r="A87" s="9" t="n"/>
      <c r="B87" s="9" t="n"/>
      <c r="C87" s="10" t="n"/>
      <c r="D87" s="9" t="n"/>
      <c r="E87" s="12">
        <f>IF($A87="",0,IF($D87="Monthly",$C87,IF($D87="Annual",$C87/12,IF($D87="Weekly",$C87*52/12,IF($D87="Quarterly",$C87/3,$C87)))))</f>
        <v/>
      </c>
      <c r="F87" s="9" t="n"/>
      <c r="G87" s="9" t="n"/>
      <c r="H87" s="9" t="n"/>
      <c r="I87" s="9" t="n"/>
      <c r="J87" s="19" t="n"/>
      <c r="K87" s="9" t="n"/>
    </row>
    <row r="88">
      <c r="A88" s="9" t="n"/>
      <c r="B88" s="9" t="n"/>
      <c r="C88" s="10" t="n"/>
      <c r="D88" s="9" t="n"/>
      <c r="E88" s="12">
        <f>IF($A88="",0,IF($D88="Monthly",$C88,IF($D88="Annual",$C88/12,IF($D88="Weekly",$C88*52/12,IF($D88="Quarterly",$C88/3,$C88)))))</f>
        <v/>
      </c>
      <c r="F88" s="9" t="n"/>
      <c r="G88" s="9" t="n"/>
      <c r="H88" s="9" t="n"/>
      <c r="I88" s="9" t="n"/>
      <c r="J88" s="19" t="n"/>
      <c r="K88" s="9" t="n"/>
    </row>
    <row r="89">
      <c r="A89" s="9" t="n"/>
      <c r="B89" s="9" t="n"/>
      <c r="C89" s="10" t="n"/>
      <c r="D89" s="9" t="n"/>
      <c r="E89" s="12">
        <f>IF($A89="",0,IF($D89="Monthly",$C89,IF($D89="Annual",$C89/12,IF($D89="Weekly",$C89*52/12,IF($D89="Quarterly",$C89/3,$C89)))))</f>
        <v/>
      </c>
      <c r="F89" s="9" t="n"/>
      <c r="G89" s="9" t="n"/>
      <c r="H89" s="9" t="n"/>
      <c r="I89" s="9" t="n"/>
      <c r="J89" s="19" t="n"/>
      <c r="K89" s="9" t="n"/>
    </row>
    <row r="90">
      <c r="A90" s="9" t="n"/>
      <c r="B90" s="9" t="n"/>
      <c r="C90" s="10" t="n"/>
      <c r="D90" s="9" t="n"/>
      <c r="E90" s="12">
        <f>IF($A90="",0,IF($D90="Monthly",$C90,IF($D90="Annual",$C90/12,IF($D90="Weekly",$C90*52/12,IF($D90="Quarterly",$C90/3,$C90)))))</f>
        <v/>
      </c>
      <c r="F90" s="9" t="n"/>
      <c r="G90" s="9" t="n"/>
      <c r="H90" s="9" t="n"/>
      <c r="I90" s="9" t="n"/>
      <c r="J90" s="19" t="n"/>
      <c r="K90" s="9" t="n"/>
    </row>
    <row r="91">
      <c r="A91" s="9" t="n"/>
      <c r="B91" s="9" t="n"/>
      <c r="C91" s="10" t="n"/>
      <c r="D91" s="9" t="n"/>
      <c r="E91" s="12">
        <f>IF($A91="",0,IF($D91="Monthly",$C91,IF($D91="Annual",$C91/12,IF($D91="Weekly",$C91*52/12,IF($D91="Quarterly",$C91/3,$C91)))))</f>
        <v/>
      </c>
      <c r="F91" s="9" t="n"/>
      <c r="G91" s="9" t="n"/>
      <c r="H91" s="9" t="n"/>
      <c r="I91" s="9" t="n"/>
      <c r="J91" s="19" t="n"/>
      <c r="K91" s="9" t="n"/>
    </row>
    <row r="92">
      <c r="A92" s="9" t="n"/>
      <c r="B92" s="9" t="n"/>
      <c r="C92" s="10" t="n"/>
      <c r="D92" s="9" t="n"/>
      <c r="E92" s="12">
        <f>IF($A92="",0,IF($D92="Monthly",$C92,IF($D92="Annual",$C92/12,IF($D92="Weekly",$C92*52/12,IF($D92="Quarterly",$C92/3,$C92)))))</f>
        <v/>
      </c>
      <c r="F92" s="9" t="n"/>
      <c r="G92" s="9" t="n"/>
      <c r="H92" s="9" t="n"/>
      <c r="I92" s="9" t="n"/>
      <c r="J92" s="19" t="n"/>
      <c r="K92" s="9" t="n"/>
    </row>
    <row r="93">
      <c r="A93" s="9" t="n"/>
      <c r="B93" s="9" t="n"/>
      <c r="C93" s="10" t="n"/>
      <c r="D93" s="9" t="n"/>
      <c r="E93" s="12">
        <f>IF($A93="",0,IF($D93="Monthly",$C93,IF($D93="Annual",$C93/12,IF($D93="Weekly",$C93*52/12,IF($D93="Quarterly",$C93/3,$C93)))))</f>
        <v/>
      </c>
      <c r="F93" s="9" t="n"/>
      <c r="G93" s="9" t="n"/>
      <c r="H93" s="9" t="n"/>
      <c r="I93" s="9" t="n"/>
      <c r="J93" s="19" t="n"/>
      <c r="K93" s="9" t="n"/>
    </row>
    <row r="94">
      <c r="A94" s="9" t="n"/>
      <c r="B94" s="9" t="n"/>
      <c r="C94" s="10" t="n"/>
      <c r="D94" s="9" t="n"/>
      <c r="E94" s="12">
        <f>IF($A94="",0,IF($D94="Monthly",$C94,IF($D94="Annual",$C94/12,IF($D94="Weekly",$C94*52/12,IF($D94="Quarterly",$C94/3,$C94)))))</f>
        <v/>
      </c>
      <c r="F94" s="9" t="n"/>
      <c r="G94" s="9" t="n"/>
      <c r="H94" s="9" t="n"/>
      <c r="I94" s="9" t="n"/>
      <c r="J94" s="19" t="n"/>
      <c r="K94" s="9" t="n"/>
    </row>
    <row r="95">
      <c r="A95" s="9" t="n"/>
      <c r="B95" s="9" t="n"/>
      <c r="C95" s="10" t="n"/>
      <c r="D95" s="9" t="n"/>
      <c r="E95" s="12">
        <f>IF($A95="",0,IF($D95="Monthly",$C95,IF($D95="Annual",$C95/12,IF($D95="Weekly",$C95*52/12,IF($D95="Quarterly",$C95/3,$C95)))))</f>
        <v/>
      </c>
      <c r="F95" s="9" t="n"/>
      <c r="G95" s="9" t="n"/>
      <c r="H95" s="9" t="n"/>
      <c r="I95" s="9" t="n"/>
      <c r="J95" s="19" t="n"/>
      <c r="K95" s="9" t="n"/>
    </row>
    <row r="96">
      <c r="A96" s="9" t="n"/>
      <c r="B96" s="9" t="n"/>
      <c r="C96" s="10" t="n"/>
      <c r="D96" s="9" t="n"/>
      <c r="E96" s="12">
        <f>IF($A96="",0,IF($D96="Monthly",$C96,IF($D96="Annual",$C96/12,IF($D96="Weekly",$C96*52/12,IF($D96="Quarterly",$C96/3,$C96)))))</f>
        <v/>
      </c>
      <c r="F96" s="9" t="n"/>
      <c r="G96" s="9" t="n"/>
      <c r="H96" s="9" t="n"/>
      <c r="I96" s="9" t="n"/>
      <c r="J96" s="19" t="n"/>
      <c r="K96" s="9" t="n"/>
    </row>
    <row r="97">
      <c r="A97" s="9" t="n"/>
      <c r="B97" s="9" t="n"/>
      <c r="C97" s="10" t="n"/>
      <c r="D97" s="9" t="n"/>
      <c r="E97" s="12">
        <f>IF($A97="",0,IF($D97="Monthly",$C97,IF($D97="Annual",$C97/12,IF($D97="Weekly",$C97*52/12,IF($D97="Quarterly",$C97/3,$C97)))))</f>
        <v/>
      </c>
      <c r="F97" s="9" t="n"/>
      <c r="G97" s="9" t="n"/>
      <c r="H97" s="9" t="n"/>
      <c r="I97" s="9" t="n"/>
      <c r="J97" s="19" t="n"/>
      <c r="K97" s="9" t="n"/>
    </row>
    <row r="98">
      <c r="A98" s="9" t="n"/>
      <c r="B98" s="9" t="n"/>
      <c r="C98" s="10" t="n"/>
      <c r="D98" s="9" t="n"/>
      <c r="E98" s="12">
        <f>IF($A98="",0,IF($D98="Monthly",$C98,IF($D98="Annual",$C98/12,IF($D98="Weekly",$C98*52/12,IF($D98="Quarterly",$C98/3,$C98)))))</f>
        <v/>
      </c>
      <c r="F98" s="9" t="n"/>
      <c r="G98" s="9" t="n"/>
      <c r="H98" s="9" t="n"/>
      <c r="I98" s="9" t="n"/>
      <c r="J98" s="19" t="n"/>
      <c r="K98" s="9" t="n"/>
    </row>
    <row r="99">
      <c r="A99" s="9" t="n"/>
      <c r="B99" s="9" t="n"/>
      <c r="C99" s="10" t="n"/>
      <c r="D99" s="9" t="n"/>
      <c r="E99" s="12">
        <f>IF($A99="",0,IF($D99="Monthly",$C99,IF($D99="Annual",$C99/12,IF($D99="Weekly",$C99*52/12,IF($D99="Quarterly",$C99/3,$C99)))))</f>
        <v/>
      </c>
      <c r="F99" s="9" t="n"/>
      <c r="G99" s="9" t="n"/>
      <c r="H99" s="9" t="n"/>
      <c r="I99" s="9" t="n"/>
      <c r="J99" s="19" t="n"/>
      <c r="K99" s="9" t="n"/>
    </row>
    <row r="100">
      <c r="A100" s="9" t="n"/>
      <c r="B100" s="9" t="n"/>
      <c r="C100" s="10" t="n"/>
      <c r="D100" s="9" t="n"/>
      <c r="E100" s="12">
        <f>IF($A100="",0,IF($D100="Monthly",$C100,IF($D100="Annual",$C100/12,IF($D100="Weekly",$C100*52/12,IF($D100="Quarterly",$C100/3,$C100)))))</f>
        <v/>
      </c>
      <c r="F100" s="9" t="n"/>
      <c r="G100" s="9" t="n"/>
      <c r="H100" s="9" t="n"/>
      <c r="I100" s="9" t="n"/>
      <c r="J100" s="19" t="n"/>
      <c r="K100" s="9" t="n"/>
    </row>
    <row r="101">
      <c r="A101" s="9" t="n"/>
      <c r="B101" s="9" t="n"/>
      <c r="C101" s="10" t="n"/>
      <c r="D101" s="9" t="n"/>
      <c r="E101" s="12">
        <f>IF($A101="",0,IF($D101="Monthly",$C101,IF($D101="Annual",$C101/12,IF($D101="Weekly",$C101*52/12,IF($D101="Quarterly",$C101/3,$C101)))))</f>
        <v/>
      </c>
      <c r="F101" s="9" t="n"/>
      <c r="G101" s="9" t="n"/>
      <c r="H101" s="9" t="n"/>
      <c r="I101" s="9" t="n"/>
      <c r="J101" s="19" t="n"/>
      <c r="K101" s="9" t="n"/>
    </row>
    <row r="102">
      <c r="A102" s="9" t="n"/>
      <c r="B102" s="9" t="n"/>
      <c r="C102" s="10" t="n"/>
      <c r="D102" s="9" t="n"/>
      <c r="E102" s="12">
        <f>IF($A102="",0,IF($D102="Monthly",$C102,IF($D102="Annual",$C102/12,IF($D102="Weekly",$C102*52/12,IF($D102="Quarterly",$C102/3,$C102)))))</f>
        <v/>
      </c>
      <c r="F102" s="9" t="n"/>
      <c r="G102" s="9" t="n"/>
      <c r="H102" s="9" t="n"/>
      <c r="I102" s="9" t="n"/>
      <c r="J102" s="19" t="n"/>
      <c r="K102" s="9" t="n"/>
    </row>
    <row r="103">
      <c r="A103" s="9" t="n"/>
      <c r="B103" s="9" t="n"/>
      <c r="C103" s="10" t="n"/>
      <c r="D103" s="9" t="n"/>
      <c r="E103" s="12">
        <f>IF($A103="",0,IF($D103="Monthly",$C103,IF($D103="Annual",$C103/12,IF($D103="Weekly",$C103*52/12,IF($D103="Quarterly",$C103/3,$C103)))))</f>
        <v/>
      </c>
      <c r="F103" s="9" t="n"/>
      <c r="G103" s="9" t="n"/>
      <c r="H103" s="9" t="n"/>
      <c r="I103" s="9" t="n"/>
      <c r="J103" s="19" t="n"/>
      <c r="K103" s="9" t="n"/>
    </row>
    <row r="104">
      <c r="A104" s="9" t="n"/>
      <c r="B104" s="9" t="n"/>
      <c r="C104" s="10" t="n"/>
      <c r="D104" s="9" t="n"/>
      <c r="E104" s="12">
        <f>IF($A104="",0,IF($D104="Monthly",$C104,IF($D104="Annual",$C104/12,IF($D104="Weekly",$C104*52/12,IF($D104="Quarterly",$C104/3,$C104)))))</f>
        <v/>
      </c>
      <c r="F104" s="9" t="n"/>
      <c r="G104" s="9" t="n"/>
      <c r="H104" s="9" t="n"/>
      <c r="I104" s="9" t="n"/>
      <c r="J104" s="19" t="n"/>
      <c r="K104" s="9" t="n"/>
    </row>
    <row r="105">
      <c r="A105" s="9" t="n"/>
      <c r="B105" s="9" t="n"/>
      <c r="C105" s="10" t="n"/>
      <c r="D105" s="9" t="n"/>
      <c r="E105" s="12">
        <f>IF($A105="",0,IF($D105="Monthly",$C105,IF($D105="Annual",$C105/12,IF($D105="Weekly",$C105*52/12,IF($D105="Quarterly",$C105/3,$C105)))))</f>
        <v/>
      </c>
      <c r="F105" s="9" t="n"/>
      <c r="G105" s="9" t="n"/>
      <c r="H105" s="9" t="n"/>
      <c r="I105" s="9" t="n"/>
      <c r="J105" s="19" t="n"/>
      <c r="K105" s="9" t="n"/>
    </row>
    <row r="106">
      <c r="A106" s="9" t="n"/>
      <c r="B106" s="9" t="n"/>
      <c r="C106" s="10" t="n"/>
      <c r="D106" s="9" t="n"/>
      <c r="E106" s="12">
        <f>IF($A106="",0,IF($D106="Monthly",$C106,IF($D106="Annual",$C106/12,IF($D106="Weekly",$C106*52/12,IF($D106="Quarterly",$C106/3,$C106)))))</f>
        <v/>
      </c>
      <c r="F106" s="9" t="n"/>
      <c r="G106" s="9" t="n"/>
      <c r="H106" s="9" t="n"/>
      <c r="I106" s="9" t="n"/>
      <c r="J106" s="19" t="n"/>
      <c r="K106" s="9" t="n"/>
    </row>
    <row r="107">
      <c r="A107" s="9" t="n"/>
      <c r="B107" s="9" t="n"/>
      <c r="C107" s="10" t="n"/>
      <c r="D107" s="9" t="n"/>
      <c r="E107" s="12">
        <f>IF($A107="",0,IF($D107="Monthly",$C107,IF($D107="Annual",$C107/12,IF($D107="Weekly",$C107*52/12,IF($D107="Quarterly",$C107/3,$C107)))))</f>
        <v/>
      </c>
      <c r="F107" s="9" t="n"/>
      <c r="G107" s="9" t="n"/>
      <c r="H107" s="9" t="n"/>
      <c r="I107" s="9" t="n"/>
      <c r="J107" s="19" t="n"/>
      <c r="K107" s="9" t="n"/>
    </row>
    <row r="108">
      <c r="A108" s="9" t="n"/>
      <c r="B108" s="9" t="n"/>
      <c r="C108" s="10" t="n"/>
      <c r="D108" s="9" t="n"/>
      <c r="E108" s="12">
        <f>IF($A108="",0,IF($D108="Monthly",$C108,IF($D108="Annual",$C108/12,IF($D108="Weekly",$C108*52/12,IF($D108="Quarterly",$C108/3,$C108)))))</f>
        <v/>
      </c>
      <c r="F108" s="9" t="n"/>
      <c r="G108" s="9" t="n"/>
      <c r="H108" s="9" t="n"/>
      <c r="I108" s="9" t="n"/>
      <c r="J108" s="19" t="n"/>
      <c r="K108" s="9" t="n"/>
    </row>
    <row r="109">
      <c r="A109" s="9" t="n"/>
      <c r="B109" s="9" t="n"/>
      <c r="C109" s="10" t="n"/>
      <c r="D109" s="9" t="n"/>
      <c r="E109" s="12">
        <f>IF($A109="",0,IF($D109="Monthly",$C109,IF($D109="Annual",$C109/12,IF($D109="Weekly",$C109*52/12,IF($D109="Quarterly",$C109/3,$C109)))))</f>
        <v/>
      </c>
      <c r="F109" s="9" t="n"/>
      <c r="G109" s="9" t="n"/>
      <c r="H109" s="9" t="n"/>
      <c r="I109" s="9" t="n"/>
      <c r="J109" s="19" t="n"/>
      <c r="K109" s="9" t="n"/>
    </row>
    <row r="110">
      <c r="A110" s="9" t="n"/>
      <c r="B110" s="9" t="n"/>
      <c r="C110" s="10" t="n"/>
      <c r="D110" s="9" t="n"/>
      <c r="E110" s="12">
        <f>IF($A110="",0,IF($D110="Monthly",$C110,IF($D110="Annual",$C110/12,IF($D110="Weekly",$C110*52/12,IF($D110="Quarterly",$C110/3,$C110)))))</f>
        <v/>
      </c>
      <c r="F110" s="9" t="n"/>
      <c r="G110" s="9" t="n"/>
      <c r="H110" s="9" t="n"/>
      <c r="I110" s="9" t="n"/>
      <c r="J110" s="19" t="n"/>
      <c r="K110" s="9" t="n"/>
    </row>
    <row r="111">
      <c r="A111" s="9" t="n"/>
      <c r="B111" s="9" t="n"/>
      <c r="C111" s="10" t="n"/>
      <c r="D111" s="9" t="n"/>
      <c r="E111" s="12">
        <f>IF($A111="",0,IF($D111="Monthly",$C111,IF($D111="Annual",$C111/12,IF($D111="Weekly",$C111*52/12,IF($D111="Quarterly",$C111/3,$C111)))))</f>
        <v/>
      </c>
      <c r="F111" s="9" t="n"/>
      <c r="G111" s="9" t="n"/>
      <c r="H111" s="9" t="n"/>
      <c r="I111" s="9" t="n"/>
      <c r="J111" s="19" t="n"/>
      <c r="K111" s="9" t="n"/>
    </row>
    <row r="112">
      <c r="A112" s="9" t="n"/>
      <c r="B112" s="9" t="n"/>
      <c r="C112" s="10" t="n"/>
      <c r="D112" s="9" t="n"/>
      <c r="E112" s="12">
        <f>IF($A112="",0,IF($D112="Monthly",$C112,IF($D112="Annual",$C112/12,IF($D112="Weekly",$C112*52/12,IF($D112="Quarterly",$C112/3,$C112)))))</f>
        <v/>
      </c>
      <c r="F112" s="9" t="n"/>
      <c r="G112" s="9" t="n"/>
      <c r="H112" s="9" t="n"/>
      <c r="I112" s="9" t="n"/>
      <c r="J112" s="19" t="n"/>
      <c r="K112" s="9" t="n"/>
    </row>
    <row r="113">
      <c r="A113" s="9" t="n"/>
      <c r="B113" s="9" t="n"/>
      <c r="C113" s="10" t="n"/>
      <c r="D113" s="9" t="n"/>
      <c r="E113" s="12">
        <f>IF($A113="",0,IF($D113="Monthly",$C113,IF($D113="Annual",$C113/12,IF($D113="Weekly",$C113*52/12,IF($D113="Quarterly",$C113/3,$C113)))))</f>
        <v/>
      </c>
      <c r="F113" s="9" t="n"/>
      <c r="G113" s="9" t="n"/>
      <c r="H113" s="9" t="n"/>
      <c r="I113" s="9" t="n"/>
      <c r="J113" s="19" t="n"/>
      <c r="K113" s="9" t="n"/>
    </row>
    <row r="114">
      <c r="A114" s="9" t="n"/>
      <c r="B114" s="9" t="n"/>
      <c r="C114" s="10" t="n"/>
      <c r="D114" s="9" t="n"/>
      <c r="E114" s="12">
        <f>IF($A114="",0,IF($D114="Monthly",$C114,IF($D114="Annual",$C114/12,IF($D114="Weekly",$C114*52/12,IF($D114="Quarterly",$C114/3,$C114)))))</f>
        <v/>
      </c>
      <c r="F114" s="9" t="n"/>
      <c r="G114" s="9" t="n"/>
      <c r="H114" s="9" t="n"/>
      <c r="I114" s="9" t="n"/>
      <c r="J114" s="19" t="n"/>
      <c r="K114" s="9" t="n"/>
    </row>
    <row r="115">
      <c r="A115" s="9" t="n"/>
      <c r="B115" s="9" t="n"/>
      <c r="C115" s="10" t="n"/>
      <c r="D115" s="9" t="n"/>
      <c r="E115" s="12">
        <f>IF($A115="",0,IF($D115="Monthly",$C115,IF($D115="Annual",$C115/12,IF($D115="Weekly",$C115*52/12,IF($D115="Quarterly",$C115/3,$C115)))))</f>
        <v/>
      </c>
      <c r="F115" s="9" t="n"/>
      <c r="G115" s="9" t="n"/>
      <c r="H115" s="9" t="n"/>
      <c r="I115" s="9" t="n"/>
      <c r="J115" s="19" t="n"/>
      <c r="K115" s="9" t="n"/>
    </row>
    <row r="116">
      <c r="A116" s="9" t="n"/>
      <c r="B116" s="9" t="n"/>
      <c r="C116" s="10" t="n"/>
      <c r="D116" s="9" t="n"/>
      <c r="E116" s="12">
        <f>IF($A116="",0,IF($D116="Monthly",$C116,IF($D116="Annual",$C116/12,IF($D116="Weekly",$C116*52/12,IF($D116="Quarterly",$C116/3,$C116)))))</f>
        <v/>
      </c>
      <c r="F116" s="9" t="n"/>
      <c r="G116" s="9" t="n"/>
      <c r="H116" s="9" t="n"/>
      <c r="I116" s="9" t="n"/>
      <c r="J116" s="19" t="n"/>
      <c r="K116" s="9" t="n"/>
    </row>
    <row r="117">
      <c r="A117" s="9" t="n"/>
      <c r="B117" s="9" t="n"/>
      <c r="C117" s="10" t="n"/>
      <c r="D117" s="9" t="n"/>
      <c r="E117" s="12">
        <f>IF($A117="",0,IF($D117="Monthly",$C117,IF($D117="Annual",$C117/12,IF($D117="Weekly",$C117*52/12,IF($D117="Quarterly",$C117/3,$C117)))))</f>
        <v/>
      </c>
      <c r="F117" s="9" t="n"/>
      <c r="G117" s="9" t="n"/>
      <c r="H117" s="9" t="n"/>
      <c r="I117" s="9" t="n"/>
      <c r="J117" s="19" t="n"/>
      <c r="K117" s="9" t="n"/>
    </row>
    <row r="118">
      <c r="A118" s="9" t="n"/>
      <c r="B118" s="9" t="n"/>
      <c r="C118" s="10" t="n"/>
      <c r="D118" s="9" t="n"/>
      <c r="E118" s="12">
        <f>IF($A118="",0,IF($D118="Monthly",$C118,IF($D118="Annual",$C118/12,IF($D118="Weekly",$C118*52/12,IF($D118="Quarterly",$C118/3,$C118)))))</f>
        <v/>
      </c>
      <c r="F118" s="9" t="n"/>
      <c r="G118" s="9" t="n"/>
      <c r="H118" s="9" t="n"/>
      <c r="I118" s="9" t="n"/>
      <c r="J118" s="19" t="n"/>
      <c r="K118" s="9" t="n"/>
    </row>
    <row r="119">
      <c r="A119" s="9" t="n"/>
      <c r="B119" s="9" t="n"/>
      <c r="C119" s="10" t="n"/>
      <c r="D119" s="9" t="n"/>
      <c r="E119" s="12">
        <f>IF($A119="",0,IF($D119="Monthly",$C119,IF($D119="Annual",$C119/12,IF($D119="Weekly",$C119*52/12,IF($D119="Quarterly",$C119/3,$C119)))))</f>
        <v/>
      </c>
      <c r="F119" s="9" t="n"/>
      <c r="G119" s="9" t="n"/>
      <c r="H119" s="9" t="n"/>
      <c r="I119" s="9" t="n"/>
      <c r="J119" s="19" t="n"/>
      <c r="K119" s="9" t="n"/>
    </row>
    <row r="120">
      <c r="A120" s="9" t="n"/>
      <c r="B120" s="9" t="n"/>
      <c r="C120" s="10" t="n"/>
      <c r="D120" s="9" t="n"/>
      <c r="E120" s="12">
        <f>IF($A120="",0,IF($D120="Monthly",$C120,IF($D120="Annual",$C120/12,IF($D120="Weekly",$C120*52/12,IF($D120="Quarterly",$C120/3,$C120)))))</f>
        <v/>
      </c>
      <c r="F120" s="9" t="n"/>
      <c r="G120" s="9" t="n"/>
      <c r="H120" s="9" t="n"/>
      <c r="I120" s="9" t="n"/>
      <c r="J120" s="19" t="n"/>
      <c r="K120" s="9" t="n"/>
    </row>
    <row r="121">
      <c r="A121" s="9" t="n"/>
      <c r="B121" s="9" t="n"/>
      <c r="C121" s="10" t="n"/>
      <c r="D121" s="9" t="n"/>
      <c r="E121" s="12">
        <f>IF($A121="",0,IF($D121="Monthly",$C121,IF($D121="Annual",$C121/12,IF($D121="Weekly",$C121*52/12,IF($D121="Quarterly",$C121/3,$C121)))))</f>
        <v/>
      </c>
      <c r="F121" s="9" t="n"/>
      <c r="G121" s="9" t="n"/>
      <c r="H121" s="9" t="n"/>
      <c r="I121" s="9" t="n"/>
      <c r="J121" s="19" t="n"/>
      <c r="K121" s="9" t="n"/>
    </row>
    <row r="122">
      <c r="A122" s="9" t="n"/>
      <c r="B122" s="9" t="n"/>
      <c r="C122" s="10" t="n"/>
      <c r="D122" s="9" t="n"/>
      <c r="E122" s="12">
        <f>IF($A122="",0,IF($D122="Monthly",$C122,IF($D122="Annual",$C122/12,IF($D122="Weekly",$C122*52/12,IF($D122="Quarterly",$C122/3,$C122)))))</f>
        <v/>
      </c>
      <c r="F122" s="9" t="n"/>
      <c r="G122" s="9" t="n"/>
      <c r="H122" s="9" t="n"/>
      <c r="I122" s="9" t="n"/>
      <c r="J122" s="19" t="n"/>
      <c r="K122" s="9" t="n"/>
    </row>
    <row r="123">
      <c r="A123" s="9" t="n"/>
      <c r="B123" s="9" t="n"/>
      <c r="C123" s="10" t="n"/>
      <c r="D123" s="9" t="n"/>
      <c r="E123" s="12">
        <f>IF($A123="",0,IF($D123="Monthly",$C123,IF($D123="Annual",$C123/12,IF($D123="Weekly",$C123*52/12,IF($D123="Quarterly",$C123/3,$C123)))))</f>
        <v/>
      </c>
      <c r="F123" s="9" t="n"/>
      <c r="G123" s="9" t="n"/>
      <c r="H123" s="9" t="n"/>
      <c r="I123" s="9" t="n"/>
      <c r="J123" s="19" t="n"/>
      <c r="K123" s="9" t="n"/>
    </row>
    <row r="124">
      <c r="A124" s="9" t="n"/>
      <c r="B124" s="9" t="n"/>
      <c r="C124" s="10" t="n"/>
      <c r="D124" s="9" t="n"/>
      <c r="E124" s="12">
        <f>IF($A124="",0,IF($D124="Monthly",$C124,IF($D124="Annual",$C124/12,IF($D124="Weekly",$C124*52/12,IF($D124="Quarterly",$C124/3,$C124)))))</f>
        <v/>
      </c>
      <c r="F124" s="9" t="n"/>
      <c r="G124" s="9" t="n"/>
      <c r="H124" s="9" t="n"/>
      <c r="I124" s="9" t="n"/>
      <c r="J124" s="19" t="n"/>
      <c r="K124" s="9" t="n"/>
    </row>
    <row r="125">
      <c r="A125" s="9" t="n"/>
      <c r="B125" s="9" t="n"/>
      <c r="C125" s="10" t="n"/>
      <c r="D125" s="9" t="n"/>
      <c r="E125" s="12">
        <f>IF($A125="",0,IF($D125="Monthly",$C125,IF($D125="Annual",$C125/12,IF($D125="Weekly",$C125*52/12,IF($D125="Quarterly",$C125/3,$C125)))))</f>
        <v/>
      </c>
      <c r="F125" s="9" t="n"/>
      <c r="G125" s="9" t="n"/>
      <c r="H125" s="9" t="n"/>
      <c r="I125" s="9" t="n"/>
      <c r="J125" s="19" t="n"/>
      <c r="K125" s="9" t="n"/>
    </row>
    <row r="126">
      <c r="A126" s="9" t="n"/>
      <c r="B126" s="9" t="n"/>
      <c r="C126" s="10" t="n"/>
      <c r="D126" s="9" t="n"/>
      <c r="E126" s="12">
        <f>IF($A126="",0,IF($D126="Monthly",$C126,IF($D126="Annual",$C126/12,IF($D126="Weekly",$C126*52/12,IF($D126="Quarterly",$C126/3,$C126)))))</f>
        <v/>
      </c>
      <c r="F126" s="9" t="n"/>
      <c r="G126" s="9" t="n"/>
      <c r="H126" s="9" t="n"/>
      <c r="I126" s="9" t="n"/>
      <c r="J126" s="19" t="n"/>
      <c r="K126" s="9" t="n"/>
    </row>
    <row r="127">
      <c r="A127" s="9" t="n"/>
      <c r="B127" s="9" t="n"/>
      <c r="C127" s="10" t="n"/>
      <c r="D127" s="9" t="n"/>
      <c r="E127" s="12">
        <f>IF($A127="",0,IF($D127="Monthly",$C127,IF($D127="Annual",$C127/12,IF($D127="Weekly",$C127*52/12,IF($D127="Quarterly",$C127/3,$C127)))))</f>
        <v/>
      </c>
      <c r="F127" s="9" t="n"/>
      <c r="G127" s="9" t="n"/>
      <c r="H127" s="9" t="n"/>
      <c r="I127" s="9" t="n"/>
      <c r="J127" s="19" t="n"/>
      <c r="K127" s="9" t="n"/>
    </row>
    <row r="128">
      <c r="A128" s="9" t="n"/>
      <c r="B128" s="9" t="n"/>
      <c r="C128" s="10" t="n"/>
      <c r="D128" s="9" t="n"/>
      <c r="E128" s="12">
        <f>IF($A128="",0,IF($D128="Monthly",$C128,IF($D128="Annual",$C128/12,IF($D128="Weekly",$C128*52/12,IF($D128="Quarterly",$C128/3,$C128)))))</f>
        <v/>
      </c>
      <c r="F128" s="9" t="n"/>
      <c r="G128" s="9" t="n"/>
      <c r="H128" s="9" t="n"/>
      <c r="I128" s="9" t="n"/>
      <c r="J128" s="19" t="n"/>
      <c r="K128" s="9" t="n"/>
    </row>
    <row r="129">
      <c r="A129" s="9" t="n"/>
      <c r="B129" s="9" t="n"/>
      <c r="C129" s="10" t="n"/>
      <c r="D129" s="9" t="n"/>
      <c r="E129" s="12">
        <f>IF($A129="",0,IF($D129="Monthly",$C129,IF($D129="Annual",$C129/12,IF($D129="Weekly",$C129*52/12,IF($D129="Quarterly",$C129/3,$C129)))))</f>
        <v/>
      </c>
      <c r="F129" s="9" t="n"/>
      <c r="G129" s="9" t="n"/>
      <c r="H129" s="9" t="n"/>
      <c r="I129" s="9" t="n"/>
      <c r="J129" s="19" t="n"/>
      <c r="K129" s="9" t="n"/>
    </row>
    <row r="130">
      <c r="A130" s="9" t="n"/>
      <c r="B130" s="9" t="n"/>
      <c r="C130" s="10" t="n"/>
      <c r="D130" s="9" t="n"/>
      <c r="E130" s="12">
        <f>IF($A130="",0,IF($D130="Monthly",$C130,IF($D130="Annual",$C130/12,IF($D130="Weekly",$C130*52/12,IF($D130="Quarterly",$C130/3,$C130)))))</f>
        <v/>
      </c>
      <c r="F130" s="9" t="n"/>
      <c r="G130" s="9" t="n"/>
      <c r="H130" s="9" t="n"/>
      <c r="I130" s="9" t="n"/>
      <c r="J130" s="19" t="n"/>
      <c r="K130" s="9" t="n"/>
    </row>
    <row r="131">
      <c r="A131" s="9" t="n"/>
      <c r="B131" s="9" t="n"/>
      <c r="C131" s="10" t="n"/>
      <c r="D131" s="9" t="n"/>
      <c r="E131" s="12">
        <f>IF($A131="",0,IF($D131="Monthly",$C131,IF($D131="Annual",$C131/12,IF($D131="Weekly",$C131*52/12,IF($D131="Quarterly",$C131/3,$C131)))))</f>
        <v/>
      </c>
      <c r="F131" s="9" t="n"/>
      <c r="G131" s="9" t="n"/>
      <c r="H131" s="9" t="n"/>
      <c r="I131" s="9" t="n"/>
      <c r="J131" s="19" t="n"/>
      <c r="K131" s="9" t="n"/>
    </row>
    <row r="132">
      <c r="A132" s="9" t="n"/>
      <c r="B132" s="9" t="n"/>
      <c r="C132" s="10" t="n"/>
      <c r="D132" s="9" t="n"/>
      <c r="E132" s="12">
        <f>IF($A132="",0,IF($D132="Monthly",$C132,IF($D132="Annual",$C132/12,IF($D132="Weekly",$C132*52/12,IF($D132="Quarterly",$C132/3,$C132)))))</f>
        <v/>
      </c>
      <c r="F132" s="9" t="n"/>
      <c r="G132" s="9" t="n"/>
      <c r="H132" s="9" t="n"/>
      <c r="I132" s="9" t="n"/>
      <c r="J132" s="19" t="n"/>
      <c r="K132" s="9" t="n"/>
    </row>
    <row r="133">
      <c r="A133" s="9" t="n"/>
      <c r="B133" s="9" t="n"/>
      <c r="C133" s="10" t="n"/>
      <c r="D133" s="9" t="n"/>
      <c r="E133" s="12">
        <f>IF($A133="",0,IF($D133="Monthly",$C133,IF($D133="Annual",$C133/12,IF($D133="Weekly",$C133*52/12,IF($D133="Quarterly",$C133/3,$C133)))))</f>
        <v/>
      </c>
      <c r="F133" s="9" t="n"/>
      <c r="G133" s="9" t="n"/>
      <c r="H133" s="9" t="n"/>
      <c r="I133" s="9" t="n"/>
      <c r="J133" s="19" t="n"/>
      <c r="K133" s="9" t="n"/>
    </row>
    <row r="134">
      <c r="A134" s="9" t="n"/>
      <c r="B134" s="9" t="n"/>
      <c r="C134" s="10" t="n"/>
      <c r="D134" s="9" t="n"/>
      <c r="E134" s="12">
        <f>IF($A134="",0,IF($D134="Monthly",$C134,IF($D134="Annual",$C134/12,IF($D134="Weekly",$C134*52/12,IF($D134="Quarterly",$C134/3,$C134)))))</f>
        <v/>
      </c>
      <c r="F134" s="9" t="n"/>
      <c r="G134" s="9" t="n"/>
      <c r="H134" s="9" t="n"/>
      <c r="I134" s="9" t="n"/>
      <c r="J134" s="19" t="n"/>
      <c r="K134" s="9" t="n"/>
    </row>
    <row r="135">
      <c r="A135" s="9" t="n"/>
      <c r="B135" s="9" t="n"/>
      <c r="C135" s="10" t="n"/>
      <c r="D135" s="9" t="n"/>
      <c r="E135" s="12">
        <f>IF($A135="",0,IF($D135="Monthly",$C135,IF($D135="Annual",$C135/12,IF($D135="Weekly",$C135*52/12,IF($D135="Quarterly",$C135/3,$C135)))))</f>
        <v/>
      </c>
      <c r="F135" s="9" t="n"/>
      <c r="G135" s="9" t="n"/>
      <c r="H135" s="9" t="n"/>
      <c r="I135" s="9" t="n"/>
      <c r="J135" s="19" t="n"/>
      <c r="K135" s="9" t="n"/>
    </row>
    <row r="136">
      <c r="A136" s="9" t="n"/>
      <c r="B136" s="9" t="n"/>
      <c r="C136" s="10" t="n"/>
      <c r="D136" s="9" t="n"/>
      <c r="E136" s="12">
        <f>IF($A136="",0,IF($D136="Monthly",$C136,IF($D136="Annual",$C136/12,IF($D136="Weekly",$C136*52/12,IF($D136="Quarterly",$C136/3,$C136)))))</f>
        <v/>
      </c>
      <c r="F136" s="9" t="n"/>
      <c r="G136" s="9" t="n"/>
      <c r="H136" s="9" t="n"/>
      <c r="I136" s="9" t="n"/>
      <c r="J136" s="19" t="n"/>
      <c r="K136" s="9" t="n"/>
    </row>
    <row r="137">
      <c r="A137" s="9" t="n"/>
      <c r="B137" s="9" t="n"/>
      <c r="C137" s="10" t="n"/>
      <c r="D137" s="9" t="n"/>
      <c r="E137" s="12">
        <f>IF($A137="",0,IF($D137="Monthly",$C137,IF($D137="Annual",$C137/12,IF($D137="Weekly",$C137*52/12,IF($D137="Quarterly",$C137/3,$C137)))))</f>
        <v/>
      </c>
      <c r="F137" s="9" t="n"/>
      <c r="G137" s="9" t="n"/>
      <c r="H137" s="9" t="n"/>
      <c r="I137" s="9" t="n"/>
      <c r="J137" s="19" t="n"/>
      <c r="K137" s="9" t="n"/>
    </row>
    <row r="138">
      <c r="A138" s="9" t="n"/>
      <c r="B138" s="9" t="n"/>
      <c r="C138" s="10" t="n"/>
      <c r="D138" s="9" t="n"/>
      <c r="E138" s="12">
        <f>IF($A138="",0,IF($D138="Monthly",$C138,IF($D138="Annual",$C138/12,IF($D138="Weekly",$C138*52/12,IF($D138="Quarterly",$C138/3,$C138)))))</f>
        <v/>
      </c>
      <c r="F138" s="9" t="n"/>
      <c r="G138" s="9" t="n"/>
      <c r="H138" s="9" t="n"/>
      <c r="I138" s="9" t="n"/>
      <c r="J138" s="19" t="n"/>
      <c r="K138" s="9" t="n"/>
    </row>
    <row r="139">
      <c r="A139" s="9" t="n"/>
      <c r="B139" s="9" t="n"/>
      <c r="C139" s="10" t="n"/>
      <c r="D139" s="9" t="n"/>
      <c r="E139" s="12">
        <f>IF($A139="",0,IF($D139="Monthly",$C139,IF($D139="Annual",$C139/12,IF($D139="Weekly",$C139*52/12,IF($D139="Quarterly",$C139/3,$C139)))))</f>
        <v/>
      </c>
      <c r="F139" s="9" t="n"/>
      <c r="G139" s="9" t="n"/>
      <c r="H139" s="9" t="n"/>
      <c r="I139" s="9" t="n"/>
      <c r="J139" s="19" t="n"/>
      <c r="K139" s="9" t="n"/>
    </row>
    <row r="140">
      <c r="A140" s="9" t="n"/>
      <c r="B140" s="9" t="n"/>
      <c r="C140" s="10" t="n"/>
      <c r="D140" s="9" t="n"/>
      <c r="E140" s="12">
        <f>IF($A140="",0,IF($D140="Monthly",$C140,IF($D140="Annual",$C140/12,IF($D140="Weekly",$C140*52/12,IF($D140="Quarterly",$C140/3,$C140)))))</f>
        <v/>
      </c>
      <c r="F140" s="9" t="n"/>
      <c r="G140" s="9" t="n"/>
      <c r="H140" s="9" t="n"/>
      <c r="I140" s="9" t="n"/>
      <c r="J140" s="19" t="n"/>
      <c r="K140" s="9" t="n"/>
    </row>
    <row r="141">
      <c r="A141" s="9" t="n"/>
      <c r="B141" s="9" t="n"/>
      <c r="C141" s="10" t="n"/>
      <c r="D141" s="9" t="n"/>
      <c r="E141" s="12">
        <f>IF($A141="",0,IF($D141="Monthly",$C141,IF($D141="Annual",$C141/12,IF($D141="Weekly",$C141*52/12,IF($D141="Quarterly",$C141/3,$C141)))))</f>
        <v/>
      </c>
      <c r="F141" s="9" t="n"/>
      <c r="G141" s="9" t="n"/>
      <c r="H141" s="9" t="n"/>
      <c r="I141" s="9" t="n"/>
      <c r="J141" s="19" t="n"/>
      <c r="K141" s="9" t="n"/>
    </row>
    <row r="142">
      <c r="A142" s="9" t="n"/>
      <c r="B142" s="9" t="n"/>
      <c r="C142" s="10" t="n"/>
      <c r="D142" s="9" t="n"/>
      <c r="E142" s="12">
        <f>IF($A142="",0,IF($D142="Monthly",$C142,IF($D142="Annual",$C142/12,IF($D142="Weekly",$C142*52/12,IF($D142="Quarterly",$C142/3,$C142)))))</f>
        <v/>
      </c>
      <c r="F142" s="9" t="n"/>
      <c r="G142" s="9" t="n"/>
      <c r="H142" s="9" t="n"/>
      <c r="I142" s="9" t="n"/>
      <c r="J142" s="19" t="n"/>
      <c r="K142" s="9" t="n"/>
    </row>
    <row r="143">
      <c r="A143" s="9" t="n"/>
      <c r="B143" s="9" t="n"/>
      <c r="C143" s="10" t="n"/>
      <c r="D143" s="9" t="n"/>
      <c r="E143" s="12">
        <f>IF($A143="",0,IF($D143="Monthly",$C143,IF($D143="Annual",$C143/12,IF($D143="Weekly",$C143*52/12,IF($D143="Quarterly",$C143/3,$C143)))))</f>
        <v/>
      </c>
      <c r="F143" s="9" t="n"/>
      <c r="G143" s="9" t="n"/>
      <c r="H143" s="9" t="n"/>
      <c r="I143" s="9" t="n"/>
      <c r="J143" s="19" t="n"/>
      <c r="K143" s="9" t="n"/>
    </row>
    <row r="144">
      <c r="A144" s="9" t="n"/>
      <c r="B144" s="9" t="n"/>
      <c r="C144" s="10" t="n"/>
      <c r="D144" s="9" t="n"/>
      <c r="E144" s="12">
        <f>IF($A144="",0,IF($D144="Monthly",$C144,IF($D144="Annual",$C144/12,IF($D144="Weekly",$C144*52/12,IF($D144="Quarterly",$C144/3,$C144)))))</f>
        <v/>
      </c>
      <c r="F144" s="9" t="n"/>
      <c r="G144" s="9" t="n"/>
      <c r="H144" s="9" t="n"/>
      <c r="I144" s="9" t="n"/>
      <c r="J144" s="19" t="n"/>
      <c r="K144" s="9" t="n"/>
    </row>
    <row r="145">
      <c r="A145" s="9" t="n"/>
      <c r="B145" s="9" t="n"/>
      <c r="C145" s="10" t="n"/>
      <c r="D145" s="9" t="n"/>
      <c r="E145" s="12">
        <f>IF($A145="",0,IF($D145="Monthly",$C145,IF($D145="Annual",$C145/12,IF($D145="Weekly",$C145*52/12,IF($D145="Quarterly",$C145/3,$C145)))))</f>
        <v/>
      </c>
      <c r="F145" s="9" t="n"/>
      <c r="G145" s="9" t="n"/>
      <c r="H145" s="9" t="n"/>
      <c r="I145" s="9" t="n"/>
      <c r="J145" s="19" t="n"/>
      <c r="K145" s="9" t="n"/>
    </row>
    <row r="146">
      <c r="A146" s="9" t="n"/>
      <c r="B146" s="9" t="n"/>
      <c r="C146" s="10" t="n"/>
      <c r="D146" s="9" t="n"/>
      <c r="E146" s="12">
        <f>IF($A146="",0,IF($D146="Monthly",$C146,IF($D146="Annual",$C146/12,IF($D146="Weekly",$C146*52/12,IF($D146="Quarterly",$C146/3,$C146)))))</f>
        <v/>
      </c>
      <c r="F146" s="9" t="n"/>
      <c r="G146" s="9" t="n"/>
      <c r="H146" s="9" t="n"/>
      <c r="I146" s="9" t="n"/>
      <c r="J146" s="19" t="n"/>
      <c r="K146" s="9" t="n"/>
    </row>
    <row r="147">
      <c r="A147" s="9" t="n"/>
      <c r="B147" s="9" t="n"/>
      <c r="C147" s="10" t="n"/>
      <c r="D147" s="9" t="n"/>
      <c r="E147" s="12">
        <f>IF($A147="",0,IF($D147="Monthly",$C147,IF($D147="Annual",$C147/12,IF($D147="Weekly",$C147*52/12,IF($D147="Quarterly",$C147/3,$C147)))))</f>
        <v/>
      </c>
      <c r="F147" s="9" t="n"/>
      <c r="G147" s="9" t="n"/>
      <c r="H147" s="9" t="n"/>
      <c r="I147" s="9" t="n"/>
      <c r="J147" s="19" t="n"/>
      <c r="K147" s="9" t="n"/>
    </row>
    <row r="148">
      <c r="A148" s="9" t="n"/>
      <c r="B148" s="9" t="n"/>
      <c r="C148" s="10" t="n"/>
      <c r="D148" s="9" t="n"/>
      <c r="E148" s="12">
        <f>IF($A148="",0,IF($D148="Monthly",$C148,IF($D148="Annual",$C148/12,IF($D148="Weekly",$C148*52/12,IF($D148="Quarterly",$C148/3,$C148)))))</f>
        <v/>
      </c>
      <c r="F148" s="9" t="n"/>
      <c r="G148" s="9" t="n"/>
      <c r="H148" s="9" t="n"/>
      <c r="I148" s="9" t="n"/>
      <c r="J148" s="19" t="n"/>
      <c r="K148" s="9" t="n"/>
    </row>
    <row r="149">
      <c r="A149" s="9" t="n"/>
      <c r="B149" s="9" t="n"/>
      <c r="C149" s="10" t="n"/>
      <c r="D149" s="9" t="n"/>
      <c r="E149" s="12">
        <f>IF($A149="",0,IF($D149="Monthly",$C149,IF($D149="Annual",$C149/12,IF($D149="Weekly",$C149*52/12,IF($D149="Quarterly",$C149/3,$C149)))))</f>
        <v/>
      </c>
      <c r="F149" s="9" t="n"/>
      <c r="G149" s="9" t="n"/>
      <c r="H149" s="9" t="n"/>
      <c r="I149" s="9" t="n"/>
      <c r="J149" s="19" t="n"/>
      <c r="K149" s="9" t="n"/>
    </row>
    <row r="150">
      <c r="A150" s="9" t="n"/>
      <c r="B150" s="9" t="n"/>
      <c r="C150" s="10" t="n"/>
      <c r="D150" s="9" t="n"/>
      <c r="E150" s="12">
        <f>IF($A150="",0,IF($D150="Monthly",$C150,IF($D150="Annual",$C150/12,IF($D150="Weekly",$C150*52/12,IF($D150="Quarterly",$C150/3,$C150)))))</f>
        <v/>
      </c>
      <c r="F150" s="9" t="n"/>
      <c r="G150" s="9" t="n"/>
      <c r="H150" s="9" t="n"/>
      <c r="I150" s="9" t="n"/>
      <c r="J150" s="19" t="n"/>
      <c r="K150" s="9" t="n"/>
    </row>
    <row r="151">
      <c r="A151" s="9" t="n"/>
      <c r="B151" s="9" t="n"/>
      <c r="C151" s="10" t="n"/>
      <c r="D151" s="9" t="n"/>
      <c r="E151" s="12">
        <f>IF($A151="",0,IF($D151="Monthly",$C151,IF($D151="Annual",$C151/12,IF($D151="Weekly",$C151*52/12,IF($D151="Quarterly",$C151/3,$C151)))))</f>
        <v/>
      </c>
      <c r="F151" s="9" t="n"/>
      <c r="G151" s="9" t="n"/>
      <c r="H151" s="9" t="n"/>
      <c r="I151" s="9" t="n"/>
      <c r="J151" s="19" t="n"/>
      <c r="K151" s="9" t="n"/>
    </row>
    <row r="152">
      <c r="A152" s="9" t="n"/>
      <c r="B152" s="9" t="n"/>
      <c r="C152" s="10" t="n"/>
      <c r="D152" s="9" t="n"/>
      <c r="E152" s="12">
        <f>IF($A152="",0,IF($D152="Monthly",$C152,IF($D152="Annual",$C152/12,IF($D152="Weekly",$C152*52/12,IF($D152="Quarterly",$C152/3,$C152)))))</f>
        <v/>
      </c>
      <c r="F152" s="9" t="n"/>
      <c r="G152" s="9" t="n"/>
      <c r="H152" s="9" t="n"/>
      <c r="I152" s="9" t="n"/>
      <c r="J152" s="19" t="n"/>
      <c r="K152" s="9" t="n"/>
    </row>
    <row r="153">
      <c r="A153" s="9" t="n"/>
      <c r="B153" s="9" t="n"/>
      <c r="C153" s="10" t="n"/>
      <c r="D153" s="9" t="n"/>
      <c r="E153" s="12">
        <f>IF($A153="",0,IF($D153="Monthly",$C153,IF($D153="Annual",$C153/12,IF($D153="Weekly",$C153*52/12,IF($D153="Quarterly",$C153/3,$C153)))))</f>
        <v/>
      </c>
      <c r="F153" s="9" t="n"/>
      <c r="G153" s="9" t="n"/>
      <c r="H153" s="9" t="n"/>
      <c r="I153" s="9" t="n"/>
      <c r="J153" s="19" t="n"/>
      <c r="K153" s="9" t="n"/>
    </row>
    <row r="154">
      <c r="A154" s="9" t="n"/>
      <c r="B154" s="9" t="n"/>
      <c r="C154" s="10" t="n"/>
      <c r="D154" s="9" t="n"/>
      <c r="E154" s="12">
        <f>IF($A154="",0,IF($D154="Monthly",$C154,IF($D154="Annual",$C154/12,IF($D154="Weekly",$C154*52/12,IF($D154="Quarterly",$C154/3,$C154)))))</f>
        <v/>
      </c>
      <c r="F154" s="9" t="n"/>
      <c r="G154" s="9" t="n"/>
      <c r="H154" s="9" t="n"/>
      <c r="I154" s="9" t="n"/>
      <c r="J154" s="19" t="n"/>
      <c r="K154" s="9" t="n"/>
    </row>
    <row r="155">
      <c r="A155" s="9" t="n"/>
      <c r="B155" s="9" t="n"/>
      <c r="C155" s="10" t="n"/>
      <c r="D155" s="9" t="n"/>
      <c r="E155" s="12">
        <f>IF($A155="",0,IF($D155="Monthly",$C155,IF($D155="Annual",$C155/12,IF($D155="Weekly",$C155*52/12,IF($D155="Quarterly",$C155/3,$C155)))))</f>
        <v/>
      </c>
      <c r="F155" s="9" t="n"/>
      <c r="G155" s="9" t="n"/>
      <c r="H155" s="9" t="n"/>
      <c r="I155" s="9" t="n"/>
      <c r="J155" s="19" t="n"/>
      <c r="K155" s="9" t="n"/>
    </row>
    <row r="156">
      <c r="A156" s="9" t="n"/>
      <c r="B156" s="9" t="n"/>
      <c r="C156" s="10" t="n"/>
      <c r="D156" s="9" t="n"/>
      <c r="E156" s="12">
        <f>IF($A156="",0,IF($D156="Monthly",$C156,IF($D156="Annual",$C156/12,IF($D156="Weekly",$C156*52/12,IF($D156="Quarterly",$C156/3,$C156)))))</f>
        <v/>
      </c>
      <c r="F156" s="9" t="n"/>
      <c r="G156" s="9" t="n"/>
      <c r="H156" s="9" t="n"/>
      <c r="I156" s="9" t="n"/>
      <c r="J156" s="19" t="n"/>
      <c r="K156" s="9" t="n"/>
    </row>
    <row r="157">
      <c r="A157" s="9" t="n"/>
      <c r="B157" s="9" t="n"/>
      <c r="C157" s="10" t="n"/>
      <c r="D157" s="9" t="n"/>
      <c r="E157" s="12">
        <f>IF($A157="",0,IF($D157="Monthly",$C157,IF($D157="Annual",$C157/12,IF($D157="Weekly",$C157*52/12,IF($D157="Quarterly",$C157/3,$C157)))))</f>
        <v/>
      </c>
      <c r="F157" s="9" t="n"/>
      <c r="G157" s="9" t="n"/>
      <c r="H157" s="9" t="n"/>
      <c r="I157" s="9" t="n"/>
      <c r="J157" s="19" t="n"/>
      <c r="K157" s="9" t="n"/>
    </row>
    <row r="158">
      <c r="A158" s="9" t="n"/>
      <c r="B158" s="9" t="n"/>
      <c r="C158" s="10" t="n"/>
      <c r="D158" s="9" t="n"/>
      <c r="E158" s="12">
        <f>IF($A158="",0,IF($D158="Monthly",$C158,IF($D158="Annual",$C158/12,IF($D158="Weekly",$C158*52/12,IF($D158="Quarterly",$C158/3,$C158)))))</f>
        <v/>
      </c>
      <c r="F158" s="9" t="n"/>
      <c r="G158" s="9" t="n"/>
      <c r="H158" s="9" t="n"/>
      <c r="I158" s="9" t="n"/>
      <c r="J158" s="19" t="n"/>
      <c r="K158" s="9" t="n"/>
    </row>
    <row r="159">
      <c r="A159" s="9" t="n"/>
      <c r="B159" s="9" t="n"/>
      <c r="C159" s="10" t="n"/>
      <c r="D159" s="9" t="n"/>
      <c r="E159" s="12">
        <f>IF($A159="",0,IF($D159="Monthly",$C159,IF($D159="Annual",$C159/12,IF($D159="Weekly",$C159*52/12,IF($D159="Quarterly",$C159/3,$C159)))))</f>
        <v/>
      </c>
      <c r="F159" s="9" t="n"/>
      <c r="G159" s="9" t="n"/>
      <c r="H159" s="9" t="n"/>
      <c r="I159" s="9" t="n"/>
      <c r="J159" s="19" t="n"/>
      <c r="K159" s="9" t="n"/>
    </row>
    <row r="160">
      <c r="A160" s="9" t="n"/>
      <c r="B160" s="9" t="n"/>
      <c r="C160" s="10" t="n"/>
      <c r="D160" s="9" t="n"/>
      <c r="E160" s="12">
        <f>IF($A160="",0,IF($D160="Monthly",$C160,IF($D160="Annual",$C160/12,IF($D160="Weekly",$C160*52/12,IF($D160="Quarterly",$C160/3,$C160)))))</f>
        <v/>
      </c>
      <c r="F160" s="9" t="n"/>
      <c r="G160" s="9" t="n"/>
      <c r="H160" s="9" t="n"/>
      <c r="I160" s="9" t="n"/>
      <c r="J160" s="19" t="n"/>
      <c r="K160" s="9" t="n"/>
    </row>
    <row r="161">
      <c r="A161" s="9" t="n"/>
      <c r="B161" s="9" t="n"/>
      <c r="C161" s="10" t="n"/>
      <c r="D161" s="9" t="n"/>
      <c r="E161" s="12">
        <f>IF($A161="",0,IF($D161="Monthly",$C161,IF($D161="Annual",$C161/12,IF($D161="Weekly",$C161*52/12,IF($D161="Quarterly",$C161/3,$C161)))))</f>
        <v/>
      </c>
      <c r="F161" s="9" t="n"/>
      <c r="G161" s="9" t="n"/>
      <c r="H161" s="9" t="n"/>
      <c r="I161" s="9" t="n"/>
      <c r="J161" s="19" t="n"/>
      <c r="K161" s="9" t="n"/>
    </row>
    <row r="162">
      <c r="A162" s="9" t="n"/>
      <c r="B162" s="9" t="n"/>
      <c r="C162" s="10" t="n"/>
      <c r="D162" s="9" t="n"/>
      <c r="E162" s="12">
        <f>IF($A162="",0,IF($D162="Monthly",$C162,IF($D162="Annual",$C162/12,IF($D162="Weekly",$C162*52/12,IF($D162="Quarterly",$C162/3,$C162)))))</f>
        <v/>
      </c>
      <c r="F162" s="9" t="n"/>
      <c r="G162" s="9" t="n"/>
      <c r="H162" s="9" t="n"/>
      <c r="I162" s="9" t="n"/>
      <c r="J162" s="19" t="n"/>
      <c r="K162" s="9" t="n"/>
    </row>
    <row r="163">
      <c r="A163" s="9" t="n"/>
      <c r="B163" s="9" t="n"/>
      <c r="C163" s="10" t="n"/>
      <c r="D163" s="9" t="n"/>
      <c r="E163" s="12">
        <f>IF($A163="",0,IF($D163="Monthly",$C163,IF($D163="Annual",$C163/12,IF($D163="Weekly",$C163*52/12,IF($D163="Quarterly",$C163/3,$C163)))))</f>
        <v/>
      </c>
      <c r="F163" s="9" t="n"/>
      <c r="G163" s="9" t="n"/>
      <c r="H163" s="9" t="n"/>
      <c r="I163" s="9" t="n"/>
      <c r="J163" s="19" t="n"/>
      <c r="K163" s="9" t="n"/>
    </row>
    <row r="164">
      <c r="A164" s="9" t="n"/>
      <c r="B164" s="9" t="n"/>
      <c r="C164" s="10" t="n"/>
      <c r="D164" s="9" t="n"/>
      <c r="E164" s="12">
        <f>IF($A164="",0,IF($D164="Monthly",$C164,IF($D164="Annual",$C164/12,IF($D164="Weekly",$C164*52/12,IF($D164="Quarterly",$C164/3,$C164)))))</f>
        <v/>
      </c>
      <c r="F164" s="9" t="n"/>
      <c r="G164" s="9" t="n"/>
      <c r="H164" s="9" t="n"/>
      <c r="I164" s="9" t="n"/>
      <c r="J164" s="19" t="n"/>
      <c r="K164" s="9" t="n"/>
    </row>
    <row r="165">
      <c r="A165" s="9" t="n"/>
      <c r="B165" s="9" t="n"/>
      <c r="C165" s="10" t="n"/>
      <c r="D165" s="9" t="n"/>
      <c r="E165" s="12">
        <f>IF($A165="",0,IF($D165="Monthly",$C165,IF($D165="Annual",$C165/12,IF($D165="Weekly",$C165*52/12,IF($D165="Quarterly",$C165/3,$C165)))))</f>
        <v/>
      </c>
      <c r="F165" s="9" t="n"/>
      <c r="G165" s="9" t="n"/>
      <c r="H165" s="9" t="n"/>
      <c r="I165" s="9" t="n"/>
      <c r="J165" s="19" t="n"/>
      <c r="K165" s="9" t="n"/>
    </row>
    <row r="166">
      <c r="A166" s="9" t="n"/>
      <c r="B166" s="9" t="n"/>
      <c r="C166" s="10" t="n"/>
      <c r="D166" s="9" t="n"/>
      <c r="E166" s="12">
        <f>IF($A166="",0,IF($D166="Monthly",$C166,IF($D166="Annual",$C166/12,IF($D166="Weekly",$C166*52/12,IF($D166="Quarterly",$C166/3,$C166)))))</f>
        <v/>
      </c>
      <c r="F166" s="9" t="n"/>
      <c r="G166" s="9" t="n"/>
      <c r="H166" s="9" t="n"/>
      <c r="I166" s="9" t="n"/>
      <c r="J166" s="19" t="n"/>
      <c r="K166" s="9" t="n"/>
    </row>
    <row r="167">
      <c r="A167" s="9" t="n"/>
      <c r="B167" s="9" t="n"/>
      <c r="C167" s="10" t="n"/>
      <c r="D167" s="9" t="n"/>
      <c r="E167" s="12">
        <f>IF($A167="",0,IF($D167="Monthly",$C167,IF($D167="Annual",$C167/12,IF($D167="Weekly",$C167*52/12,IF($D167="Quarterly",$C167/3,$C167)))))</f>
        <v/>
      </c>
      <c r="F167" s="9" t="n"/>
      <c r="G167" s="9" t="n"/>
      <c r="H167" s="9" t="n"/>
      <c r="I167" s="9" t="n"/>
      <c r="J167" s="19" t="n"/>
      <c r="K167" s="9" t="n"/>
    </row>
    <row r="168">
      <c r="A168" s="9" t="n"/>
      <c r="B168" s="9" t="n"/>
      <c r="C168" s="10" t="n"/>
      <c r="D168" s="9" t="n"/>
      <c r="E168" s="12">
        <f>IF($A168="",0,IF($D168="Monthly",$C168,IF($D168="Annual",$C168/12,IF($D168="Weekly",$C168*52/12,IF($D168="Quarterly",$C168/3,$C168)))))</f>
        <v/>
      </c>
      <c r="F168" s="9" t="n"/>
      <c r="G168" s="9" t="n"/>
      <c r="H168" s="9" t="n"/>
      <c r="I168" s="9" t="n"/>
      <c r="J168" s="19" t="n"/>
      <c r="K168" s="9" t="n"/>
    </row>
    <row r="169">
      <c r="A169" s="9" t="n"/>
      <c r="B169" s="9" t="n"/>
      <c r="C169" s="10" t="n"/>
      <c r="D169" s="9" t="n"/>
      <c r="E169" s="12">
        <f>IF($A169="",0,IF($D169="Monthly",$C169,IF($D169="Annual",$C169/12,IF($D169="Weekly",$C169*52/12,IF($D169="Quarterly",$C169/3,$C169)))))</f>
        <v/>
      </c>
      <c r="F169" s="9" t="n"/>
      <c r="G169" s="9" t="n"/>
      <c r="H169" s="9" t="n"/>
      <c r="I169" s="9" t="n"/>
      <c r="J169" s="19" t="n"/>
      <c r="K169" s="9" t="n"/>
    </row>
    <row r="170">
      <c r="A170" s="9" t="n"/>
      <c r="B170" s="9" t="n"/>
      <c r="C170" s="10" t="n"/>
      <c r="D170" s="9" t="n"/>
      <c r="E170" s="12">
        <f>IF($A170="",0,IF($D170="Monthly",$C170,IF($D170="Annual",$C170/12,IF($D170="Weekly",$C170*52/12,IF($D170="Quarterly",$C170/3,$C170)))))</f>
        <v/>
      </c>
      <c r="F170" s="9" t="n"/>
      <c r="G170" s="9" t="n"/>
      <c r="H170" s="9" t="n"/>
      <c r="I170" s="9" t="n"/>
      <c r="J170" s="19" t="n"/>
      <c r="K170" s="9" t="n"/>
    </row>
    <row r="171">
      <c r="A171" s="9" t="n"/>
      <c r="B171" s="9" t="n"/>
      <c r="C171" s="10" t="n"/>
      <c r="D171" s="9" t="n"/>
      <c r="E171" s="12">
        <f>IF($A171="",0,IF($D171="Monthly",$C171,IF($D171="Annual",$C171/12,IF($D171="Weekly",$C171*52/12,IF($D171="Quarterly",$C171/3,$C171)))))</f>
        <v/>
      </c>
      <c r="F171" s="9" t="n"/>
      <c r="G171" s="9" t="n"/>
      <c r="H171" s="9" t="n"/>
      <c r="I171" s="9" t="n"/>
      <c r="J171" s="19" t="n"/>
      <c r="K171" s="9" t="n"/>
    </row>
    <row r="172">
      <c r="A172" s="9" t="n"/>
      <c r="B172" s="9" t="n"/>
      <c r="C172" s="10" t="n"/>
      <c r="D172" s="9" t="n"/>
      <c r="E172" s="12">
        <f>IF($A172="",0,IF($D172="Monthly",$C172,IF($D172="Annual",$C172/12,IF($D172="Weekly",$C172*52/12,IF($D172="Quarterly",$C172/3,$C172)))))</f>
        <v/>
      </c>
      <c r="F172" s="9" t="n"/>
      <c r="G172" s="9" t="n"/>
      <c r="H172" s="9" t="n"/>
      <c r="I172" s="9" t="n"/>
      <c r="J172" s="19" t="n"/>
      <c r="K172" s="9" t="n"/>
    </row>
    <row r="173">
      <c r="A173" s="9" t="n"/>
      <c r="B173" s="9" t="n"/>
      <c r="C173" s="10" t="n"/>
      <c r="D173" s="9" t="n"/>
      <c r="E173" s="12">
        <f>IF($A173="",0,IF($D173="Monthly",$C173,IF($D173="Annual",$C173/12,IF($D173="Weekly",$C173*52/12,IF($D173="Quarterly",$C173/3,$C173)))))</f>
        <v/>
      </c>
      <c r="F173" s="9" t="n"/>
      <c r="G173" s="9" t="n"/>
      <c r="H173" s="9" t="n"/>
      <c r="I173" s="9" t="n"/>
      <c r="J173" s="19" t="n"/>
      <c r="K173" s="9" t="n"/>
    </row>
    <row r="174">
      <c r="A174" s="9" t="n"/>
      <c r="B174" s="9" t="n"/>
      <c r="C174" s="10" t="n"/>
      <c r="D174" s="9" t="n"/>
      <c r="E174" s="12">
        <f>IF($A174="",0,IF($D174="Monthly",$C174,IF($D174="Annual",$C174/12,IF($D174="Weekly",$C174*52/12,IF($D174="Quarterly",$C174/3,$C174)))))</f>
        <v/>
      </c>
      <c r="F174" s="9" t="n"/>
      <c r="G174" s="9" t="n"/>
      <c r="H174" s="9" t="n"/>
      <c r="I174" s="9" t="n"/>
      <c r="J174" s="19" t="n"/>
      <c r="K174" s="9" t="n"/>
    </row>
    <row r="175">
      <c r="A175" s="9" t="n"/>
      <c r="B175" s="9" t="n"/>
      <c r="C175" s="10" t="n"/>
      <c r="D175" s="9" t="n"/>
      <c r="E175" s="12">
        <f>IF($A175="",0,IF($D175="Monthly",$C175,IF($D175="Annual",$C175/12,IF($D175="Weekly",$C175*52/12,IF($D175="Quarterly",$C175/3,$C175)))))</f>
        <v/>
      </c>
      <c r="F175" s="9" t="n"/>
      <c r="G175" s="9" t="n"/>
      <c r="H175" s="9" t="n"/>
      <c r="I175" s="9" t="n"/>
      <c r="J175" s="19" t="n"/>
      <c r="K175" s="9" t="n"/>
    </row>
    <row r="176">
      <c r="A176" s="9" t="n"/>
      <c r="B176" s="9" t="n"/>
      <c r="C176" s="10" t="n"/>
      <c r="D176" s="9" t="n"/>
      <c r="E176" s="12">
        <f>IF($A176="",0,IF($D176="Monthly",$C176,IF($D176="Annual",$C176/12,IF($D176="Weekly",$C176*52/12,IF($D176="Quarterly",$C176/3,$C176)))))</f>
        <v/>
      </c>
      <c r="F176" s="9" t="n"/>
      <c r="G176" s="9" t="n"/>
      <c r="H176" s="9" t="n"/>
      <c r="I176" s="9" t="n"/>
      <c r="J176" s="19" t="n"/>
      <c r="K176" s="9" t="n"/>
    </row>
    <row r="177">
      <c r="A177" s="9" t="n"/>
      <c r="B177" s="9" t="n"/>
      <c r="C177" s="10" t="n"/>
      <c r="D177" s="9" t="n"/>
      <c r="E177" s="12">
        <f>IF($A177="",0,IF($D177="Monthly",$C177,IF($D177="Annual",$C177/12,IF($D177="Weekly",$C177*52/12,IF($D177="Quarterly",$C177/3,$C177)))))</f>
        <v/>
      </c>
      <c r="F177" s="9" t="n"/>
      <c r="G177" s="9" t="n"/>
      <c r="H177" s="9" t="n"/>
      <c r="I177" s="9" t="n"/>
      <c r="J177" s="19" t="n"/>
      <c r="K177" s="9" t="n"/>
    </row>
    <row r="178">
      <c r="A178" s="9" t="n"/>
      <c r="B178" s="9" t="n"/>
      <c r="C178" s="10" t="n"/>
      <c r="D178" s="9" t="n"/>
      <c r="E178" s="12">
        <f>IF($A178="",0,IF($D178="Monthly",$C178,IF($D178="Annual",$C178/12,IF($D178="Weekly",$C178*52/12,IF($D178="Quarterly",$C178/3,$C178)))))</f>
        <v/>
      </c>
      <c r="F178" s="9" t="n"/>
      <c r="G178" s="9" t="n"/>
      <c r="H178" s="9" t="n"/>
      <c r="I178" s="9" t="n"/>
      <c r="J178" s="19" t="n"/>
      <c r="K178" s="9" t="n"/>
    </row>
    <row r="179">
      <c r="A179" s="9" t="n"/>
      <c r="B179" s="9" t="n"/>
      <c r="C179" s="10" t="n"/>
      <c r="D179" s="9" t="n"/>
      <c r="E179" s="12">
        <f>IF($A179="",0,IF($D179="Monthly",$C179,IF($D179="Annual",$C179/12,IF($D179="Weekly",$C179*52/12,IF($D179="Quarterly",$C179/3,$C179)))))</f>
        <v/>
      </c>
      <c r="F179" s="9" t="n"/>
      <c r="G179" s="9" t="n"/>
      <c r="H179" s="9" t="n"/>
      <c r="I179" s="9" t="n"/>
      <c r="J179" s="19" t="n"/>
      <c r="K179" s="9" t="n"/>
    </row>
    <row r="180">
      <c r="A180" s="9" t="n"/>
      <c r="B180" s="9" t="n"/>
      <c r="C180" s="10" t="n"/>
      <c r="D180" s="9" t="n"/>
      <c r="E180" s="12">
        <f>IF($A180="",0,IF($D180="Monthly",$C180,IF($D180="Annual",$C180/12,IF($D180="Weekly",$C180*52/12,IF($D180="Quarterly",$C180/3,$C180)))))</f>
        <v/>
      </c>
      <c r="F180" s="9" t="n"/>
      <c r="G180" s="9" t="n"/>
      <c r="H180" s="9" t="n"/>
      <c r="I180" s="9" t="n"/>
      <c r="J180" s="19" t="n"/>
      <c r="K180" s="9" t="n"/>
    </row>
    <row r="181">
      <c r="A181" s="9" t="n"/>
      <c r="B181" s="9" t="n"/>
      <c r="C181" s="10" t="n"/>
      <c r="D181" s="9" t="n"/>
      <c r="E181" s="12">
        <f>IF($A181="",0,IF($D181="Monthly",$C181,IF($D181="Annual",$C181/12,IF($D181="Weekly",$C181*52/12,IF($D181="Quarterly",$C181/3,$C181)))))</f>
        <v/>
      </c>
      <c r="F181" s="9" t="n"/>
      <c r="G181" s="9" t="n"/>
      <c r="H181" s="9" t="n"/>
      <c r="I181" s="9" t="n"/>
      <c r="J181" s="19" t="n"/>
      <c r="K181" s="9" t="n"/>
    </row>
    <row r="182">
      <c r="A182" s="9" t="n"/>
      <c r="B182" s="9" t="n"/>
      <c r="C182" s="10" t="n"/>
      <c r="D182" s="9" t="n"/>
      <c r="E182" s="12">
        <f>IF($A182="",0,IF($D182="Monthly",$C182,IF($D182="Annual",$C182/12,IF($D182="Weekly",$C182*52/12,IF($D182="Quarterly",$C182/3,$C182)))))</f>
        <v/>
      </c>
      <c r="F182" s="9" t="n"/>
      <c r="G182" s="9" t="n"/>
      <c r="H182" s="9" t="n"/>
      <c r="I182" s="9" t="n"/>
      <c r="J182" s="19" t="n"/>
      <c r="K182" s="9" t="n"/>
    </row>
    <row r="183">
      <c r="A183" s="9" t="n"/>
      <c r="B183" s="9" t="n"/>
      <c r="C183" s="10" t="n"/>
      <c r="D183" s="9" t="n"/>
      <c r="E183" s="12">
        <f>IF($A183="",0,IF($D183="Monthly",$C183,IF($D183="Annual",$C183/12,IF($D183="Weekly",$C183*52/12,IF($D183="Quarterly",$C183/3,$C183)))))</f>
        <v/>
      </c>
      <c r="F183" s="9" t="n"/>
      <c r="G183" s="9" t="n"/>
      <c r="H183" s="9" t="n"/>
      <c r="I183" s="9" t="n"/>
      <c r="J183" s="19" t="n"/>
      <c r="K183" s="9" t="n"/>
    </row>
    <row r="184">
      <c r="A184" s="9" t="n"/>
      <c r="B184" s="9" t="n"/>
      <c r="C184" s="10" t="n"/>
      <c r="D184" s="9" t="n"/>
      <c r="E184" s="12">
        <f>IF($A184="",0,IF($D184="Monthly",$C184,IF($D184="Annual",$C184/12,IF($D184="Weekly",$C184*52/12,IF($D184="Quarterly",$C184/3,$C184)))))</f>
        <v/>
      </c>
      <c r="F184" s="9" t="n"/>
      <c r="G184" s="9" t="n"/>
      <c r="H184" s="9" t="n"/>
      <c r="I184" s="9" t="n"/>
      <c r="J184" s="19" t="n"/>
      <c r="K184" s="9" t="n"/>
    </row>
    <row r="185">
      <c r="A185" s="9" t="n"/>
      <c r="B185" s="9" t="n"/>
      <c r="C185" s="10" t="n"/>
      <c r="D185" s="9" t="n"/>
      <c r="E185" s="12">
        <f>IF($A185="",0,IF($D185="Monthly",$C185,IF($D185="Annual",$C185/12,IF($D185="Weekly",$C185*52/12,IF($D185="Quarterly",$C185/3,$C185)))))</f>
        <v/>
      </c>
      <c r="F185" s="9" t="n"/>
      <c r="G185" s="9" t="n"/>
      <c r="H185" s="9" t="n"/>
      <c r="I185" s="9" t="n"/>
      <c r="J185" s="19" t="n"/>
      <c r="K185" s="9" t="n"/>
    </row>
    <row r="186">
      <c r="A186" s="9" t="n"/>
      <c r="B186" s="9" t="n"/>
      <c r="C186" s="10" t="n"/>
      <c r="D186" s="9" t="n"/>
      <c r="E186" s="12">
        <f>IF($A186="",0,IF($D186="Monthly",$C186,IF($D186="Annual",$C186/12,IF($D186="Weekly",$C186*52/12,IF($D186="Quarterly",$C186/3,$C186)))))</f>
        <v/>
      </c>
      <c r="F186" s="9" t="n"/>
      <c r="G186" s="9" t="n"/>
      <c r="H186" s="9" t="n"/>
      <c r="I186" s="9" t="n"/>
      <c r="J186" s="19" t="n"/>
      <c r="K186" s="9" t="n"/>
    </row>
    <row r="187">
      <c r="A187" s="9" t="n"/>
      <c r="B187" s="9" t="n"/>
      <c r="C187" s="10" t="n"/>
      <c r="D187" s="9" t="n"/>
      <c r="E187" s="12">
        <f>IF($A187="",0,IF($D187="Monthly",$C187,IF($D187="Annual",$C187/12,IF($D187="Weekly",$C187*52/12,IF($D187="Quarterly",$C187/3,$C187)))))</f>
        <v/>
      </c>
      <c r="F187" s="9" t="n"/>
      <c r="G187" s="9" t="n"/>
      <c r="H187" s="9" t="n"/>
      <c r="I187" s="9" t="n"/>
      <c r="J187" s="19" t="n"/>
      <c r="K187" s="9" t="n"/>
    </row>
    <row r="188">
      <c r="A188" s="9" t="n"/>
      <c r="B188" s="9" t="n"/>
      <c r="C188" s="10" t="n"/>
      <c r="D188" s="9" t="n"/>
      <c r="E188" s="12">
        <f>IF($A188="",0,IF($D188="Monthly",$C188,IF($D188="Annual",$C188/12,IF($D188="Weekly",$C188*52/12,IF($D188="Quarterly",$C188/3,$C188)))))</f>
        <v/>
      </c>
      <c r="F188" s="9" t="n"/>
      <c r="G188" s="9" t="n"/>
      <c r="H188" s="9" t="n"/>
      <c r="I188" s="9" t="n"/>
      <c r="J188" s="19" t="n"/>
      <c r="K188" s="9" t="n"/>
    </row>
    <row r="189">
      <c r="A189" s="9" t="n"/>
      <c r="B189" s="9" t="n"/>
      <c r="C189" s="10" t="n"/>
      <c r="D189" s="9" t="n"/>
      <c r="E189" s="12">
        <f>IF($A189="",0,IF($D189="Monthly",$C189,IF($D189="Annual",$C189/12,IF($D189="Weekly",$C189*52/12,IF($D189="Quarterly",$C189/3,$C189)))))</f>
        <v/>
      </c>
      <c r="F189" s="9" t="n"/>
      <c r="G189" s="9" t="n"/>
      <c r="H189" s="9" t="n"/>
      <c r="I189" s="9" t="n"/>
      <c r="J189" s="19" t="n"/>
      <c r="K189" s="9" t="n"/>
    </row>
    <row r="190">
      <c r="A190" s="9" t="n"/>
      <c r="B190" s="9" t="n"/>
      <c r="C190" s="10" t="n"/>
      <c r="D190" s="9" t="n"/>
      <c r="E190" s="12">
        <f>IF($A190="",0,IF($D190="Monthly",$C190,IF($D190="Annual",$C190/12,IF($D190="Weekly",$C190*52/12,IF($D190="Quarterly",$C190/3,$C190)))))</f>
        <v/>
      </c>
      <c r="F190" s="9" t="n"/>
      <c r="G190" s="9" t="n"/>
      <c r="H190" s="9" t="n"/>
      <c r="I190" s="9" t="n"/>
      <c r="J190" s="19" t="n"/>
      <c r="K190" s="9" t="n"/>
    </row>
    <row r="191">
      <c r="A191" s="9" t="n"/>
      <c r="B191" s="9" t="n"/>
      <c r="C191" s="10" t="n"/>
      <c r="D191" s="9" t="n"/>
      <c r="E191" s="12">
        <f>IF($A191="",0,IF($D191="Monthly",$C191,IF($D191="Annual",$C191/12,IF($D191="Weekly",$C191*52/12,IF($D191="Quarterly",$C191/3,$C191)))))</f>
        <v/>
      </c>
      <c r="F191" s="9" t="n"/>
      <c r="G191" s="9" t="n"/>
      <c r="H191" s="9" t="n"/>
      <c r="I191" s="9" t="n"/>
      <c r="J191" s="19" t="n"/>
      <c r="K191" s="9" t="n"/>
    </row>
    <row r="192">
      <c r="A192" s="9" t="n"/>
      <c r="B192" s="9" t="n"/>
      <c r="C192" s="10" t="n"/>
      <c r="D192" s="9" t="n"/>
      <c r="E192" s="12">
        <f>IF($A192="",0,IF($D192="Monthly",$C192,IF($D192="Annual",$C192/12,IF($D192="Weekly",$C192*52/12,IF($D192="Quarterly",$C192/3,$C192)))))</f>
        <v/>
      </c>
      <c r="F192" s="9" t="n"/>
      <c r="G192" s="9" t="n"/>
      <c r="H192" s="9" t="n"/>
      <c r="I192" s="9" t="n"/>
      <c r="J192" s="19" t="n"/>
      <c r="K192" s="9" t="n"/>
    </row>
    <row r="193">
      <c r="A193" s="9" t="n"/>
      <c r="B193" s="9" t="n"/>
      <c r="C193" s="10" t="n"/>
      <c r="D193" s="9" t="n"/>
      <c r="E193" s="12">
        <f>IF($A193="",0,IF($D193="Monthly",$C193,IF($D193="Annual",$C193/12,IF($D193="Weekly",$C193*52/12,IF($D193="Quarterly",$C193/3,$C193)))))</f>
        <v/>
      </c>
      <c r="F193" s="9" t="n"/>
      <c r="G193" s="9" t="n"/>
      <c r="H193" s="9" t="n"/>
      <c r="I193" s="9" t="n"/>
      <c r="J193" s="19" t="n"/>
      <c r="K193" s="9" t="n"/>
    </row>
    <row r="194">
      <c r="A194" s="9" t="n"/>
      <c r="B194" s="9" t="n"/>
      <c r="C194" s="10" t="n"/>
      <c r="D194" s="9" t="n"/>
      <c r="E194" s="12">
        <f>IF($A194="",0,IF($D194="Monthly",$C194,IF($D194="Annual",$C194/12,IF($D194="Weekly",$C194*52/12,IF($D194="Quarterly",$C194/3,$C194)))))</f>
        <v/>
      </c>
      <c r="F194" s="9" t="n"/>
      <c r="G194" s="9" t="n"/>
      <c r="H194" s="9" t="n"/>
      <c r="I194" s="9" t="n"/>
      <c r="J194" s="19" t="n"/>
      <c r="K194" s="9" t="n"/>
    </row>
    <row r="195">
      <c r="A195" s="9" t="n"/>
      <c r="B195" s="9" t="n"/>
      <c r="C195" s="10" t="n"/>
      <c r="D195" s="9" t="n"/>
      <c r="E195" s="12">
        <f>IF($A195="",0,IF($D195="Monthly",$C195,IF($D195="Annual",$C195/12,IF($D195="Weekly",$C195*52/12,IF($D195="Quarterly",$C195/3,$C195)))))</f>
        <v/>
      </c>
      <c r="F195" s="9" t="n"/>
      <c r="G195" s="9" t="n"/>
      <c r="H195" s="9" t="n"/>
      <c r="I195" s="9" t="n"/>
      <c r="J195" s="19" t="n"/>
      <c r="K195" s="9" t="n"/>
    </row>
    <row r="196">
      <c r="A196" s="9" t="n"/>
      <c r="B196" s="9" t="n"/>
      <c r="C196" s="10" t="n"/>
      <c r="D196" s="9" t="n"/>
      <c r="E196" s="12">
        <f>IF($A196="",0,IF($D196="Monthly",$C196,IF($D196="Annual",$C196/12,IF($D196="Weekly",$C196*52/12,IF($D196="Quarterly",$C196/3,$C196)))))</f>
        <v/>
      </c>
      <c r="F196" s="9" t="n"/>
      <c r="G196" s="9" t="n"/>
      <c r="H196" s="9" t="n"/>
      <c r="I196" s="9" t="n"/>
      <c r="J196" s="19" t="n"/>
      <c r="K196" s="9" t="n"/>
    </row>
    <row r="197">
      <c r="A197" s="9" t="n"/>
      <c r="B197" s="9" t="n"/>
      <c r="C197" s="10" t="n"/>
      <c r="D197" s="9" t="n"/>
      <c r="E197" s="12">
        <f>IF($A197="",0,IF($D197="Monthly",$C197,IF($D197="Annual",$C197/12,IF($D197="Weekly",$C197*52/12,IF($D197="Quarterly",$C197/3,$C197)))))</f>
        <v/>
      </c>
      <c r="F197" s="9" t="n"/>
      <c r="G197" s="9" t="n"/>
      <c r="H197" s="9" t="n"/>
      <c r="I197" s="9" t="n"/>
      <c r="J197" s="19" t="n"/>
      <c r="K197" s="9" t="n"/>
    </row>
    <row r="198">
      <c r="A198" s="9" t="n"/>
      <c r="B198" s="9" t="n"/>
      <c r="C198" s="10" t="n"/>
      <c r="D198" s="9" t="n"/>
      <c r="E198" s="12">
        <f>IF($A198="",0,IF($D198="Monthly",$C198,IF($D198="Annual",$C198/12,IF($D198="Weekly",$C198*52/12,IF($D198="Quarterly",$C198/3,$C198)))))</f>
        <v/>
      </c>
      <c r="F198" s="9" t="n"/>
      <c r="G198" s="9" t="n"/>
      <c r="H198" s="9" t="n"/>
      <c r="I198" s="9" t="n"/>
      <c r="J198" s="19" t="n"/>
      <c r="K198" s="9" t="n"/>
    </row>
    <row r="199">
      <c r="A199" s="9" t="n"/>
      <c r="B199" s="9" t="n"/>
      <c r="C199" s="10" t="n"/>
      <c r="D199" s="9" t="n"/>
      <c r="E199" s="12">
        <f>IF($A199="",0,IF($D199="Monthly",$C199,IF($D199="Annual",$C199/12,IF($D199="Weekly",$C199*52/12,IF($D199="Quarterly",$C199/3,$C199)))))</f>
        <v/>
      </c>
      <c r="F199" s="9" t="n"/>
      <c r="G199" s="9" t="n"/>
      <c r="H199" s="9" t="n"/>
      <c r="I199" s="9" t="n"/>
      <c r="J199" s="19" t="n"/>
      <c r="K199" s="9" t="n"/>
    </row>
    <row r="200">
      <c r="A200" s="9" t="n"/>
      <c r="B200" s="9" t="n"/>
      <c r="C200" s="10" t="n"/>
      <c r="D200" s="9" t="n"/>
      <c r="E200" s="12">
        <f>IF($A200="",0,IF($D200="Monthly",$C200,IF($D200="Annual",$C200/12,IF($D200="Weekly",$C200*52/12,IF($D200="Quarterly",$C200/3,$C200)))))</f>
        <v/>
      </c>
      <c r="F200" s="9" t="n"/>
      <c r="G200" s="9" t="n"/>
      <c r="H200" s="9" t="n"/>
      <c r="I200" s="9" t="n"/>
      <c r="J200" s="19" t="n"/>
      <c r="K200" s="9" t="n"/>
    </row>
    <row r="201">
      <c r="A201" s="9" t="n"/>
      <c r="B201" s="9" t="n"/>
      <c r="C201" s="10" t="n"/>
      <c r="D201" s="9" t="n"/>
      <c r="E201" s="12">
        <f>IF($A201="",0,IF($D201="Monthly",$C201,IF($D201="Annual",$C201/12,IF($D201="Weekly",$C201*52/12,IF($D201="Quarterly",$C201/3,$C201)))))</f>
        <v/>
      </c>
      <c r="F201" s="9" t="n"/>
      <c r="G201" s="9" t="n"/>
      <c r="H201" s="9" t="n"/>
      <c r="I201" s="9" t="n"/>
      <c r="J201" s="19" t="n"/>
      <c r="K201" s="9" t="n"/>
    </row>
    <row r="202">
      <c r="A202" s="9" t="n"/>
      <c r="B202" s="9" t="n"/>
      <c r="C202" s="10" t="n"/>
      <c r="D202" s="9" t="n"/>
      <c r="E202" s="12">
        <f>IF($A202="",0,IF($D202="Monthly",$C202,IF($D202="Annual",$C202/12,IF($D202="Weekly",$C202*52/12,IF($D202="Quarterly",$C202/3,$C202)))))</f>
        <v/>
      </c>
      <c r="F202" s="9" t="n"/>
      <c r="G202" s="9" t="n"/>
      <c r="H202" s="9" t="n"/>
      <c r="I202" s="9" t="n"/>
      <c r="J202" s="19" t="n"/>
      <c r="K202" s="9" t="n"/>
    </row>
    <row r="203">
      <c r="A203" s="9" t="n"/>
      <c r="B203" s="9" t="n"/>
      <c r="C203" s="10" t="n"/>
      <c r="D203" s="9" t="n"/>
      <c r="E203" s="12">
        <f>IF($A203="",0,IF($D203="Monthly",$C203,IF($D203="Annual",$C203/12,IF($D203="Weekly",$C203*52/12,IF($D203="Quarterly",$C203/3,$C203)))))</f>
        <v/>
      </c>
      <c r="F203" s="9" t="n"/>
      <c r="G203" s="9" t="n"/>
      <c r="H203" s="9" t="n"/>
      <c r="I203" s="9" t="n"/>
      <c r="J203" s="19" t="n"/>
      <c r="K203" s="9" t="n"/>
    </row>
    <row r="204">
      <c r="A204" s="9" t="n"/>
      <c r="B204" s="9" t="n"/>
      <c r="C204" s="10" t="n"/>
      <c r="D204" s="9" t="n"/>
      <c r="E204" s="12">
        <f>IF($A204="",0,IF($D204="Monthly",$C204,IF($D204="Annual",$C204/12,IF($D204="Weekly",$C204*52/12,IF($D204="Quarterly",$C204/3,$C204)))))</f>
        <v/>
      </c>
      <c r="F204" s="9" t="n"/>
      <c r="G204" s="9" t="n"/>
      <c r="H204" s="9" t="n"/>
      <c r="I204" s="9" t="n"/>
      <c r="J204" s="19" t="n"/>
      <c r="K204" s="9" t="n"/>
    </row>
    <row r="205">
      <c r="A205" s="9" t="n"/>
      <c r="B205" s="9" t="n"/>
      <c r="C205" s="10" t="n"/>
      <c r="D205" s="9" t="n"/>
      <c r="E205" s="12">
        <f>IF($A205="",0,IF($D205="Monthly",$C205,IF($D205="Annual",$C205/12,IF($D205="Weekly",$C205*52/12,IF($D205="Quarterly",$C205/3,$C205)))))</f>
        <v/>
      </c>
      <c r="F205" s="9" t="n"/>
      <c r="G205" s="9" t="n"/>
      <c r="H205" s="9" t="n"/>
      <c r="I205" s="9" t="n"/>
      <c r="J205" s="19" t="n"/>
      <c r="K205" s="9" t="n"/>
    </row>
    <row r="206">
      <c r="A206" s="9" t="n"/>
      <c r="B206" s="9" t="n"/>
      <c r="C206" s="10" t="n"/>
      <c r="D206" s="9" t="n"/>
      <c r="E206" s="12">
        <f>IF($A206="",0,IF($D206="Monthly",$C206,IF($D206="Annual",$C206/12,IF($D206="Weekly",$C206*52/12,IF($D206="Quarterly",$C206/3,$C206)))))</f>
        <v/>
      </c>
      <c r="F206" s="9" t="n"/>
      <c r="G206" s="9" t="n"/>
      <c r="H206" s="9" t="n"/>
      <c r="I206" s="9" t="n"/>
      <c r="J206" s="19" t="n"/>
      <c r="K206" s="9" t="n"/>
    </row>
    <row r="207">
      <c r="A207" s="9" t="n"/>
      <c r="B207" s="9" t="n"/>
      <c r="C207" s="10" t="n"/>
      <c r="D207" s="9" t="n"/>
      <c r="E207" s="12">
        <f>IF($A207="",0,IF($D207="Monthly",$C207,IF($D207="Annual",$C207/12,IF($D207="Weekly",$C207*52/12,IF($D207="Quarterly",$C207/3,$C207)))))</f>
        <v/>
      </c>
      <c r="F207" s="9" t="n"/>
      <c r="G207" s="9" t="n"/>
      <c r="H207" s="9" t="n"/>
      <c r="I207" s="9" t="n"/>
      <c r="J207" s="19" t="n"/>
      <c r="K207" s="9" t="n"/>
    </row>
    <row r="208">
      <c r="A208" s="9" t="n"/>
      <c r="B208" s="9" t="n"/>
      <c r="C208" s="10" t="n"/>
      <c r="D208" s="9" t="n"/>
      <c r="E208" s="12">
        <f>IF($A208="",0,IF($D208="Monthly",$C208,IF($D208="Annual",$C208/12,IF($D208="Weekly",$C208*52/12,IF($D208="Quarterly",$C208/3,$C208)))))</f>
        <v/>
      </c>
      <c r="F208" s="9" t="n"/>
      <c r="G208" s="9" t="n"/>
      <c r="H208" s="9" t="n"/>
      <c r="I208" s="9" t="n"/>
      <c r="J208" s="19" t="n"/>
      <c r="K208" s="9" t="n"/>
    </row>
    <row r="209">
      <c r="A209" s="9" t="n"/>
      <c r="B209" s="9" t="n"/>
      <c r="C209" s="10" t="n"/>
      <c r="D209" s="9" t="n"/>
      <c r="E209" s="12">
        <f>IF($A209="",0,IF($D209="Monthly",$C209,IF($D209="Annual",$C209/12,IF($D209="Weekly",$C209*52/12,IF($D209="Quarterly",$C209/3,$C209)))))</f>
        <v/>
      </c>
      <c r="F209" s="9" t="n"/>
      <c r="G209" s="9" t="n"/>
      <c r="H209" s="9" t="n"/>
      <c r="I209" s="9" t="n"/>
      <c r="J209" s="19" t="n"/>
      <c r="K209" s="9" t="n"/>
    </row>
    <row r="210">
      <c r="A210" s="9" t="n"/>
      <c r="B210" s="9" t="n"/>
      <c r="C210" s="10" t="n"/>
      <c r="D210" s="9" t="n"/>
      <c r="E210" s="12">
        <f>IF($A210="",0,IF($D210="Monthly",$C210,IF($D210="Annual",$C210/12,IF($D210="Weekly",$C210*52/12,IF($D210="Quarterly",$C210/3,$C210)))))</f>
        <v/>
      </c>
      <c r="F210" s="9" t="n"/>
      <c r="G210" s="9" t="n"/>
      <c r="H210" s="9" t="n"/>
      <c r="I210" s="9" t="n"/>
      <c r="J210" s="19" t="n"/>
      <c r="K210" s="9" t="n"/>
    </row>
    <row r="211">
      <c r="A211" s="9" t="n"/>
      <c r="B211" s="9" t="n"/>
      <c r="C211" s="10" t="n"/>
      <c r="D211" s="9" t="n"/>
      <c r="E211" s="12">
        <f>IF($A211="",0,IF($D211="Monthly",$C211,IF($D211="Annual",$C211/12,IF($D211="Weekly",$C211*52/12,IF($D211="Quarterly",$C211/3,$C211)))))</f>
        <v/>
      </c>
      <c r="F211" s="9" t="n"/>
      <c r="G211" s="9" t="n"/>
      <c r="H211" s="9" t="n"/>
      <c r="I211" s="9" t="n"/>
      <c r="J211" s="19" t="n"/>
      <c r="K211" s="9" t="n"/>
    </row>
    <row r="212">
      <c r="A212" s="9" t="n"/>
      <c r="B212" s="9" t="n"/>
      <c r="C212" s="10" t="n"/>
      <c r="D212" s="9" t="n"/>
      <c r="E212" s="12">
        <f>IF($A212="",0,IF($D212="Monthly",$C212,IF($D212="Annual",$C212/12,IF($D212="Weekly",$C212*52/12,IF($D212="Quarterly",$C212/3,$C212)))))</f>
        <v/>
      </c>
      <c r="F212" s="9" t="n"/>
      <c r="G212" s="9" t="n"/>
      <c r="H212" s="9" t="n"/>
      <c r="I212" s="9" t="n"/>
      <c r="J212" s="19" t="n"/>
      <c r="K212" s="9" t="n"/>
    </row>
    <row r="213">
      <c r="A213" s="9" t="n"/>
      <c r="B213" s="9" t="n"/>
      <c r="C213" s="10" t="n"/>
      <c r="D213" s="9" t="n"/>
      <c r="E213" s="12">
        <f>IF($A213="",0,IF($D213="Monthly",$C213,IF($D213="Annual",$C213/12,IF($D213="Weekly",$C213*52/12,IF($D213="Quarterly",$C213/3,$C213)))))</f>
        <v/>
      </c>
      <c r="F213" s="9" t="n"/>
      <c r="G213" s="9" t="n"/>
      <c r="H213" s="9" t="n"/>
      <c r="I213" s="9" t="n"/>
      <c r="J213" s="19" t="n"/>
      <c r="K213" s="9" t="n"/>
    </row>
    <row r="214">
      <c r="A214" s="9" t="n"/>
      <c r="B214" s="9" t="n"/>
      <c r="C214" s="10" t="n"/>
      <c r="D214" s="9" t="n"/>
      <c r="E214" s="12">
        <f>IF($A214="",0,IF($D214="Monthly",$C214,IF($D214="Annual",$C214/12,IF($D214="Weekly",$C214*52/12,IF($D214="Quarterly",$C214/3,$C214)))))</f>
        <v/>
      </c>
      <c r="F214" s="9" t="n"/>
      <c r="G214" s="9" t="n"/>
      <c r="H214" s="9" t="n"/>
      <c r="I214" s="9" t="n"/>
      <c r="J214" s="19" t="n"/>
      <c r="K214" s="9" t="n"/>
    </row>
    <row r="215">
      <c r="A215" s="9" t="n"/>
      <c r="B215" s="9" t="n"/>
      <c r="C215" s="10" t="n"/>
      <c r="D215" s="9" t="n"/>
      <c r="E215" s="12">
        <f>IF($A215="",0,IF($D215="Monthly",$C215,IF($D215="Annual",$C215/12,IF($D215="Weekly",$C215*52/12,IF($D215="Quarterly",$C215/3,$C215)))))</f>
        <v/>
      </c>
      <c r="F215" s="9" t="n"/>
      <c r="G215" s="9" t="n"/>
      <c r="H215" s="9" t="n"/>
      <c r="I215" s="9" t="n"/>
      <c r="J215" s="19" t="n"/>
      <c r="K215" s="9" t="n"/>
    </row>
    <row r="216">
      <c r="A216" s="9" t="n"/>
      <c r="B216" s="9" t="n"/>
      <c r="C216" s="10" t="n"/>
      <c r="D216" s="9" t="n"/>
      <c r="E216" s="12">
        <f>IF($A216="",0,IF($D216="Monthly",$C216,IF($D216="Annual",$C216/12,IF($D216="Weekly",$C216*52/12,IF($D216="Quarterly",$C216/3,$C216)))))</f>
        <v/>
      </c>
      <c r="F216" s="9" t="n"/>
      <c r="G216" s="9" t="n"/>
      <c r="H216" s="9" t="n"/>
      <c r="I216" s="9" t="n"/>
      <c r="J216" s="19" t="n"/>
      <c r="K216" s="9" t="n"/>
    </row>
    <row r="217">
      <c r="A217" s="9" t="n"/>
      <c r="B217" s="9" t="n"/>
      <c r="C217" s="10" t="n"/>
      <c r="D217" s="9" t="n"/>
      <c r="E217" s="12">
        <f>IF($A217="",0,IF($D217="Monthly",$C217,IF($D217="Annual",$C217/12,IF($D217="Weekly",$C217*52/12,IF($D217="Quarterly",$C217/3,$C217)))))</f>
        <v/>
      </c>
      <c r="F217" s="9" t="n"/>
      <c r="G217" s="9" t="n"/>
      <c r="H217" s="9" t="n"/>
      <c r="I217" s="9" t="n"/>
      <c r="J217" s="19" t="n"/>
      <c r="K217" s="9" t="n"/>
    </row>
    <row r="218">
      <c r="A218" s="9" t="n"/>
      <c r="B218" s="9" t="n"/>
      <c r="C218" s="10" t="n"/>
      <c r="D218" s="9" t="n"/>
      <c r="E218" s="12">
        <f>IF($A218="",0,IF($D218="Monthly",$C218,IF($D218="Annual",$C218/12,IF($D218="Weekly",$C218*52/12,IF($D218="Quarterly",$C218/3,$C218)))))</f>
        <v/>
      </c>
      <c r="F218" s="9" t="n"/>
      <c r="G218" s="9" t="n"/>
      <c r="H218" s="9" t="n"/>
      <c r="I218" s="9" t="n"/>
      <c r="J218" s="19" t="n"/>
      <c r="K218" s="9" t="n"/>
    </row>
    <row r="219">
      <c r="A219" s="9" t="n"/>
      <c r="B219" s="9" t="n"/>
      <c r="C219" s="10" t="n"/>
      <c r="D219" s="9" t="n"/>
      <c r="E219" s="12">
        <f>IF($A219="",0,IF($D219="Monthly",$C219,IF($D219="Annual",$C219/12,IF($D219="Weekly",$C219*52/12,IF($D219="Quarterly",$C219/3,$C219)))))</f>
        <v/>
      </c>
      <c r="F219" s="9" t="n"/>
      <c r="G219" s="9" t="n"/>
      <c r="H219" s="9" t="n"/>
      <c r="I219" s="9" t="n"/>
      <c r="J219" s="19" t="n"/>
      <c r="K219" s="9" t="n"/>
    </row>
    <row r="220">
      <c r="A220" s="9" t="n"/>
      <c r="B220" s="9" t="n"/>
      <c r="C220" s="10" t="n"/>
      <c r="D220" s="9" t="n"/>
      <c r="E220" s="12">
        <f>IF($A220="",0,IF($D220="Monthly",$C220,IF($D220="Annual",$C220/12,IF($D220="Weekly",$C220*52/12,IF($D220="Quarterly",$C220/3,$C220)))))</f>
        <v/>
      </c>
      <c r="F220" s="9" t="n"/>
      <c r="G220" s="9" t="n"/>
      <c r="H220" s="9" t="n"/>
      <c r="I220" s="9" t="n"/>
      <c r="J220" s="19" t="n"/>
      <c r="K220" s="9" t="n"/>
    </row>
    <row r="221">
      <c r="A221" s="9" t="n"/>
      <c r="B221" s="9" t="n"/>
      <c r="C221" s="10" t="n"/>
      <c r="D221" s="9" t="n"/>
      <c r="E221" s="12">
        <f>IF($A221="",0,IF($D221="Monthly",$C221,IF($D221="Annual",$C221/12,IF($D221="Weekly",$C221*52/12,IF($D221="Quarterly",$C221/3,$C221)))))</f>
        <v/>
      </c>
      <c r="F221" s="9" t="n"/>
      <c r="G221" s="9" t="n"/>
      <c r="H221" s="9" t="n"/>
      <c r="I221" s="9" t="n"/>
      <c r="J221" s="19" t="n"/>
      <c r="K221" s="9" t="n"/>
    </row>
    <row r="222">
      <c r="A222" s="9" t="n"/>
      <c r="B222" s="9" t="n"/>
      <c r="C222" s="10" t="n"/>
      <c r="D222" s="9" t="n"/>
      <c r="E222" s="12">
        <f>IF($A222="",0,IF($D222="Monthly",$C222,IF($D222="Annual",$C222/12,IF($D222="Weekly",$C222*52/12,IF($D222="Quarterly",$C222/3,$C222)))))</f>
        <v/>
      </c>
      <c r="F222" s="9" t="n"/>
      <c r="G222" s="9" t="n"/>
      <c r="H222" s="9" t="n"/>
      <c r="I222" s="9" t="n"/>
      <c r="J222" s="19" t="n"/>
      <c r="K222" s="9" t="n"/>
    </row>
    <row r="223">
      <c r="A223" s="9" t="n"/>
      <c r="B223" s="9" t="n"/>
      <c r="C223" s="10" t="n"/>
      <c r="D223" s="9" t="n"/>
      <c r="E223" s="12">
        <f>IF($A223="",0,IF($D223="Monthly",$C223,IF($D223="Annual",$C223/12,IF($D223="Weekly",$C223*52/12,IF($D223="Quarterly",$C223/3,$C223)))))</f>
        <v/>
      </c>
      <c r="F223" s="9" t="n"/>
      <c r="G223" s="9" t="n"/>
      <c r="H223" s="9" t="n"/>
      <c r="I223" s="9" t="n"/>
      <c r="J223" s="19" t="n"/>
      <c r="K223" s="9" t="n"/>
    </row>
    <row r="224">
      <c r="A224" s="9" t="n"/>
      <c r="B224" s="9" t="n"/>
      <c r="C224" s="10" t="n"/>
      <c r="D224" s="9" t="n"/>
      <c r="E224" s="12">
        <f>IF($A224="",0,IF($D224="Monthly",$C224,IF($D224="Annual",$C224/12,IF($D224="Weekly",$C224*52/12,IF($D224="Quarterly",$C224/3,$C224)))))</f>
        <v/>
      </c>
      <c r="F224" s="9" t="n"/>
      <c r="G224" s="9" t="n"/>
      <c r="H224" s="9" t="n"/>
      <c r="I224" s="9" t="n"/>
      <c r="J224" s="19" t="n"/>
      <c r="K224" s="9" t="n"/>
    </row>
    <row r="225">
      <c r="A225" s="9" t="n"/>
      <c r="B225" s="9" t="n"/>
      <c r="C225" s="10" t="n"/>
      <c r="D225" s="9" t="n"/>
      <c r="E225" s="12">
        <f>IF($A225="",0,IF($D225="Monthly",$C225,IF($D225="Annual",$C225/12,IF($D225="Weekly",$C225*52/12,IF($D225="Quarterly",$C225/3,$C225)))))</f>
        <v/>
      </c>
      <c r="F225" s="9" t="n"/>
      <c r="G225" s="9" t="n"/>
      <c r="H225" s="9" t="n"/>
      <c r="I225" s="9" t="n"/>
      <c r="J225" s="19" t="n"/>
      <c r="K225" s="9" t="n"/>
    </row>
    <row r="226">
      <c r="A226" s="9" t="n"/>
      <c r="B226" s="9" t="n"/>
      <c r="C226" s="10" t="n"/>
      <c r="D226" s="9" t="n"/>
      <c r="E226" s="12">
        <f>IF($A226="",0,IF($D226="Monthly",$C226,IF($D226="Annual",$C226/12,IF($D226="Weekly",$C226*52/12,IF($D226="Quarterly",$C226/3,$C226)))))</f>
        <v/>
      </c>
      <c r="F226" s="9" t="n"/>
      <c r="G226" s="9" t="n"/>
      <c r="H226" s="9" t="n"/>
      <c r="I226" s="9" t="n"/>
      <c r="J226" s="19" t="n"/>
      <c r="K226" s="9" t="n"/>
    </row>
    <row r="227">
      <c r="A227" s="9" t="n"/>
      <c r="B227" s="9" t="n"/>
      <c r="C227" s="10" t="n"/>
      <c r="D227" s="9" t="n"/>
      <c r="E227" s="12">
        <f>IF($A227="",0,IF($D227="Monthly",$C227,IF($D227="Annual",$C227/12,IF($D227="Weekly",$C227*52/12,IF($D227="Quarterly",$C227/3,$C227)))))</f>
        <v/>
      </c>
      <c r="F227" s="9" t="n"/>
      <c r="G227" s="9" t="n"/>
      <c r="H227" s="9" t="n"/>
      <c r="I227" s="9" t="n"/>
      <c r="J227" s="19" t="n"/>
      <c r="K227" s="9" t="n"/>
    </row>
    <row r="228">
      <c r="A228" s="9" t="n"/>
      <c r="B228" s="9" t="n"/>
      <c r="C228" s="10" t="n"/>
      <c r="D228" s="9" t="n"/>
      <c r="E228" s="12">
        <f>IF($A228="",0,IF($D228="Monthly",$C228,IF($D228="Annual",$C228/12,IF($D228="Weekly",$C228*52/12,IF($D228="Quarterly",$C228/3,$C228)))))</f>
        <v/>
      </c>
      <c r="F228" s="9" t="n"/>
      <c r="G228" s="9" t="n"/>
      <c r="H228" s="9" t="n"/>
      <c r="I228" s="9" t="n"/>
      <c r="J228" s="19" t="n"/>
      <c r="K228" s="9" t="n"/>
    </row>
    <row r="229">
      <c r="A229" s="9" t="n"/>
      <c r="B229" s="9" t="n"/>
      <c r="C229" s="10" t="n"/>
      <c r="D229" s="9" t="n"/>
      <c r="E229" s="12">
        <f>IF($A229="",0,IF($D229="Monthly",$C229,IF($D229="Annual",$C229/12,IF($D229="Weekly",$C229*52/12,IF($D229="Quarterly",$C229/3,$C229)))))</f>
        <v/>
      </c>
      <c r="F229" s="9" t="n"/>
      <c r="G229" s="9" t="n"/>
      <c r="H229" s="9" t="n"/>
      <c r="I229" s="9" t="n"/>
      <c r="J229" s="19" t="n"/>
      <c r="K229" s="9" t="n"/>
    </row>
    <row r="230">
      <c r="A230" s="9" t="n"/>
      <c r="B230" s="9" t="n"/>
      <c r="C230" s="10" t="n"/>
      <c r="D230" s="9" t="n"/>
      <c r="E230" s="12">
        <f>IF($A230="",0,IF($D230="Monthly",$C230,IF($D230="Annual",$C230/12,IF($D230="Weekly",$C230*52/12,IF($D230="Quarterly",$C230/3,$C230)))))</f>
        <v/>
      </c>
      <c r="F230" s="9" t="n"/>
      <c r="G230" s="9" t="n"/>
      <c r="H230" s="9" t="n"/>
      <c r="I230" s="9" t="n"/>
      <c r="J230" s="19" t="n"/>
      <c r="K230" s="9" t="n"/>
    </row>
    <row r="231">
      <c r="A231" s="9" t="n"/>
      <c r="B231" s="9" t="n"/>
      <c r="C231" s="10" t="n"/>
      <c r="D231" s="9" t="n"/>
      <c r="E231" s="12">
        <f>IF($A231="",0,IF($D231="Monthly",$C231,IF($D231="Annual",$C231/12,IF($D231="Weekly",$C231*52/12,IF($D231="Quarterly",$C231/3,$C231)))))</f>
        <v/>
      </c>
      <c r="F231" s="9" t="n"/>
      <c r="G231" s="9" t="n"/>
      <c r="H231" s="9" t="n"/>
      <c r="I231" s="9" t="n"/>
      <c r="J231" s="19" t="n"/>
      <c r="K231" s="9" t="n"/>
    </row>
    <row r="232">
      <c r="A232" s="9" t="n"/>
      <c r="B232" s="9" t="n"/>
      <c r="C232" s="10" t="n"/>
      <c r="D232" s="9" t="n"/>
      <c r="E232" s="12">
        <f>IF($A232="",0,IF($D232="Monthly",$C232,IF($D232="Annual",$C232/12,IF($D232="Weekly",$C232*52/12,IF($D232="Quarterly",$C232/3,$C232)))))</f>
        <v/>
      </c>
      <c r="F232" s="9" t="n"/>
      <c r="G232" s="9" t="n"/>
      <c r="H232" s="9" t="n"/>
      <c r="I232" s="9" t="n"/>
      <c r="J232" s="19" t="n"/>
      <c r="K232" s="9" t="n"/>
    </row>
    <row r="233">
      <c r="A233" s="9" t="n"/>
      <c r="B233" s="9" t="n"/>
      <c r="C233" s="10" t="n"/>
      <c r="D233" s="9" t="n"/>
      <c r="E233" s="12">
        <f>IF($A233="",0,IF($D233="Monthly",$C233,IF($D233="Annual",$C233/12,IF($D233="Weekly",$C233*52/12,IF($D233="Quarterly",$C233/3,$C233)))))</f>
        <v/>
      </c>
      <c r="F233" s="9" t="n"/>
      <c r="G233" s="9" t="n"/>
      <c r="H233" s="9" t="n"/>
      <c r="I233" s="9" t="n"/>
      <c r="J233" s="19" t="n"/>
      <c r="K233" s="9" t="n"/>
    </row>
    <row r="234">
      <c r="A234" s="9" t="n"/>
      <c r="B234" s="9" t="n"/>
      <c r="C234" s="10" t="n"/>
      <c r="D234" s="9" t="n"/>
      <c r="E234" s="12">
        <f>IF($A234="",0,IF($D234="Monthly",$C234,IF($D234="Annual",$C234/12,IF($D234="Weekly",$C234*52/12,IF($D234="Quarterly",$C234/3,$C234)))))</f>
        <v/>
      </c>
      <c r="F234" s="9" t="n"/>
      <c r="G234" s="9" t="n"/>
      <c r="H234" s="9" t="n"/>
      <c r="I234" s="9" t="n"/>
      <c r="J234" s="19" t="n"/>
      <c r="K234" s="9" t="n"/>
    </row>
    <row r="235">
      <c r="A235" s="9" t="n"/>
      <c r="B235" s="9" t="n"/>
      <c r="C235" s="10" t="n"/>
      <c r="D235" s="9" t="n"/>
      <c r="E235" s="12">
        <f>IF($A235="",0,IF($D235="Monthly",$C235,IF($D235="Annual",$C235/12,IF($D235="Weekly",$C235*52/12,IF($D235="Quarterly",$C235/3,$C235)))))</f>
        <v/>
      </c>
      <c r="F235" s="9" t="n"/>
      <c r="G235" s="9" t="n"/>
      <c r="H235" s="9" t="n"/>
      <c r="I235" s="9" t="n"/>
      <c r="J235" s="19" t="n"/>
      <c r="K235" s="9" t="n"/>
    </row>
    <row r="236">
      <c r="A236" s="9" t="n"/>
      <c r="B236" s="9" t="n"/>
      <c r="C236" s="10" t="n"/>
      <c r="D236" s="9" t="n"/>
      <c r="E236" s="12">
        <f>IF($A236="",0,IF($D236="Monthly",$C236,IF($D236="Annual",$C236/12,IF($D236="Weekly",$C236*52/12,IF($D236="Quarterly",$C236/3,$C236)))))</f>
        <v/>
      </c>
      <c r="F236" s="9" t="n"/>
      <c r="G236" s="9" t="n"/>
      <c r="H236" s="9" t="n"/>
      <c r="I236" s="9" t="n"/>
      <c r="J236" s="19" t="n"/>
      <c r="K236" s="9" t="n"/>
    </row>
    <row r="237">
      <c r="A237" s="9" t="n"/>
      <c r="B237" s="9" t="n"/>
      <c r="C237" s="10" t="n"/>
      <c r="D237" s="9" t="n"/>
      <c r="E237" s="12">
        <f>IF($A237="",0,IF($D237="Monthly",$C237,IF($D237="Annual",$C237/12,IF($D237="Weekly",$C237*52/12,IF($D237="Quarterly",$C237/3,$C237)))))</f>
        <v/>
      </c>
      <c r="F237" s="9" t="n"/>
      <c r="G237" s="9" t="n"/>
      <c r="H237" s="9" t="n"/>
      <c r="I237" s="9" t="n"/>
      <c r="J237" s="19" t="n"/>
      <c r="K237" s="9" t="n"/>
    </row>
    <row r="238">
      <c r="A238" s="9" t="n"/>
      <c r="B238" s="9" t="n"/>
      <c r="C238" s="10" t="n"/>
      <c r="D238" s="9" t="n"/>
      <c r="E238" s="12">
        <f>IF($A238="",0,IF($D238="Monthly",$C238,IF($D238="Annual",$C238/12,IF($D238="Weekly",$C238*52/12,IF($D238="Quarterly",$C238/3,$C238)))))</f>
        <v/>
      </c>
      <c r="F238" s="9" t="n"/>
      <c r="G238" s="9" t="n"/>
      <c r="H238" s="9" t="n"/>
      <c r="I238" s="9" t="n"/>
      <c r="J238" s="19" t="n"/>
      <c r="K238" s="9" t="n"/>
    </row>
    <row r="239">
      <c r="A239" s="9" t="n"/>
      <c r="B239" s="9" t="n"/>
      <c r="C239" s="10" t="n"/>
      <c r="D239" s="9" t="n"/>
      <c r="E239" s="12">
        <f>IF($A239="",0,IF($D239="Monthly",$C239,IF($D239="Annual",$C239/12,IF($D239="Weekly",$C239*52/12,IF($D239="Quarterly",$C239/3,$C239)))))</f>
        <v/>
      </c>
      <c r="F239" s="9" t="n"/>
      <c r="G239" s="9" t="n"/>
      <c r="H239" s="9" t="n"/>
      <c r="I239" s="9" t="n"/>
      <c r="J239" s="19" t="n"/>
      <c r="K239" s="9" t="n"/>
    </row>
    <row r="240">
      <c r="A240" s="9" t="n"/>
      <c r="B240" s="9" t="n"/>
      <c r="C240" s="10" t="n"/>
      <c r="D240" s="9" t="n"/>
      <c r="E240" s="12">
        <f>IF($A240="",0,IF($D240="Monthly",$C240,IF($D240="Annual",$C240/12,IF($D240="Weekly",$C240*52/12,IF($D240="Quarterly",$C240/3,$C240)))))</f>
        <v/>
      </c>
      <c r="F240" s="9" t="n"/>
      <c r="G240" s="9" t="n"/>
      <c r="H240" s="9" t="n"/>
      <c r="I240" s="9" t="n"/>
      <c r="J240" s="19" t="n"/>
      <c r="K240" s="9" t="n"/>
    </row>
    <row r="241">
      <c r="A241" s="9" t="n"/>
      <c r="B241" s="9" t="n"/>
      <c r="C241" s="10" t="n"/>
      <c r="D241" s="9" t="n"/>
      <c r="E241" s="12">
        <f>IF($A241="",0,IF($D241="Monthly",$C241,IF($D241="Annual",$C241/12,IF($D241="Weekly",$C241*52/12,IF($D241="Quarterly",$C241/3,$C241)))))</f>
        <v/>
      </c>
      <c r="F241" s="9" t="n"/>
      <c r="G241" s="9" t="n"/>
      <c r="H241" s="9" t="n"/>
      <c r="I241" s="9" t="n"/>
      <c r="J241" s="19" t="n"/>
      <c r="K241" s="9" t="n"/>
    </row>
    <row r="242">
      <c r="A242" s="9" t="n"/>
      <c r="B242" s="9" t="n"/>
      <c r="C242" s="10" t="n"/>
      <c r="D242" s="9" t="n"/>
      <c r="E242" s="12">
        <f>IF($A242="",0,IF($D242="Monthly",$C242,IF($D242="Annual",$C242/12,IF($D242="Weekly",$C242*52/12,IF($D242="Quarterly",$C242/3,$C242)))))</f>
        <v/>
      </c>
      <c r="F242" s="9" t="n"/>
      <c r="G242" s="9" t="n"/>
      <c r="H242" s="9" t="n"/>
      <c r="I242" s="9" t="n"/>
      <c r="J242" s="19" t="n"/>
      <c r="K242" s="9" t="n"/>
    </row>
    <row r="243">
      <c r="A243" s="9" t="n"/>
      <c r="B243" s="9" t="n"/>
      <c r="C243" s="10" t="n"/>
      <c r="D243" s="9" t="n"/>
      <c r="E243" s="12">
        <f>IF($A243="",0,IF($D243="Monthly",$C243,IF($D243="Annual",$C243/12,IF($D243="Weekly",$C243*52/12,IF($D243="Quarterly",$C243/3,$C243)))))</f>
        <v/>
      </c>
      <c r="F243" s="9" t="n"/>
      <c r="G243" s="9" t="n"/>
      <c r="H243" s="9" t="n"/>
      <c r="I243" s="9" t="n"/>
      <c r="J243" s="19" t="n"/>
      <c r="K243" s="9" t="n"/>
    </row>
    <row r="244">
      <c r="A244" s="9" t="n"/>
      <c r="B244" s="9" t="n"/>
      <c r="C244" s="10" t="n"/>
      <c r="D244" s="9" t="n"/>
      <c r="E244" s="12">
        <f>IF($A244="",0,IF($D244="Monthly",$C244,IF($D244="Annual",$C244/12,IF($D244="Weekly",$C244*52/12,IF($D244="Quarterly",$C244/3,$C244)))))</f>
        <v/>
      </c>
      <c r="F244" s="9" t="n"/>
      <c r="G244" s="9" t="n"/>
      <c r="H244" s="9" t="n"/>
      <c r="I244" s="9" t="n"/>
      <c r="J244" s="19" t="n"/>
      <c r="K244" s="9" t="n"/>
    </row>
    <row r="245">
      <c r="A245" s="9" t="n"/>
      <c r="B245" s="9" t="n"/>
      <c r="C245" s="10" t="n"/>
      <c r="D245" s="9" t="n"/>
      <c r="E245" s="12">
        <f>IF($A245="",0,IF($D245="Monthly",$C245,IF($D245="Annual",$C245/12,IF($D245="Weekly",$C245*52/12,IF($D245="Quarterly",$C245/3,$C245)))))</f>
        <v/>
      </c>
      <c r="F245" s="9" t="n"/>
      <c r="G245" s="9" t="n"/>
      <c r="H245" s="9" t="n"/>
      <c r="I245" s="9" t="n"/>
      <c r="J245" s="19" t="n"/>
      <c r="K245" s="9" t="n"/>
    </row>
    <row r="246">
      <c r="A246" s="9" t="n"/>
      <c r="B246" s="9" t="n"/>
      <c r="C246" s="10" t="n"/>
      <c r="D246" s="9" t="n"/>
      <c r="E246" s="12">
        <f>IF($A246="",0,IF($D246="Monthly",$C246,IF($D246="Annual",$C246/12,IF($D246="Weekly",$C246*52/12,IF($D246="Quarterly",$C246/3,$C246)))))</f>
        <v/>
      </c>
      <c r="F246" s="9" t="n"/>
      <c r="G246" s="9" t="n"/>
      <c r="H246" s="9" t="n"/>
      <c r="I246" s="9" t="n"/>
      <c r="J246" s="19" t="n"/>
      <c r="K246" s="9" t="n"/>
    </row>
    <row r="247">
      <c r="A247" s="9" t="n"/>
      <c r="B247" s="9" t="n"/>
      <c r="C247" s="10" t="n"/>
      <c r="D247" s="9" t="n"/>
      <c r="E247" s="12">
        <f>IF($A247="",0,IF($D247="Monthly",$C247,IF($D247="Annual",$C247/12,IF($D247="Weekly",$C247*52/12,IF($D247="Quarterly",$C247/3,$C247)))))</f>
        <v/>
      </c>
      <c r="F247" s="9" t="n"/>
      <c r="G247" s="9" t="n"/>
      <c r="H247" s="9" t="n"/>
      <c r="I247" s="9" t="n"/>
      <c r="J247" s="19" t="n"/>
      <c r="K247" s="9" t="n"/>
    </row>
    <row r="248">
      <c r="A248" s="9" t="n"/>
      <c r="B248" s="9" t="n"/>
      <c r="C248" s="10" t="n"/>
      <c r="D248" s="9" t="n"/>
      <c r="E248" s="12">
        <f>IF($A248="",0,IF($D248="Monthly",$C248,IF($D248="Annual",$C248/12,IF($D248="Weekly",$C248*52/12,IF($D248="Quarterly",$C248/3,$C248)))))</f>
        <v/>
      </c>
      <c r="F248" s="9" t="n"/>
      <c r="G248" s="9" t="n"/>
      <c r="H248" s="9" t="n"/>
      <c r="I248" s="9" t="n"/>
      <c r="J248" s="19" t="n"/>
      <c r="K248" s="9" t="n"/>
    </row>
    <row r="249">
      <c r="A249" s="9" t="n"/>
      <c r="B249" s="9" t="n"/>
      <c r="C249" s="10" t="n"/>
      <c r="D249" s="9" t="n"/>
      <c r="E249" s="12">
        <f>IF($A249="",0,IF($D249="Monthly",$C249,IF($D249="Annual",$C249/12,IF($D249="Weekly",$C249*52/12,IF($D249="Quarterly",$C249/3,$C249)))))</f>
        <v/>
      </c>
      <c r="F249" s="9" t="n"/>
      <c r="G249" s="9" t="n"/>
      <c r="H249" s="9" t="n"/>
      <c r="I249" s="9" t="n"/>
      <c r="J249" s="19" t="n"/>
      <c r="K249" s="9" t="n"/>
    </row>
    <row r="250">
      <c r="A250" s="9" t="n"/>
      <c r="B250" s="9" t="n"/>
      <c r="C250" s="10" t="n"/>
      <c r="D250" s="9" t="n"/>
      <c r="E250" s="12">
        <f>IF($A250="",0,IF($D250="Monthly",$C250,IF($D250="Annual",$C250/12,IF($D250="Weekly",$C250*52/12,IF($D250="Quarterly",$C250/3,$C250)))))</f>
        <v/>
      </c>
      <c r="F250" s="9" t="n"/>
      <c r="G250" s="9" t="n"/>
      <c r="H250" s="9" t="n"/>
      <c r="I250" s="9" t="n"/>
      <c r="J250" s="19" t="n"/>
      <c r="K250" s="9" t="n"/>
    </row>
    <row r="251">
      <c r="A251" s="9" t="n"/>
      <c r="B251" s="9" t="n"/>
      <c r="C251" s="10" t="n"/>
      <c r="D251" s="9" t="n"/>
      <c r="E251" s="12">
        <f>IF($A251="",0,IF($D251="Monthly",$C251,IF($D251="Annual",$C251/12,IF($D251="Weekly",$C251*52/12,IF($D251="Quarterly",$C251/3,$C251)))))</f>
        <v/>
      </c>
      <c r="F251" s="9" t="n"/>
      <c r="G251" s="9" t="n"/>
      <c r="H251" s="9" t="n"/>
      <c r="I251" s="9" t="n"/>
      <c r="J251" s="19" t="n"/>
      <c r="K251" s="9" t="n"/>
    </row>
    <row r="252">
      <c r="A252" s="9" t="n"/>
      <c r="B252" s="9" t="n"/>
      <c r="C252" s="10" t="n"/>
      <c r="D252" s="9" t="n"/>
      <c r="E252" s="12">
        <f>IF($A252="",0,IF($D252="Monthly",$C252,IF($D252="Annual",$C252/12,IF($D252="Weekly",$C252*52/12,IF($D252="Quarterly",$C252/3,$C252)))))</f>
        <v/>
      </c>
      <c r="F252" s="9" t="n"/>
      <c r="G252" s="9" t="n"/>
      <c r="H252" s="9" t="n"/>
      <c r="I252" s="9" t="n"/>
      <c r="J252" s="19" t="n"/>
      <c r="K252" s="9" t="n"/>
    </row>
    <row r="253">
      <c r="A253" s="9" t="n"/>
      <c r="B253" s="9" t="n"/>
      <c r="C253" s="10" t="n"/>
      <c r="D253" s="9" t="n"/>
      <c r="E253" s="12">
        <f>IF($A253="",0,IF($D253="Monthly",$C253,IF($D253="Annual",$C253/12,IF($D253="Weekly",$C253*52/12,IF($D253="Quarterly",$C253/3,$C253)))))</f>
        <v/>
      </c>
      <c r="F253" s="9" t="n"/>
      <c r="G253" s="9" t="n"/>
      <c r="H253" s="9" t="n"/>
      <c r="I253" s="9" t="n"/>
      <c r="J253" s="19" t="n"/>
      <c r="K253" s="9" t="n"/>
    </row>
    <row r="254">
      <c r="A254" s="9" t="n"/>
      <c r="B254" s="9" t="n"/>
      <c r="C254" s="10" t="n"/>
      <c r="D254" s="9" t="n"/>
      <c r="E254" s="12">
        <f>IF($A254="",0,IF($D254="Monthly",$C254,IF($D254="Annual",$C254/12,IF($D254="Weekly",$C254*52/12,IF($D254="Quarterly",$C254/3,$C254)))))</f>
        <v/>
      </c>
      <c r="F254" s="9" t="n"/>
      <c r="G254" s="9" t="n"/>
      <c r="H254" s="9" t="n"/>
      <c r="I254" s="9" t="n"/>
      <c r="J254" s="19" t="n"/>
      <c r="K254" s="9" t="n"/>
    </row>
    <row r="255">
      <c r="A255" s="9" t="n"/>
      <c r="B255" s="9" t="n"/>
      <c r="C255" s="10" t="n"/>
      <c r="D255" s="9" t="n"/>
      <c r="E255" s="12">
        <f>IF($A255="",0,IF($D255="Monthly",$C255,IF($D255="Annual",$C255/12,IF($D255="Weekly",$C255*52/12,IF($D255="Quarterly",$C255/3,$C255)))))</f>
        <v/>
      </c>
      <c r="F255" s="9" t="n"/>
      <c r="G255" s="9" t="n"/>
      <c r="H255" s="9" t="n"/>
      <c r="I255" s="9" t="n"/>
      <c r="J255" s="19" t="n"/>
      <c r="K255" s="9" t="n"/>
    </row>
    <row r="256">
      <c r="A256" s="9" t="n"/>
      <c r="B256" s="9" t="n"/>
      <c r="C256" s="10" t="n"/>
      <c r="D256" s="9" t="n"/>
      <c r="E256" s="12">
        <f>IF($A256="",0,IF($D256="Monthly",$C256,IF($D256="Annual",$C256/12,IF($D256="Weekly",$C256*52/12,IF($D256="Quarterly",$C256/3,$C256)))))</f>
        <v/>
      </c>
      <c r="F256" s="9" t="n"/>
      <c r="G256" s="9" t="n"/>
      <c r="H256" s="9" t="n"/>
      <c r="I256" s="9" t="n"/>
      <c r="J256" s="19" t="n"/>
      <c r="K256" s="9" t="n"/>
    </row>
    <row r="257">
      <c r="A257" s="9" t="n"/>
      <c r="B257" s="9" t="n"/>
      <c r="C257" s="10" t="n"/>
      <c r="D257" s="9" t="n"/>
      <c r="E257" s="12">
        <f>IF($A257="",0,IF($D257="Monthly",$C257,IF($D257="Annual",$C257/12,IF($D257="Weekly",$C257*52/12,IF($D257="Quarterly",$C257/3,$C257)))))</f>
        <v/>
      </c>
      <c r="F257" s="9" t="n"/>
      <c r="G257" s="9" t="n"/>
      <c r="H257" s="9" t="n"/>
      <c r="I257" s="9" t="n"/>
      <c r="J257" s="19" t="n"/>
      <c r="K257" s="9" t="n"/>
    </row>
    <row r="258">
      <c r="A258" s="9" t="n"/>
      <c r="B258" s="9" t="n"/>
      <c r="C258" s="10" t="n"/>
      <c r="D258" s="9" t="n"/>
      <c r="E258" s="12">
        <f>IF($A258="",0,IF($D258="Monthly",$C258,IF($D258="Annual",$C258/12,IF($D258="Weekly",$C258*52/12,IF($D258="Quarterly",$C258/3,$C258)))))</f>
        <v/>
      </c>
      <c r="F258" s="9" t="n"/>
      <c r="G258" s="9" t="n"/>
      <c r="H258" s="9" t="n"/>
      <c r="I258" s="9" t="n"/>
      <c r="J258" s="19" t="n"/>
      <c r="K258" s="9" t="n"/>
    </row>
    <row r="259">
      <c r="A259" s="9" t="n"/>
      <c r="B259" s="9" t="n"/>
      <c r="C259" s="10" t="n"/>
      <c r="D259" s="9" t="n"/>
      <c r="E259" s="12">
        <f>IF($A259="",0,IF($D259="Monthly",$C259,IF($D259="Annual",$C259/12,IF($D259="Weekly",$C259*52/12,IF($D259="Quarterly",$C259/3,$C259)))))</f>
        <v/>
      </c>
      <c r="F259" s="9" t="n"/>
      <c r="G259" s="9" t="n"/>
      <c r="H259" s="9" t="n"/>
      <c r="I259" s="9" t="n"/>
      <c r="J259" s="19" t="n"/>
      <c r="K259" s="9" t="n"/>
    </row>
    <row r="260">
      <c r="A260" s="9" t="n"/>
      <c r="B260" s="9" t="n"/>
      <c r="C260" s="10" t="n"/>
      <c r="D260" s="9" t="n"/>
      <c r="E260" s="12">
        <f>IF($A260="",0,IF($D260="Monthly",$C260,IF($D260="Annual",$C260/12,IF($D260="Weekly",$C260*52/12,IF($D260="Quarterly",$C260/3,$C260)))))</f>
        <v/>
      </c>
      <c r="F260" s="9" t="n"/>
      <c r="G260" s="9" t="n"/>
      <c r="H260" s="9" t="n"/>
      <c r="I260" s="9" t="n"/>
      <c r="J260" s="19" t="n"/>
      <c r="K260" s="9" t="n"/>
    </row>
    <row r="261">
      <c r="A261" s="9" t="n"/>
      <c r="B261" s="9" t="n"/>
      <c r="C261" s="10" t="n"/>
      <c r="D261" s="9" t="n"/>
      <c r="E261" s="12">
        <f>IF($A261="",0,IF($D261="Monthly",$C261,IF($D261="Annual",$C261/12,IF($D261="Weekly",$C261*52/12,IF($D261="Quarterly",$C261/3,$C261)))))</f>
        <v/>
      </c>
      <c r="F261" s="9" t="n"/>
      <c r="G261" s="9" t="n"/>
      <c r="H261" s="9" t="n"/>
      <c r="I261" s="9" t="n"/>
      <c r="J261" s="19" t="n"/>
      <c r="K261" s="9" t="n"/>
    </row>
    <row r="262">
      <c r="A262" s="9" t="n"/>
      <c r="B262" s="9" t="n"/>
      <c r="C262" s="10" t="n"/>
      <c r="D262" s="9" t="n"/>
      <c r="E262" s="12">
        <f>IF($A262="",0,IF($D262="Monthly",$C262,IF($D262="Annual",$C262/12,IF($D262="Weekly",$C262*52/12,IF($D262="Quarterly",$C262/3,$C262)))))</f>
        <v/>
      </c>
      <c r="F262" s="9" t="n"/>
      <c r="G262" s="9" t="n"/>
      <c r="H262" s="9" t="n"/>
      <c r="I262" s="9" t="n"/>
      <c r="J262" s="19" t="n"/>
      <c r="K262" s="9" t="n"/>
    </row>
    <row r="263">
      <c r="A263" s="9" t="n"/>
      <c r="B263" s="9" t="n"/>
      <c r="C263" s="10" t="n"/>
      <c r="D263" s="9" t="n"/>
      <c r="E263" s="12">
        <f>IF($A263="",0,IF($D263="Monthly",$C263,IF($D263="Annual",$C263/12,IF($D263="Weekly",$C263*52/12,IF($D263="Quarterly",$C263/3,$C263)))))</f>
        <v/>
      </c>
      <c r="F263" s="9" t="n"/>
      <c r="G263" s="9" t="n"/>
      <c r="H263" s="9" t="n"/>
      <c r="I263" s="9" t="n"/>
      <c r="J263" s="19" t="n"/>
      <c r="K263" s="9" t="n"/>
    </row>
    <row r="264">
      <c r="A264" s="9" t="n"/>
      <c r="B264" s="9" t="n"/>
      <c r="C264" s="10" t="n"/>
      <c r="D264" s="9" t="n"/>
      <c r="E264" s="12">
        <f>IF($A264="",0,IF($D264="Monthly",$C264,IF($D264="Annual",$C264/12,IF($D264="Weekly",$C264*52/12,IF($D264="Quarterly",$C264/3,$C264)))))</f>
        <v/>
      </c>
      <c r="F264" s="9" t="n"/>
      <c r="G264" s="9" t="n"/>
      <c r="H264" s="9" t="n"/>
      <c r="I264" s="9" t="n"/>
      <c r="J264" s="19" t="n"/>
      <c r="K264" s="9" t="n"/>
    </row>
    <row r="265">
      <c r="A265" s="9" t="n"/>
      <c r="B265" s="9" t="n"/>
      <c r="C265" s="10" t="n"/>
      <c r="D265" s="9" t="n"/>
      <c r="E265" s="12">
        <f>IF($A265="",0,IF($D265="Monthly",$C265,IF($D265="Annual",$C265/12,IF($D265="Weekly",$C265*52/12,IF($D265="Quarterly",$C265/3,$C265)))))</f>
        <v/>
      </c>
      <c r="F265" s="9" t="n"/>
      <c r="G265" s="9" t="n"/>
      <c r="H265" s="9" t="n"/>
      <c r="I265" s="9" t="n"/>
      <c r="J265" s="19" t="n"/>
      <c r="K265" s="9" t="n"/>
    </row>
    <row r="266">
      <c r="A266" s="9" t="n"/>
      <c r="B266" s="9" t="n"/>
      <c r="C266" s="10" t="n"/>
      <c r="D266" s="9" t="n"/>
      <c r="E266" s="12">
        <f>IF($A266="",0,IF($D266="Monthly",$C266,IF($D266="Annual",$C266/12,IF($D266="Weekly",$C266*52/12,IF($D266="Quarterly",$C266/3,$C266)))))</f>
        <v/>
      </c>
      <c r="F266" s="9" t="n"/>
      <c r="G266" s="9" t="n"/>
      <c r="H266" s="9" t="n"/>
      <c r="I266" s="9" t="n"/>
      <c r="J266" s="19" t="n"/>
      <c r="K266" s="9" t="n"/>
    </row>
    <row r="267">
      <c r="A267" s="9" t="n"/>
      <c r="B267" s="9" t="n"/>
      <c r="C267" s="10" t="n"/>
      <c r="D267" s="9" t="n"/>
      <c r="E267" s="12">
        <f>IF($A267="",0,IF($D267="Monthly",$C267,IF($D267="Annual",$C267/12,IF($D267="Weekly",$C267*52/12,IF($D267="Quarterly",$C267/3,$C267)))))</f>
        <v/>
      </c>
      <c r="F267" s="9" t="n"/>
      <c r="G267" s="9" t="n"/>
      <c r="H267" s="9" t="n"/>
      <c r="I267" s="9" t="n"/>
      <c r="J267" s="19" t="n"/>
      <c r="K267" s="9" t="n"/>
    </row>
    <row r="268">
      <c r="A268" s="9" t="n"/>
      <c r="B268" s="9" t="n"/>
      <c r="C268" s="10" t="n"/>
      <c r="D268" s="9" t="n"/>
      <c r="E268" s="12">
        <f>IF($A268="",0,IF($D268="Monthly",$C268,IF($D268="Annual",$C268/12,IF($D268="Weekly",$C268*52/12,IF($D268="Quarterly",$C268/3,$C268)))))</f>
        <v/>
      </c>
      <c r="F268" s="9" t="n"/>
      <c r="G268" s="9" t="n"/>
      <c r="H268" s="9" t="n"/>
      <c r="I268" s="9" t="n"/>
      <c r="J268" s="19" t="n"/>
      <c r="K268" s="9" t="n"/>
    </row>
    <row r="269">
      <c r="A269" s="9" t="n"/>
      <c r="B269" s="9" t="n"/>
      <c r="C269" s="10" t="n"/>
      <c r="D269" s="9" t="n"/>
      <c r="E269" s="12">
        <f>IF($A269="",0,IF($D269="Monthly",$C269,IF($D269="Annual",$C269/12,IF($D269="Weekly",$C269*52/12,IF($D269="Quarterly",$C269/3,$C269)))))</f>
        <v/>
      </c>
      <c r="F269" s="9" t="n"/>
      <c r="G269" s="9" t="n"/>
      <c r="H269" s="9" t="n"/>
      <c r="I269" s="9" t="n"/>
      <c r="J269" s="19" t="n"/>
      <c r="K269" s="9" t="n"/>
    </row>
    <row r="270">
      <c r="A270" s="9" t="n"/>
      <c r="B270" s="9" t="n"/>
      <c r="C270" s="10" t="n"/>
      <c r="D270" s="9" t="n"/>
      <c r="E270" s="12">
        <f>IF($A270="",0,IF($D270="Monthly",$C270,IF($D270="Annual",$C270/12,IF($D270="Weekly",$C270*52/12,IF($D270="Quarterly",$C270/3,$C270)))))</f>
        <v/>
      </c>
      <c r="F270" s="9" t="n"/>
      <c r="G270" s="9" t="n"/>
      <c r="H270" s="9" t="n"/>
      <c r="I270" s="9" t="n"/>
      <c r="J270" s="19" t="n"/>
      <c r="K270" s="9" t="n"/>
    </row>
    <row r="271">
      <c r="A271" s="9" t="n"/>
      <c r="B271" s="9" t="n"/>
      <c r="C271" s="10" t="n"/>
      <c r="D271" s="9" t="n"/>
      <c r="E271" s="12">
        <f>IF($A271="",0,IF($D271="Monthly",$C271,IF($D271="Annual",$C271/12,IF($D271="Weekly",$C271*52/12,IF($D271="Quarterly",$C271/3,$C271)))))</f>
        <v/>
      </c>
      <c r="F271" s="9" t="n"/>
      <c r="G271" s="9" t="n"/>
      <c r="H271" s="9" t="n"/>
      <c r="I271" s="9" t="n"/>
      <c r="J271" s="19" t="n"/>
      <c r="K271" s="9" t="n"/>
    </row>
    <row r="272">
      <c r="A272" s="9" t="n"/>
      <c r="B272" s="9" t="n"/>
      <c r="C272" s="10" t="n"/>
      <c r="D272" s="9" t="n"/>
      <c r="E272" s="12">
        <f>IF($A272="",0,IF($D272="Monthly",$C272,IF($D272="Annual",$C272/12,IF($D272="Weekly",$C272*52/12,IF($D272="Quarterly",$C272/3,$C272)))))</f>
        <v/>
      </c>
      <c r="F272" s="9" t="n"/>
      <c r="G272" s="9" t="n"/>
      <c r="H272" s="9" t="n"/>
      <c r="I272" s="9" t="n"/>
      <c r="J272" s="19" t="n"/>
      <c r="K272" s="9" t="n"/>
    </row>
    <row r="273">
      <c r="A273" s="9" t="n"/>
      <c r="B273" s="9" t="n"/>
      <c r="C273" s="10" t="n"/>
      <c r="D273" s="9" t="n"/>
      <c r="E273" s="12">
        <f>IF($A273="",0,IF($D273="Monthly",$C273,IF($D273="Annual",$C273/12,IF($D273="Weekly",$C273*52/12,IF($D273="Quarterly",$C273/3,$C273)))))</f>
        <v/>
      </c>
      <c r="F273" s="9" t="n"/>
      <c r="G273" s="9" t="n"/>
      <c r="H273" s="9" t="n"/>
      <c r="I273" s="9" t="n"/>
      <c r="J273" s="19" t="n"/>
      <c r="K273" s="9" t="n"/>
    </row>
    <row r="274">
      <c r="A274" s="9" t="n"/>
      <c r="B274" s="9" t="n"/>
      <c r="C274" s="10" t="n"/>
      <c r="D274" s="9" t="n"/>
      <c r="E274" s="12">
        <f>IF($A274="",0,IF($D274="Monthly",$C274,IF($D274="Annual",$C274/12,IF($D274="Weekly",$C274*52/12,IF($D274="Quarterly",$C274/3,$C274)))))</f>
        <v/>
      </c>
      <c r="F274" s="9" t="n"/>
      <c r="G274" s="9" t="n"/>
      <c r="H274" s="9" t="n"/>
      <c r="I274" s="9" t="n"/>
      <c r="J274" s="19" t="n"/>
      <c r="K274" s="9" t="n"/>
    </row>
    <row r="275">
      <c r="A275" s="9" t="n"/>
      <c r="B275" s="9" t="n"/>
      <c r="C275" s="10" t="n"/>
      <c r="D275" s="9" t="n"/>
      <c r="E275" s="12">
        <f>IF($A275="",0,IF($D275="Monthly",$C275,IF($D275="Annual",$C275/12,IF($D275="Weekly",$C275*52/12,IF($D275="Quarterly",$C275/3,$C275)))))</f>
        <v/>
      </c>
      <c r="F275" s="9" t="n"/>
      <c r="G275" s="9" t="n"/>
      <c r="H275" s="9" t="n"/>
      <c r="I275" s="9" t="n"/>
      <c r="J275" s="19" t="n"/>
      <c r="K275" s="9" t="n"/>
    </row>
    <row r="276">
      <c r="A276" s="9" t="n"/>
      <c r="B276" s="9" t="n"/>
      <c r="C276" s="10" t="n"/>
      <c r="D276" s="9" t="n"/>
      <c r="E276" s="12">
        <f>IF($A276="",0,IF($D276="Monthly",$C276,IF($D276="Annual",$C276/12,IF($D276="Weekly",$C276*52/12,IF($D276="Quarterly",$C276/3,$C276)))))</f>
        <v/>
      </c>
      <c r="F276" s="9" t="n"/>
      <c r="G276" s="9" t="n"/>
      <c r="H276" s="9" t="n"/>
      <c r="I276" s="9" t="n"/>
      <c r="J276" s="19" t="n"/>
      <c r="K276" s="9" t="n"/>
    </row>
    <row r="277">
      <c r="A277" s="9" t="n"/>
      <c r="B277" s="9" t="n"/>
      <c r="C277" s="10" t="n"/>
      <c r="D277" s="9" t="n"/>
      <c r="E277" s="12">
        <f>IF($A277="",0,IF($D277="Monthly",$C277,IF($D277="Annual",$C277/12,IF($D277="Weekly",$C277*52/12,IF($D277="Quarterly",$C277/3,$C277)))))</f>
        <v/>
      </c>
      <c r="F277" s="9" t="n"/>
      <c r="G277" s="9" t="n"/>
      <c r="H277" s="9" t="n"/>
      <c r="I277" s="9" t="n"/>
      <c r="J277" s="19" t="n"/>
      <c r="K277" s="9" t="n"/>
    </row>
    <row r="278">
      <c r="A278" s="9" t="n"/>
      <c r="B278" s="9" t="n"/>
      <c r="C278" s="10" t="n"/>
      <c r="D278" s="9" t="n"/>
      <c r="E278" s="12">
        <f>IF($A278="",0,IF($D278="Monthly",$C278,IF($D278="Annual",$C278/12,IF($D278="Weekly",$C278*52/12,IF($D278="Quarterly",$C278/3,$C278)))))</f>
        <v/>
      </c>
      <c r="F278" s="9" t="n"/>
      <c r="G278" s="9" t="n"/>
      <c r="H278" s="9" t="n"/>
      <c r="I278" s="9" t="n"/>
      <c r="J278" s="19" t="n"/>
      <c r="K278" s="9" t="n"/>
    </row>
    <row r="279">
      <c r="A279" s="9" t="n"/>
      <c r="B279" s="9" t="n"/>
      <c r="C279" s="10" t="n"/>
      <c r="D279" s="9" t="n"/>
      <c r="E279" s="12">
        <f>IF($A279="",0,IF($D279="Monthly",$C279,IF($D279="Annual",$C279/12,IF($D279="Weekly",$C279*52/12,IF($D279="Quarterly",$C279/3,$C279)))))</f>
        <v/>
      </c>
      <c r="F279" s="9" t="n"/>
      <c r="G279" s="9" t="n"/>
      <c r="H279" s="9" t="n"/>
      <c r="I279" s="9" t="n"/>
      <c r="J279" s="19" t="n"/>
      <c r="K279" s="9" t="n"/>
    </row>
    <row r="280">
      <c r="A280" s="9" t="n"/>
      <c r="B280" s="9" t="n"/>
      <c r="C280" s="10" t="n"/>
      <c r="D280" s="9" t="n"/>
      <c r="E280" s="12">
        <f>IF($A280="",0,IF($D280="Monthly",$C280,IF($D280="Annual",$C280/12,IF($D280="Weekly",$C280*52/12,IF($D280="Quarterly",$C280/3,$C280)))))</f>
        <v/>
      </c>
      <c r="F280" s="9" t="n"/>
      <c r="G280" s="9" t="n"/>
      <c r="H280" s="9" t="n"/>
      <c r="I280" s="9" t="n"/>
      <c r="J280" s="19" t="n"/>
      <c r="K280" s="9" t="n"/>
    </row>
    <row r="281">
      <c r="A281" s="9" t="n"/>
      <c r="B281" s="9" t="n"/>
      <c r="C281" s="10" t="n"/>
      <c r="D281" s="9" t="n"/>
      <c r="E281" s="12">
        <f>IF($A281="",0,IF($D281="Monthly",$C281,IF($D281="Annual",$C281/12,IF($D281="Weekly",$C281*52/12,IF($D281="Quarterly",$C281/3,$C281)))))</f>
        <v/>
      </c>
      <c r="F281" s="9" t="n"/>
      <c r="G281" s="9" t="n"/>
      <c r="H281" s="9" t="n"/>
      <c r="I281" s="9" t="n"/>
      <c r="J281" s="19" t="n"/>
      <c r="K281" s="9" t="n"/>
    </row>
    <row r="282">
      <c r="A282" s="9" t="n"/>
      <c r="B282" s="9" t="n"/>
      <c r="C282" s="10" t="n"/>
      <c r="D282" s="9" t="n"/>
      <c r="E282" s="12">
        <f>IF($A282="",0,IF($D282="Monthly",$C282,IF($D282="Annual",$C282/12,IF($D282="Weekly",$C282*52/12,IF($D282="Quarterly",$C282/3,$C282)))))</f>
        <v/>
      </c>
      <c r="F282" s="9" t="n"/>
      <c r="G282" s="9" t="n"/>
      <c r="H282" s="9" t="n"/>
      <c r="I282" s="9" t="n"/>
      <c r="J282" s="19" t="n"/>
      <c r="K282" s="9" t="n"/>
    </row>
    <row r="283">
      <c r="A283" s="9" t="n"/>
      <c r="B283" s="9" t="n"/>
      <c r="C283" s="10" t="n"/>
      <c r="D283" s="9" t="n"/>
      <c r="E283" s="12">
        <f>IF($A283="",0,IF($D283="Monthly",$C283,IF($D283="Annual",$C283/12,IF($D283="Weekly",$C283*52/12,IF($D283="Quarterly",$C283/3,$C283)))))</f>
        <v/>
      </c>
      <c r="F283" s="9" t="n"/>
      <c r="G283" s="9" t="n"/>
      <c r="H283" s="9" t="n"/>
      <c r="I283" s="9" t="n"/>
      <c r="J283" s="19" t="n"/>
      <c r="K283" s="9" t="n"/>
    </row>
    <row r="284">
      <c r="A284" s="9" t="n"/>
      <c r="B284" s="9" t="n"/>
      <c r="C284" s="10" t="n"/>
      <c r="D284" s="9" t="n"/>
      <c r="E284" s="12">
        <f>IF($A284="",0,IF($D284="Monthly",$C284,IF($D284="Annual",$C284/12,IF($D284="Weekly",$C284*52/12,IF($D284="Quarterly",$C284/3,$C284)))))</f>
        <v/>
      </c>
      <c r="F284" s="9" t="n"/>
      <c r="G284" s="9" t="n"/>
      <c r="H284" s="9" t="n"/>
      <c r="I284" s="9" t="n"/>
      <c r="J284" s="19" t="n"/>
      <c r="K284" s="9" t="n"/>
    </row>
    <row r="285">
      <c r="A285" s="9" t="n"/>
      <c r="B285" s="9" t="n"/>
      <c r="C285" s="10" t="n"/>
      <c r="D285" s="9" t="n"/>
      <c r="E285" s="12">
        <f>IF($A285="",0,IF($D285="Monthly",$C285,IF($D285="Annual",$C285/12,IF($D285="Weekly",$C285*52/12,IF($D285="Quarterly",$C285/3,$C285)))))</f>
        <v/>
      </c>
      <c r="F285" s="9" t="n"/>
      <c r="G285" s="9" t="n"/>
      <c r="H285" s="9" t="n"/>
      <c r="I285" s="9" t="n"/>
      <c r="J285" s="19" t="n"/>
      <c r="K285" s="9" t="n"/>
    </row>
    <row r="286">
      <c r="A286" s="9" t="n"/>
      <c r="B286" s="9" t="n"/>
      <c r="C286" s="10" t="n"/>
      <c r="D286" s="9" t="n"/>
      <c r="E286" s="12">
        <f>IF($A286="",0,IF($D286="Monthly",$C286,IF($D286="Annual",$C286/12,IF($D286="Weekly",$C286*52/12,IF($D286="Quarterly",$C286/3,$C286)))))</f>
        <v/>
      </c>
      <c r="F286" s="9" t="n"/>
      <c r="G286" s="9" t="n"/>
      <c r="H286" s="9" t="n"/>
      <c r="I286" s="9" t="n"/>
      <c r="J286" s="19" t="n"/>
      <c r="K286" s="9" t="n"/>
    </row>
    <row r="287">
      <c r="A287" s="9" t="n"/>
      <c r="B287" s="9" t="n"/>
      <c r="C287" s="10" t="n"/>
      <c r="D287" s="9" t="n"/>
      <c r="E287" s="12">
        <f>IF($A287="",0,IF($D287="Monthly",$C287,IF($D287="Annual",$C287/12,IF($D287="Weekly",$C287*52/12,IF($D287="Quarterly",$C287/3,$C287)))))</f>
        <v/>
      </c>
      <c r="F287" s="9" t="n"/>
      <c r="G287" s="9" t="n"/>
      <c r="H287" s="9" t="n"/>
      <c r="I287" s="9" t="n"/>
      <c r="J287" s="19" t="n"/>
      <c r="K287" s="9" t="n"/>
    </row>
    <row r="288">
      <c r="A288" s="9" t="n"/>
      <c r="B288" s="9" t="n"/>
      <c r="C288" s="10" t="n"/>
      <c r="D288" s="9" t="n"/>
      <c r="E288" s="12">
        <f>IF($A288="",0,IF($D288="Monthly",$C288,IF($D288="Annual",$C288/12,IF($D288="Weekly",$C288*52/12,IF($D288="Quarterly",$C288/3,$C288)))))</f>
        <v/>
      </c>
      <c r="F288" s="9" t="n"/>
      <c r="G288" s="9" t="n"/>
      <c r="H288" s="9" t="n"/>
      <c r="I288" s="9" t="n"/>
      <c r="J288" s="19" t="n"/>
      <c r="K288" s="9" t="n"/>
    </row>
    <row r="289">
      <c r="A289" s="9" t="n"/>
      <c r="B289" s="9" t="n"/>
      <c r="C289" s="10" t="n"/>
      <c r="D289" s="9" t="n"/>
      <c r="E289" s="12">
        <f>IF($A289="",0,IF($D289="Monthly",$C289,IF($D289="Annual",$C289/12,IF($D289="Weekly",$C289*52/12,IF($D289="Quarterly",$C289/3,$C289)))))</f>
        <v/>
      </c>
      <c r="F289" s="9" t="n"/>
      <c r="G289" s="9" t="n"/>
      <c r="H289" s="9" t="n"/>
      <c r="I289" s="9" t="n"/>
      <c r="J289" s="19" t="n"/>
      <c r="K289" s="9" t="n"/>
    </row>
    <row r="290">
      <c r="A290" s="9" t="n"/>
      <c r="B290" s="9" t="n"/>
      <c r="C290" s="10" t="n"/>
      <c r="D290" s="9" t="n"/>
      <c r="E290" s="12">
        <f>IF($A290="",0,IF($D290="Monthly",$C290,IF($D290="Annual",$C290/12,IF($D290="Weekly",$C290*52/12,IF($D290="Quarterly",$C290/3,$C290)))))</f>
        <v/>
      </c>
      <c r="F290" s="9" t="n"/>
      <c r="G290" s="9" t="n"/>
      <c r="H290" s="9" t="n"/>
      <c r="I290" s="9" t="n"/>
      <c r="J290" s="19" t="n"/>
      <c r="K290" s="9" t="n"/>
    </row>
    <row r="291">
      <c r="A291" s="9" t="n"/>
      <c r="B291" s="9" t="n"/>
      <c r="C291" s="10" t="n"/>
      <c r="D291" s="9" t="n"/>
      <c r="E291" s="12">
        <f>IF($A291="",0,IF($D291="Monthly",$C291,IF($D291="Annual",$C291/12,IF($D291="Weekly",$C291*52/12,IF($D291="Quarterly",$C291/3,$C291)))))</f>
        <v/>
      </c>
      <c r="F291" s="9" t="n"/>
      <c r="G291" s="9" t="n"/>
      <c r="H291" s="9" t="n"/>
      <c r="I291" s="9" t="n"/>
      <c r="J291" s="19" t="n"/>
      <c r="K291" s="9" t="n"/>
    </row>
    <row r="292">
      <c r="A292" s="9" t="n"/>
      <c r="B292" s="9" t="n"/>
      <c r="C292" s="10" t="n"/>
      <c r="D292" s="9" t="n"/>
      <c r="E292" s="12">
        <f>IF($A292="",0,IF($D292="Monthly",$C292,IF($D292="Annual",$C292/12,IF($D292="Weekly",$C292*52/12,IF($D292="Quarterly",$C292/3,$C292)))))</f>
        <v/>
      </c>
      <c r="F292" s="9" t="n"/>
      <c r="G292" s="9" t="n"/>
      <c r="H292" s="9" t="n"/>
      <c r="I292" s="9" t="n"/>
      <c r="J292" s="19" t="n"/>
      <c r="K292" s="9" t="n"/>
    </row>
    <row r="293">
      <c r="A293" s="9" t="n"/>
      <c r="B293" s="9" t="n"/>
      <c r="C293" s="10" t="n"/>
      <c r="D293" s="9" t="n"/>
      <c r="E293" s="12">
        <f>IF($A293="",0,IF($D293="Monthly",$C293,IF($D293="Annual",$C293/12,IF($D293="Weekly",$C293*52/12,IF($D293="Quarterly",$C293/3,$C293)))))</f>
        <v/>
      </c>
      <c r="F293" s="9" t="n"/>
      <c r="G293" s="9" t="n"/>
      <c r="H293" s="9" t="n"/>
      <c r="I293" s="9" t="n"/>
      <c r="J293" s="19" t="n"/>
      <c r="K293" s="9" t="n"/>
    </row>
    <row r="294">
      <c r="A294" s="9" t="n"/>
      <c r="B294" s="9" t="n"/>
      <c r="C294" s="10" t="n"/>
      <c r="D294" s="9" t="n"/>
      <c r="E294" s="12">
        <f>IF($A294="",0,IF($D294="Monthly",$C294,IF($D294="Annual",$C294/12,IF($D294="Weekly",$C294*52/12,IF($D294="Quarterly",$C294/3,$C294)))))</f>
        <v/>
      </c>
      <c r="F294" s="9" t="n"/>
      <c r="G294" s="9" t="n"/>
      <c r="H294" s="9" t="n"/>
      <c r="I294" s="9" t="n"/>
      <c r="J294" s="19" t="n"/>
      <c r="K294" s="9" t="n"/>
    </row>
    <row r="295">
      <c r="A295" s="9" t="n"/>
      <c r="B295" s="9" t="n"/>
      <c r="C295" s="10" t="n"/>
      <c r="D295" s="9" t="n"/>
      <c r="E295" s="12">
        <f>IF($A295="",0,IF($D295="Monthly",$C295,IF($D295="Annual",$C295/12,IF($D295="Weekly",$C295*52/12,IF($D295="Quarterly",$C295/3,$C295)))))</f>
        <v/>
      </c>
      <c r="F295" s="9" t="n"/>
      <c r="G295" s="9" t="n"/>
      <c r="H295" s="9" t="n"/>
      <c r="I295" s="9" t="n"/>
      <c r="J295" s="19" t="n"/>
      <c r="K295" s="9" t="n"/>
    </row>
    <row r="296">
      <c r="A296" s="9" t="n"/>
      <c r="B296" s="9" t="n"/>
      <c r="C296" s="10" t="n"/>
      <c r="D296" s="9" t="n"/>
      <c r="E296" s="12">
        <f>IF($A296="",0,IF($D296="Monthly",$C296,IF($D296="Annual",$C296/12,IF($D296="Weekly",$C296*52/12,IF($D296="Quarterly",$C296/3,$C296)))))</f>
        <v/>
      </c>
      <c r="F296" s="9" t="n"/>
      <c r="G296" s="9" t="n"/>
      <c r="H296" s="9" t="n"/>
      <c r="I296" s="9" t="n"/>
      <c r="J296" s="19" t="n"/>
      <c r="K296" s="9" t="n"/>
    </row>
    <row r="297">
      <c r="A297" s="9" t="n"/>
      <c r="B297" s="9" t="n"/>
      <c r="C297" s="10" t="n"/>
      <c r="D297" s="9" t="n"/>
      <c r="E297" s="12">
        <f>IF($A297="",0,IF($D297="Monthly",$C297,IF($D297="Annual",$C297/12,IF($D297="Weekly",$C297*52/12,IF($D297="Quarterly",$C297/3,$C297)))))</f>
        <v/>
      </c>
      <c r="F297" s="9" t="n"/>
      <c r="G297" s="9" t="n"/>
      <c r="H297" s="9" t="n"/>
      <c r="I297" s="9" t="n"/>
      <c r="J297" s="19" t="n"/>
      <c r="K297" s="9" t="n"/>
    </row>
    <row r="298">
      <c r="A298" s="9" t="n"/>
      <c r="B298" s="9" t="n"/>
      <c r="C298" s="10" t="n"/>
      <c r="D298" s="9" t="n"/>
      <c r="E298" s="12">
        <f>IF($A298="",0,IF($D298="Monthly",$C298,IF($D298="Annual",$C298/12,IF($D298="Weekly",$C298*52/12,IF($D298="Quarterly",$C298/3,$C298)))))</f>
        <v/>
      </c>
      <c r="F298" s="9" t="n"/>
      <c r="G298" s="9" t="n"/>
      <c r="H298" s="9" t="n"/>
      <c r="I298" s="9" t="n"/>
      <c r="J298" s="19" t="n"/>
      <c r="K298" s="9" t="n"/>
    </row>
    <row r="299">
      <c r="A299" s="9" t="n"/>
      <c r="B299" s="9" t="n"/>
      <c r="C299" s="10" t="n"/>
      <c r="D299" s="9" t="n"/>
      <c r="E299" s="12">
        <f>IF($A299="",0,IF($D299="Monthly",$C299,IF($D299="Annual",$C299/12,IF($D299="Weekly",$C299*52/12,IF($D299="Quarterly",$C299/3,$C299)))))</f>
        <v/>
      </c>
      <c r="F299" s="9" t="n"/>
      <c r="G299" s="9" t="n"/>
      <c r="H299" s="9" t="n"/>
      <c r="I299" s="9" t="n"/>
      <c r="J299" s="19" t="n"/>
      <c r="K299" s="9" t="n"/>
    </row>
    <row r="300">
      <c r="A300" s="9" t="n"/>
      <c r="B300" s="9" t="n"/>
      <c r="C300" s="10" t="n"/>
      <c r="D300" s="9" t="n"/>
      <c r="E300" s="12">
        <f>IF($A300="",0,IF($D300="Monthly",$C300,IF($D300="Annual",$C300/12,IF($D300="Weekly",$C300*52/12,IF($D300="Quarterly",$C300/3,$C300)))))</f>
        <v/>
      </c>
      <c r="F300" s="9" t="n"/>
      <c r="G300" s="9" t="n"/>
      <c r="H300" s="9" t="n"/>
      <c r="I300" s="9" t="n"/>
      <c r="J300" s="19" t="n"/>
      <c r="K300" s="9" t="n"/>
    </row>
    <row r="301">
      <c r="A301" s="9" t="n"/>
      <c r="B301" s="9" t="n"/>
      <c r="C301" s="10" t="n"/>
      <c r="D301" s="9" t="n"/>
      <c r="E301" s="12">
        <f>IF($A301="",0,IF($D301="Monthly",$C301,IF($D301="Annual",$C301/12,IF($D301="Weekly",$C301*52/12,IF($D301="Quarterly",$C301/3,$C301)))))</f>
        <v/>
      </c>
      <c r="F301" s="9" t="n"/>
      <c r="G301" s="9" t="n"/>
      <c r="H301" s="9" t="n"/>
      <c r="I301" s="9" t="n"/>
      <c r="J301" s="19" t="n"/>
      <c r="K301" s="9" t="n"/>
    </row>
    <row r="302">
      <c r="A302" s="9" t="n"/>
      <c r="B302" s="9" t="n"/>
      <c r="C302" s="10" t="n"/>
      <c r="D302" s="9" t="n"/>
      <c r="E302" s="12">
        <f>IF($A302="",0,IF($D302="Monthly",$C302,IF($D302="Annual",$C302/12,IF($D302="Weekly",$C302*52/12,IF($D302="Quarterly",$C302/3,$C302)))))</f>
        <v/>
      </c>
      <c r="F302" s="9" t="n"/>
      <c r="G302" s="9" t="n"/>
      <c r="H302" s="9" t="n"/>
      <c r="I302" s="9" t="n"/>
      <c r="J302" s="19" t="n"/>
      <c r="K302" s="9" t="n"/>
    </row>
    <row r="303">
      <c r="A303" s="9" t="n"/>
      <c r="B303" s="9" t="n"/>
      <c r="C303" s="10" t="n"/>
      <c r="D303" s="9" t="n"/>
      <c r="E303" s="12">
        <f>IF($A303="",0,IF($D303="Monthly",$C303,IF($D303="Annual",$C303/12,IF($D303="Weekly",$C303*52/12,IF($D303="Quarterly",$C303/3,$C303)))))</f>
        <v/>
      </c>
      <c r="F303" s="9" t="n"/>
      <c r="G303" s="9" t="n"/>
      <c r="H303" s="9" t="n"/>
      <c r="I303" s="9" t="n"/>
      <c r="J303" s="19" t="n"/>
      <c r="K303" s="9" t="n"/>
    </row>
    <row r="305">
      <c r="A305" s="5" t="inlineStr">
        <is>
          <t>Potential Monthly Savings (Cancel Candidates)</t>
        </is>
      </c>
      <c r="E305" s="12">
        <f>SUMPRODUCT(($H$4:$H$303="Yes")*$E$4:$E$303)</f>
        <v/>
      </c>
    </row>
    <row r="306">
      <c r="A306" s="14" t="inlineStr">
        <is>
          <t>This does not guarantee savings -- confirm cancellation terms before acting.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4">
    <dataValidation sqref="D4:D303" showDropDown="0" showInputMessage="0" showErrorMessage="0" allowBlank="1" type="list">
      <formula1>"Monthly,Annual,Weekly,Quarterly"</formula1>
    </dataValidation>
    <dataValidation sqref="F4:F303" showDropDown="0" showInputMessage="0" showErrorMessage="0" allowBlank="1" type="list">
      <formula1>"Yes,No,Unsure"</formula1>
    </dataValidation>
    <dataValidation sqref="G4:G303" showDropDown="0" showInputMessage="0" showErrorMessage="0" allowBlank="1" type="list">
      <formula1>"Yes,No,Review"</formula1>
    </dataValidation>
    <dataValidation sqref="H4:H30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22" customWidth="1" min="4" max="4"/>
    <col width="30" customWidth="1" min="5" max="5"/>
    <col width="16" customWidth="1" min="6" max="6"/>
    <col width="12" customWidth="1" min="7" max="7"/>
    <col width="14" customWidth="1" min="8" max="8"/>
    <col width="16" customWidth="1" min="9" max="9"/>
    <col width="22" customWidth="1" min="10" max="10"/>
    <col width="26" customWidth="1" min="11" max="11"/>
    <col width="20" customWidth="1" min="12" max="12"/>
  </cols>
  <sheetData>
    <row r="1">
      <c r="A1" s="8" t="inlineStr">
        <is>
          <t>DECISIONS &amp; HANDOFF LOG</t>
        </is>
      </c>
    </row>
    <row r="2">
      <c r="A2" s="14" t="inlineStr">
        <is>
          <t>This is family recordkeeping for continuity, not legal evidence.</t>
        </is>
      </c>
    </row>
    <row r="3">
      <c r="A3" s="1" t="inlineStr">
        <is>
          <t>Date</t>
        </is>
      </c>
      <c r="B3" s="1" t="inlineStr">
        <is>
          <t>Decision / Issue</t>
        </is>
      </c>
      <c r="C3" s="1" t="inlineStr">
        <is>
          <t>Category</t>
        </is>
      </c>
      <c r="D3" s="1" t="inlineStr">
        <is>
          <t>People Involved</t>
        </is>
      </c>
      <c r="E3" s="1" t="inlineStr">
        <is>
          <t>Decision Made</t>
        </is>
      </c>
      <c r="F3" s="1" t="inlineStr">
        <is>
          <t>Who Is Responsible</t>
        </is>
      </c>
      <c r="G3" s="1" t="inlineStr">
        <is>
          <t>Follow-up Date</t>
        </is>
      </c>
      <c r="H3" s="1" t="inlineStr">
        <is>
          <t>Status</t>
        </is>
      </c>
      <c r="I3" s="1" t="inlineStr">
        <is>
          <t>Related Expense/Bill</t>
        </is>
      </c>
      <c r="J3" s="1" t="inlineStr">
        <is>
          <t>Supporting Document Link</t>
        </is>
      </c>
      <c r="K3" s="1" t="inlineStr">
        <is>
          <t>Notes</t>
        </is>
      </c>
      <c r="L3" s="1" t="inlineStr">
        <is>
          <t>Warning (auto)</t>
        </is>
      </c>
    </row>
    <row r="4">
      <c r="A4" s="19" t="n">
        <v>46266</v>
      </c>
      <c r="B4" s="9" t="inlineStr">
        <is>
          <t>Who covers the plumber bill</t>
        </is>
      </c>
      <c r="C4" s="9" t="inlineStr">
        <is>
          <t>Reimbursement</t>
        </is>
      </c>
      <c r="D4" s="9" t="inlineStr">
        <is>
          <t>Sarah, Michael, Rachel</t>
        </is>
      </c>
      <c r="E4" s="9" t="inlineStr">
        <is>
          <t>Split 300/150/150 (Parent/Michael/Rachel)</t>
        </is>
      </c>
      <c r="F4" s="9" t="inlineStr">
        <is>
          <t>Michael Brooks</t>
        </is>
      </c>
      <c r="G4" s="19" t="n">
        <v>46281</v>
      </c>
      <c r="H4" s="9" t="inlineStr">
        <is>
          <t>Waiting</t>
        </is>
      </c>
      <c r="I4" s="9" t="inlineStr">
        <is>
          <t>E1</t>
        </is>
      </c>
      <c r="J4" s="9" t="inlineStr"/>
      <c r="K4" s="9" t="n"/>
      <c r="L4">
        <f>IF($A4="","",IF(AND($G4&lt;&gt;"",$G4&lt;TODAY(),$H4&lt;&gt;"Completed"),"⚠ follow-up overdue",""))</f>
        <v/>
      </c>
    </row>
    <row r="5">
      <c r="A5" s="19" t="n">
        <v>46277</v>
      </c>
      <c r="B5" s="9" t="inlineStr">
        <is>
          <t>Extra aide shift questioned</t>
        </is>
      </c>
      <c r="C5" s="9" t="inlineStr">
        <is>
          <t>Care Services</t>
        </is>
      </c>
      <c r="D5" s="9" t="inlineStr">
        <is>
          <t>Sarah, Michael</t>
        </is>
      </c>
      <c r="E5" s="9" t="inlineStr">
        <is>
          <t>Pending review of receipt</t>
        </is>
      </c>
      <c r="F5" s="9" t="inlineStr">
        <is>
          <t>Sarah Chen</t>
        </is>
      </c>
      <c r="G5" s="19" t="n">
        <v>46289</v>
      </c>
      <c r="H5" s="9" t="inlineStr">
        <is>
          <t>Review Needed</t>
        </is>
      </c>
      <c r="I5" s="9" t="inlineStr">
        <is>
          <t>E4</t>
        </is>
      </c>
      <c r="J5" s="9" t="inlineStr"/>
      <c r="K5" s="9" t="n"/>
      <c r="L5">
        <f>IF($A5="","",IF(AND($G5&lt;&gt;"",$G5&lt;TODAY(),$H5&lt;&gt;"Completed"),"⚠ follow-up overdue",""))</f>
        <v/>
      </c>
    </row>
    <row r="6">
      <c r="A6" s="19" t="n">
        <v>46226</v>
      </c>
      <c r="B6" s="9" t="inlineStr">
        <is>
          <t>Cancel unused gym membership</t>
        </is>
      </c>
      <c r="C6" s="9" t="inlineStr">
        <is>
          <t>Subscriptions</t>
        </is>
      </c>
      <c r="D6" s="9" t="inlineStr">
        <is>
          <t>Sarah, Eleanor</t>
        </is>
      </c>
      <c r="E6" s="9" t="inlineStr">
        <is>
          <t>Agreed to cancel</t>
        </is>
      </c>
      <c r="F6" s="9" t="inlineStr">
        <is>
          <t>Sarah Chen</t>
        </is>
      </c>
      <c r="G6" s="19" t="n">
        <v>46246</v>
      </c>
      <c r="H6" s="9" t="inlineStr">
        <is>
          <t>Open</t>
        </is>
      </c>
      <c r="I6" s="9" t="inlineStr"/>
      <c r="J6" s="9" t="inlineStr"/>
      <c r="K6" s="9" t="n"/>
      <c r="L6">
        <f>IF($A6="","",IF(AND($G6&lt;&gt;"",$G6&lt;TODAY(),$H6&lt;&gt;"Completed"),"⚠ follow-up overdue",""))</f>
        <v/>
      </c>
    </row>
    <row r="7">
      <c r="A7" s="19" t="n">
        <v>46191</v>
      </c>
      <c r="B7" s="9" t="inlineStr">
        <is>
          <t>Review StreamFlix usage</t>
        </is>
      </c>
      <c r="C7" s="9" t="inlineStr">
        <is>
          <t>Subscriptions</t>
        </is>
      </c>
      <c r="D7" s="9" t="inlineStr">
        <is>
          <t>Sarah</t>
        </is>
      </c>
      <c r="E7" s="9" t="inlineStr">
        <is>
          <t>Not yet reviewed</t>
        </is>
      </c>
      <c r="F7" s="9" t="inlineStr">
        <is>
          <t>Sarah Chen</t>
        </is>
      </c>
      <c r="G7" s="19" t="n">
        <v>46256</v>
      </c>
      <c r="H7" s="9" t="inlineStr">
        <is>
          <t>Open</t>
        </is>
      </c>
      <c r="I7" s="9" t="inlineStr"/>
      <c r="J7" s="9" t="inlineStr"/>
      <c r="K7" s="9" t="n"/>
      <c r="L7">
        <f>IF($A7="","",IF(AND($G7&lt;&gt;"",$G7&lt;TODAY(),$H7&lt;&gt;"Completed"),"⚠ follow-up overdue",""))</f>
        <v/>
      </c>
    </row>
    <row r="8">
      <c r="A8" s="19" t="n">
        <v>46256</v>
      </c>
      <c r="B8" s="9" t="inlineStr">
        <is>
          <t>Confirm POA document location</t>
        </is>
      </c>
      <c r="C8" s="9" t="inlineStr">
        <is>
          <t>Documents</t>
        </is>
      </c>
      <c r="D8" s="9" t="inlineStr">
        <is>
          <t>Sarah, Family Attorney</t>
        </is>
      </c>
      <c r="E8" s="9" t="inlineStr">
        <is>
          <t>Confirmed at attorney's office + home safe copy</t>
        </is>
      </c>
      <c r="F8" s="9" t="inlineStr">
        <is>
          <t>Sarah Chen</t>
        </is>
      </c>
      <c r="G8" s="9" t="n"/>
      <c r="H8" s="9" t="inlineStr">
        <is>
          <t>Completed</t>
        </is>
      </c>
      <c r="I8" s="9" t="inlineStr"/>
      <c r="J8" s="9" t="inlineStr"/>
      <c r="K8" s="9" t="n"/>
      <c r="L8">
        <f>IF($A8="","",IF(AND($G8&lt;&gt;"",$G8&lt;TODAY(),$H8&lt;&gt;"Completed"),"⚠ follow-up overdue",""))</f>
        <v/>
      </c>
    </row>
    <row r="9">
      <c r="A9" s="19" t="n">
        <v>46284</v>
      </c>
      <c r="B9" s="9" t="inlineStr">
        <is>
          <t>Confirm dental copay reimbursement</t>
        </is>
      </c>
      <c r="C9" s="9" t="inlineStr">
        <is>
          <t>Reimbursement</t>
        </is>
      </c>
      <c r="D9" s="9" t="inlineStr">
        <is>
          <t>Michael, Parent Account</t>
        </is>
      </c>
      <c r="E9" s="9" t="inlineStr">
        <is>
          <t>Reimbursed same day</t>
        </is>
      </c>
      <c r="F9" s="9" t="inlineStr">
        <is>
          <t>Michael Brooks</t>
        </is>
      </c>
      <c r="G9" s="9" t="n"/>
      <c r="H9" s="9" t="inlineStr">
        <is>
          <t>Completed</t>
        </is>
      </c>
      <c r="I9" s="9" t="inlineStr">
        <is>
          <t>E7</t>
        </is>
      </c>
      <c r="J9" s="9" t="inlineStr"/>
      <c r="K9" s="9" t="n"/>
      <c r="L9">
        <f>IF($A9="","",IF(AND($G9&lt;&gt;"",$G9&lt;TODAY(),$H9&lt;&gt;"Completed"),"⚠ follow-up overdue",""))</f>
        <v/>
      </c>
    </row>
    <row r="10">
      <c r="A10" s="19" t="n"/>
      <c r="B10" s="9" t="n"/>
      <c r="C10" s="9" t="n"/>
      <c r="D10" s="9" t="n"/>
      <c r="E10" s="9" t="n"/>
      <c r="F10" s="9" t="n"/>
      <c r="G10" s="19" t="n"/>
      <c r="H10" s="9" t="n"/>
      <c r="I10" s="9" t="n"/>
      <c r="J10" s="9" t="n"/>
      <c r="K10" s="9" t="n"/>
      <c r="L10">
        <f>IF($A10="","",IF(AND($G10&lt;&gt;"",$G10&lt;TODAY(),$H10&lt;&gt;"Completed"),"⚠ follow-up overdue",""))</f>
        <v/>
      </c>
    </row>
    <row r="11">
      <c r="A11" s="19" t="n"/>
      <c r="B11" s="9" t="n"/>
      <c r="C11" s="9" t="n"/>
      <c r="D11" s="9" t="n"/>
      <c r="E11" s="9" t="n"/>
      <c r="F11" s="9" t="n"/>
      <c r="G11" s="19" t="n"/>
      <c r="H11" s="9" t="n"/>
      <c r="I11" s="9" t="n"/>
      <c r="J11" s="9" t="n"/>
      <c r="K11" s="9" t="n"/>
      <c r="L11">
        <f>IF($A11="","",IF(AND($G11&lt;&gt;"",$G11&lt;TODAY(),$H11&lt;&gt;"Completed"),"⚠ follow-up overdue",""))</f>
        <v/>
      </c>
    </row>
    <row r="12">
      <c r="A12" s="19" t="n"/>
      <c r="B12" s="9" t="n"/>
      <c r="C12" s="9" t="n"/>
      <c r="D12" s="9" t="n"/>
      <c r="E12" s="9" t="n"/>
      <c r="F12" s="9" t="n"/>
      <c r="G12" s="19" t="n"/>
      <c r="H12" s="9" t="n"/>
      <c r="I12" s="9" t="n"/>
      <c r="J12" s="9" t="n"/>
      <c r="K12" s="9" t="n"/>
      <c r="L12">
        <f>IF($A12="","",IF(AND($G12&lt;&gt;"",$G12&lt;TODAY(),$H12&lt;&gt;"Completed"),"⚠ follow-up overdue",""))</f>
        <v/>
      </c>
    </row>
    <row r="13">
      <c r="A13" s="19" t="n"/>
      <c r="B13" s="9" t="n"/>
      <c r="C13" s="9" t="n"/>
      <c r="D13" s="9" t="n"/>
      <c r="E13" s="9" t="n"/>
      <c r="F13" s="9" t="n"/>
      <c r="G13" s="19" t="n"/>
      <c r="H13" s="9" t="n"/>
      <c r="I13" s="9" t="n"/>
      <c r="J13" s="9" t="n"/>
      <c r="K13" s="9" t="n"/>
      <c r="L13">
        <f>IF($A13="","",IF(AND($G13&lt;&gt;"",$G13&lt;TODAY(),$H13&lt;&gt;"Completed"),"⚠ follow-up overdue",""))</f>
        <v/>
      </c>
    </row>
    <row r="14">
      <c r="A14" s="19" t="n"/>
      <c r="B14" s="9" t="n"/>
      <c r="C14" s="9" t="n"/>
      <c r="D14" s="9" t="n"/>
      <c r="E14" s="9" t="n"/>
      <c r="F14" s="9" t="n"/>
      <c r="G14" s="19" t="n"/>
      <c r="H14" s="9" t="n"/>
      <c r="I14" s="9" t="n"/>
      <c r="J14" s="9" t="n"/>
      <c r="K14" s="9" t="n"/>
      <c r="L14">
        <f>IF($A14="","",IF(AND($G14&lt;&gt;"",$G14&lt;TODAY(),$H14&lt;&gt;"Completed"),"⚠ follow-up overdue",""))</f>
        <v/>
      </c>
    </row>
    <row r="15">
      <c r="A15" s="19" t="n"/>
      <c r="B15" s="9" t="n"/>
      <c r="C15" s="9" t="n"/>
      <c r="D15" s="9" t="n"/>
      <c r="E15" s="9" t="n"/>
      <c r="F15" s="9" t="n"/>
      <c r="G15" s="19" t="n"/>
      <c r="H15" s="9" t="n"/>
      <c r="I15" s="9" t="n"/>
      <c r="J15" s="9" t="n"/>
      <c r="K15" s="9" t="n"/>
      <c r="L15">
        <f>IF($A15="","",IF(AND($G15&lt;&gt;"",$G15&lt;TODAY(),$H15&lt;&gt;"Completed"),"⚠ follow-up overdue",""))</f>
        <v/>
      </c>
    </row>
    <row r="16">
      <c r="A16" s="19" t="n"/>
      <c r="B16" s="9" t="n"/>
      <c r="C16" s="9" t="n"/>
      <c r="D16" s="9" t="n"/>
      <c r="E16" s="9" t="n"/>
      <c r="F16" s="9" t="n"/>
      <c r="G16" s="19" t="n"/>
      <c r="H16" s="9" t="n"/>
      <c r="I16" s="9" t="n"/>
      <c r="J16" s="9" t="n"/>
      <c r="K16" s="9" t="n"/>
      <c r="L16">
        <f>IF($A16="","",IF(AND($G16&lt;&gt;"",$G16&lt;TODAY(),$H16&lt;&gt;"Completed"),"⚠ follow-up overdue",""))</f>
        <v/>
      </c>
    </row>
    <row r="17">
      <c r="A17" s="19" t="n"/>
      <c r="B17" s="9" t="n"/>
      <c r="C17" s="9" t="n"/>
      <c r="D17" s="9" t="n"/>
      <c r="E17" s="9" t="n"/>
      <c r="F17" s="9" t="n"/>
      <c r="G17" s="19" t="n"/>
      <c r="H17" s="9" t="n"/>
      <c r="I17" s="9" t="n"/>
      <c r="J17" s="9" t="n"/>
      <c r="K17" s="9" t="n"/>
      <c r="L17">
        <f>IF($A17="","",IF(AND($G17&lt;&gt;"",$G17&lt;TODAY(),$H17&lt;&gt;"Completed"),"⚠ follow-up overdue",""))</f>
        <v/>
      </c>
    </row>
    <row r="18">
      <c r="A18" s="19" t="n"/>
      <c r="B18" s="9" t="n"/>
      <c r="C18" s="9" t="n"/>
      <c r="D18" s="9" t="n"/>
      <c r="E18" s="9" t="n"/>
      <c r="F18" s="9" t="n"/>
      <c r="G18" s="19" t="n"/>
      <c r="H18" s="9" t="n"/>
      <c r="I18" s="9" t="n"/>
      <c r="J18" s="9" t="n"/>
      <c r="K18" s="9" t="n"/>
      <c r="L18">
        <f>IF($A18="","",IF(AND($G18&lt;&gt;"",$G18&lt;TODAY(),$H18&lt;&gt;"Completed"),"⚠ follow-up overdue",""))</f>
        <v/>
      </c>
    </row>
    <row r="19">
      <c r="A19" s="19" t="n"/>
      <c r="B19" s="9" t="n"/>
      <c r="C19" s="9" t="n"/>
      <c r="D19" s="9" t="n"/>
      <c r="E19" s="9" t="n"/>
      <c r="F19" s="9" t="n"/>
      <c r="G19" s="19" t="n"/>
      <c r="H19" s="9" t="n"/>
      <c r="I19" s="9" t="n"/>
      <c r="J19" s="9" t="n"/>
      <c r="K19" s="9" t="n"/>
      <c r="L19">
        <f>IF($A19="","",IF(AND($G19&lt;&gt;"",$G19&lt;TODAY(),$H19&lt;&gt;"Completed"),"⚠ follow-up overdue",""))</f>
        <v/>
      </c>
    </row>
    <row r="20">
      <c r="A20" s="19" t="n"/>
      <c r="B20" s="9" t="n"/>
      <c r="C20" s="9" t="n"/>
      <c r="D20" s="9" t="n"/>
      <c r="E20" s="9" t="n"/>
      <c r="F20" s="9" t="n"/>
      <c r="G20" s="19" t="n"/>
      <c r="H20" s="9" t="n"/>
      <c r="I20" s="9" t="n"/>
      <c r="J20" s="9" t="n"/>
      <c r="K20" s="9" t="n"/>
      <c r="L20">
        <f>IF($A20="","",IF(AND($G20&lt;&gt;"",$G20&lt;TODAY(),$H20&lt;&gt;"Completed"),"⚠ follow-up overdue",""))</f>
        <v/>
      </c>
    </row>
    <row r="21">
      <c r="A21" s="19" t="n"/>
      <c r="B21" s="9" t="n"/>
      <c r="C21" s="9" t="n"/>
      <c r="D21" s="9" t="n"/>
      <c r="E21" s="9" t="n"/>
      <c r="F21" s="9" t="n"/>
      <c r="G21" s="19" t="n"/>
      <c r="H21" s="9" t="n"/>
      <c r="I21" s="9" t="n"/>
      <c r="J21" s="9" t="n"/>
      <c r="K21" s="9" t="n"/>
      <c r="L21">
        <f>IF($A21="","",IF(AND($G21&lt;&gt;"",$G21&lt;TODAY(),$H21&lt;&gt;"Completed"),"⚠ follow-up overdue",""))</f>
        <v/>
      </c>
    </row>
    <row r="22">
      <c r="A22" s="19" t="n"/>
      <c r="B22" s="9" t="n"/>
      <c r="C22" s="9" t="n"/>
      <c r="D22" s="9" t="n"/>
      <c r="E22" s="9" t="n"/>
      <c r="F22" s="9" t="n"/>
      <c r="G22" s="19" t="n"/>
      <c r="H22" s="9" t="n"/>
      <c r="I22" s="9" t="n"/>
      <c r="J22" s="9" t="n"/>
      <c r="K22" s="9" t="n"/>
      <c r="L22">
        <f>IF($A22="","",IF(AND($G22&lt;&gt;"",$G22&lt;TODAY(),$H22&lt;&gt;"Completed"),"⚠ follow-up overdue",""))</f>
        <v/>
      </c>
    </row>
    <row r="23">
      <c r="A23" s="19" t="n"/>
      <c r="B23" s="9" t="n"/>
      <c r="C23" s="9" t="n"/>
      <c r="D23" s="9" t="n"/>
      <c r="E23" s="9" t="n"/>
      <c r="F23" s="9" t="n"/>
      <c r="G23" s="19" t="n"/>
      <c r="H23" s="9" t="n"/>
      <c r="I23" s="9" t="n"/>
      <c r="J23" s="9" t="n"/>
      <c r="K23" s="9" t="n"/>
      <c r="L23">
        <f>IF($A23="","",IF(AND($G23&lt;&gt;"",$G23&lt;TODAY(),$H23&lt;&gt;"Completed"),"⚠ follow-up overdue",""))</f>
        <v/>
      </c>
    </row>
    <row r="24">
      <c r="A24" s="19" t="n"/>
      <c r="B24" s="9" t="n"/>
      <c r="C24" s="9" t="n"/>
      <c r="D24" s="9" t="n"/>
      <c r="E24" s="9" t="n"/>
      <c r="F24" s="9" t="n"/>
      <c r="G24" s="19" t="n"/>
      <c r="H24" s="9" t="n"/>
      <c r="I24" s="9" t="n"/>
      <c r="J24" s="9" t="n"/>
      <c r="K24" s="9" t="n"/>
      <c r="L24">
        <f>IF($A24="","",IF(AND($G24&lt;&gt;"",$G24&lt;TODAY(),$H24&lt;&gt;"Completed"),"⚠ follow-up overdue",""))</f>
        <v/>
      </c>
    </row>
    <row r="25">
      <c r="A25" s="19" t="n"/>
      <c r="B25" s="9" t="n"/>
      <c r="C25" s="9" t="n"/>
      <c r="D25" s="9" t="n"/>
      <c r="E25" s="9" t="n"/>
      <c r="F25" s="9" t="n"/>
      <c r="G25" s="19" t="n"/>
      <c r="H25" s="9" t="n"/>
      <c r="I25" s="9" t="n"/>
      <c r="J25" s="9" t="n"/>
      <c r="K25" s="9" t="n"/>
      <c r="L25">
        <f>IF($A25="","",IF(AND($G25&lt;&gt;"",$G25&lt;TODAY(),$H25&lt;&gt;"Completed"),"⚠ follow-up overdue",""))</f>
        <v/>
      </c>
    </row>
    <row r="26">
      <c r="A26" s="19" t="n"/>
      <c r="B26" s="9" t="n"/>
      <c r="C26" s="9" t="n"/>
      <c r="D26" s="9" t="n"/>
      <c r="E26" s="9" t="n"/>
      <c r="F26" s="9" t="n"/>
      <c r="G26" s="19" t="n"/>
      <c r="H26" s="9" t="n"/>
      <c r="I26" s="9" t="n"/>
      <c r="J26" s="9" t="n"/>
      <c r="K26" s="9" t="n"/>
      <c r="L26">
        <f>IF($A26="","",IF(AND($G26&lt;&gt;"",$G26&lt;TODAY(),$H26&lt;&gt;"Completed"),"⚠ follow-up overdue",""))</f>
        <v/>
      </c>
    </row>
    <row r="27">
      <c r="A27" s="19" t="n"/>
      <c r="B27" s="9" t="n"/>
      <c r="C27" s="9" t="n"/>
      <c r="D27" s="9" t="n"/>
      <c r="E27" s="9" t="n"/>
      <c r="F27" s="9" t="n"/>
      <c r="G27" s="19" t="n"/>
      <c r="H27" s="9" t="n"/>
      <c r="I27" s="9" t="n"/>
      <c r="J27" s="9" t="n"/>
      <c r="K27" s="9" t="n"/>
      <c r="L27">
        <f>IF($A27="","",IF(AND($G27&lt;&gt;"",$G27&lt;TODAY(),$H27&lt;&gt;"Completed"),"⚠ follow-up overdue",""))</f>
        <v/>
      </c>
    </row>
    <row r="28">
      <c r="A28" s="19" t="n"/>
      <c r="B28" s="9" t="n"/>
      <c r="C28" s="9" t="n"/>
      <c r="D28" s="9" t="n"/>
      <c r="E28" s="9" t="n"/>
      <c r="F28" s="9" t="n"/>
      <c r="G28" s="19" t="n"/>
      <c r="H28" s="9" t="n"/>
      <c r="I28" s="9" t="n"/>
      <c r="J28" s="9" t="n"/>
      <c r="K28" s="9" t="n"/>
      <c r="L28">
        <f>IF($A28="","",IF(AND($G28&lt;&gt;"",$G28&lt;TODAY(),$H28&lt;&gt;"Completed"),"⚠ follow-up overdue",""))</f>
        <v/>
      </c>
    </row>
    <row r="29">
      <c r="A29" s="19" t="n"/>
      <c r="B29" s="9" t="n"/>
      <c r="C29" s="9" t="n"/>
      <c r="D29" s="9" t="n"/>
      <c r="E29" s="9" t="n"/>
      <c r="F29" s="9" t="n"/>
      <c r="G29" s="19" t="n"/>
      <c r="H29" s="9" t="n"/>
      <c r="I29" s="9" t="n"/>
      <c r="J29" s="9" t="n"/>
      <c r="K29" s="9" t="n"/>
      <c r="L29">
        <f>IF($A29="","",IF(AND($G29&lt;&gt;"",$G29&lt;TODAY(),$H29&lt;&gt;"Completed"),"⚠ follow-up overdue",""))</f>
        <v/>
      </c>
    </row>
    <row r="30">
      <c r="A30" s="19" t="n"/>
      <c r="B30" s="9" t="n"/>
      <c r="C30" s="9" t="n"/>
      <c r="D30" s="9" t="n"/>
      <c r="E30" s="9" t="n"/>
      <c r="F30" s="9" t="n"/>
      <c r="G30" s="19" t="n"/>
      <c r="H30" s="9" t="n"/>
      <c r="I30" s="9" t="n"/>
      <c r="J30" s="9" t="n"/>
      <c r="K30" s="9" t="n"/>
      <c r="L30">
        <f>IF($A30="","",IF(AND($G30&lt;&gt;"",$G30&lt;TODAY(),$H30&lt;&gt;"Completed"),"⚠ follow-up overdue",""))</f>
        <v/>
      </c>
    </row>
    <row r="31">
      <c r="A31" s="19" t="n"/>
      <c r="B31" s="9" t="n"/>
      <c r="C31" s="9" t="n"/>
      <c r="D31" s="9" t="n"/>
      <c r="E31" s="9" t="n"/>
      <c r="F31" s="9" t="n"/>
      <c r="G31" s="19" t="n"/>
      <c r="H31" s="9" t="n"/>
      <c r="I31" s="9" t="n"/>
      <c r="J31" s="9" t="n"/>
      <c r="K31" s="9" t="n"/>
      <c r="L31">
        <f>IF($A31="","",IF(AND($G31&lt;&gt;"",$G31&lt;TODAY(),$H31&lt;&gt;"Completed"),"⚠ follow-up overdue",""))</f>
        <v/>
      </c>
    </row>
    <row r="32">
      <c r="A32" s="19" t="n"/>
      <c r="B32" s="9" t="n"/>
      <c r="C32" s="9" t="n"/>
      <c r="D32" s="9" t="n"/>
      <c r="E32" s="9" t="n"/>
      <c r="F32" s="9" t="n"/>
      <c r="G32" s="19" t="n"/>
      <c r="H32" s="9" t="n"/>
      <c r="I32" s="9" t="n"/>
      <c r="J32" s="9" t="n"/>
      <c r="K32" s="9" t="n"/>
      <c r="L32">
        <f>IF($A32="","",IF(AND($G32&lt;&gt;"",$G32&lt;TODAY(),$H32&lt;&gt;"Completed"),"⚠ follow-up overdue",""))</f>
        <v/>
      </c>
    </row>
    <row r="33">
      <c r="A33" s="19" t="n"/>
      <c r="B33" s="9" t="n"/>
      <c r="C33" s="9" t="n"/>
      <c r="D33" s="9" t="n"/>
      <c r="E33" s="9" t="n"/>
      <c r="F33" s="9" t="n"/>
      <c r="G33" s="19" t="n"/>
      <c r="H33" s="9" t="n"/>
      <c r="I33" s="9" t="n"/>
      <c r="J33" s="9" t="n"/>
      <c r="K33" s="9" t="n"/>
      <c r="L33">
        <f>IF($A33="","",IF(AND($G33&lt;&gt;"",$G33&lt;TODAY(),$H33&lt;&gt;"Completed"),"⚠ follow-up overdue",""))</f>
        <v/>
      </c>
    </row>
    <row r="34">
      <c r="A34" s="19" t="n"/>
      <c r="B34" s="9" t="n"/>
      <c r="C34" s="9" t="n"/>
      <c r="D34" s="9" t="n"/>
      <c r="E34" s="9" t="n"/>
      <c r="F34" s="9" t="n"/>
      <c r="G34" s="19" t="n"/>
      <c r="H34" s="9" t="n"/>
      <c r="I34" s="9" t="n"/>
      <c r="J34" s="9" t="n"/>
      <c r="K34" s="9" t="n"/>
      <c r="L34">
        <f>IF($A34="","",IF(AND($G34&lt;&gt;"",$G34&lt;TODAY(),$H34&lt;&gt;"Completed"),"⚠ follow-up overdue",""))</f>
        <v/>
      </c>
    </row>
    <row r="35">
      <c r="A35" s="19" t="n"/>
      <c r="B35" s="9" t="n"/>
      <c r="C35" s="9" t="n"/>
      <c r="D35" s="9" t="n"/>
      <c r="E35" s="9" t="n"/>
      <c r="F35" s="9" t="n"/>
      <c r="G35" s="19" t="n"/>
      <c r="H35" s="9" t="n"/>
      <c r="I35" s="9" t="n"/>
      <c r="J35" s="9" t="n"/>
      <c r="K35" s="9" t="n"/>
      <c r="L35">
        <f>IF($A35="","",IF(AND($G35&lt;&gt;"",$G35&lt;TODAY(),$H35&lt;&gt;"Completed"),"⚠ follow-up overdue",""))</f>
        <v/>
      </c>
    </row>
    <row r="36">
      <c r="A36" s="19" t="n"/>
      <c r="B36" s="9" t="n"/>
      <c r="C36" s="9" t="n"/>
      <c r="D36" s="9" t="n"/>
      <c r="E36" s="9" t="n"/>
      <c r="F36" s="9" t="n"/>
      <c r="G36" s="19" t="n"/>
      <c r="H36" s="9" t="n"/>
      <c r="I36" s="9" t="n"/>
      <c r="J36" s="9" t="n"/>
      <c r="K36" s="9" t="n"/>
      <c r="L36">
        <f>IF($A36="","",IF(AND($G36&lt;&gt;"",$G36&lt;TODAY(),$H36&lt;&gt;"Completed"),"⚠ follow-up overdue",""))</f>
        <v/>
      </c>
    </row>
    <row r="37">
      <c r="A37" s="19" t="n"/>
      <c r="B37" s="9" t="n"/>
      <c r="C37" s="9" t="n"/>
      <c r="D37" s="9" t="n"/>
      <c r="E37" s="9" t="n"/>
      <c r="F37" s="9" t="n"/>
      <c r="G37" s="19" t="n"/>
      <c r="H37" s="9" t="n"/>
      <c r="I37" s="9" t="n"/>
      <c r="J37" s="9" t="n"/>
      <c r="K37" s="9" t="n"/>
      <c r="L37">
        <f>IF($A37="","",IF(AND($G37&lt;&gt;"",$G37&lt;TODAY(),$H37&lt;&gt;"Completed"),"⚠ follow-up overdue",""))</f>
        <v/>
      </c>
    </row>
    <row r="38">
      <c r="A38" s="19" t="n"/>
      <c r="B38" s="9" t="n"/>
      <c r="C38" s="9" t="n"/>
      <c r="D38" s="9" t="n"/>
      <c r="E38" s="9" t="n"/>
      <c r="F38" s="9" t="n"/>
      <c r="G38" s="19" t="n"/>
      <c r="H38" s="9" t="n"/>
      <c r="I38" s="9" t="n"/>
      <c r="J38" s="9" t="n"/>
      <c r="K38" s="9" t="n"/>
      <c r="L38">
        <f>IF($A38="","",IF(AND($G38&lt;&gt;"",$G38&lt;TODAY(),$H38&lt;&gt;"Completed"),"⚠ follow-up overdue",""))</f>
        <v/>
      </c>
    </row>
    <row r="39">
      <c r="A39" s="19" t="n"/>
      <c r="B39" s="9" t="n"/>
      <c r="C39" s="9" t="n"/>
      <c r="D39" s="9" t="n"/>
      <c r="E39" s="9" t="n"/>
      <c r="F39" s="9" t="n"/>
      <c r="G39" s="19" t="n"/>
      <c r="H39" s="9" t="n"/>
      <c r="I39" s="9" t="n"/>
      <c r="J39" s="9" t="n"/>
      <c r="K39" s="9" t="n"/>
      <c r="L39">
        <f>IF($A39="","",IF(AND($G39&lt;&gt;"",$G39&lt;TODAY(),$H39&lt;&gt;"Completed"),"⚠ follow-up overdue",""))</f>
        <v/>
      </c>
    </row>
    <row r="40">
      <c r="A40" s="19" t="n"/>
      <c r="B40" s="9" t="n"/>
      <c r="C40" s="9" t="n"/>
      <c r="D40" s="9" t="n"/>
      <c r="E40" s="9" t="n"/>
      <c r="F40" s="9" t="n"/>
      <c r="G40" s="19" t="n"/>
      <c r="H40" s="9" t="n"/>
      <c r="I40" s="9" t="n"/>
      <c r="J40" s="9" t="n"/>
      <c r="K40" s="9" t="n"/>
      <c r="L40">
        <f>IF($A40="","",IF(AND($G40&lt;&gt;"",$G40&lt;TODAY(),$H40&lt;&gt;"Completed"),"⚠ follow-up overdue",""))</f>
        <v/>
      </c>
    </row>
    <row r="41">
      <c r="A41" s="19" t="n"/>
      <c r="B41" s="9" t="n"/>
      <c r="C41" s="9" t="n"/>
      <c r="D41" s="9" t="n"/>
      <c r="E41" s="9" t="n"/>
      <c r="F41" s="9" t="n"/>
      <c r="G41" s="19" t="n"/>
      <c r="H41" s="9" t="n"/>
      <c r="I41" s="9" t="n"/>
      <c r="J41" s="9" t="n"/>
      <c r="K41" s="9" t="n"/>
      <c r="L41">
        <f>IF($A41="","",IF(AND($G41&lt;&gt;"",$G41&lt;TODAY(),$H41&lt;&gt;"Completed"),"⚠ follow-up overdue",""))</f>
        <v/>
      </c>
    </row>
    <row r="42">
      <c r="A42" s="19" t="n"/>
      <c r="B42" s="9" t="n"/>
      <c r="C42" s="9" t="n"/>
      <c r="D42" s="9" t="n"/>
      <c r="E42" s="9" t="n"/>
      <c r="F42" s="9" t="n"/>
      <c r="G42" s="19" t="n"/>
      <c r="H42" s="9" t="n"/>
      <c r="I42" s="9" t="n"/>
      <c r="J42" s="9" t="n"/>
      <c r="K42" s="9" t="n"/>
      <c r="L42">
        <f>IF($A42="","",IF(AND($G42&lt;&gt;"",$G42&lt;TODAY(),$H42&lt;&gt;"Completed"),"⚠ follow-up overdue",""))</f>
        <v/>
      </c>
    </row>
    <row r="43">
      <c r="A43" s="19" t="n"/>
      <c r="B43" s="9" t="n"/>
      <c r="C43" s="9" t="n"/>
      <c r="D43" s="9" t="n"/>
      <c r="E43" s="9" t="n"/>
      <c r="F43" s="9" t="n"/>
      <c r="G43" s="19" t="n"/>
      <c r="H43" s="9" t="n"/>
      <c r="I43" s="9" t="n"/>
      <c r="J43" s="9" t="n"/>
      <c r="K43" s="9" t="n"/>
      <c r="L43">
        <f>IF($A43="","",IF(AND($G43&lt;&gt;"",$G43&lt;TODAY(),$H43&lt;&gt;"Completed"),"⚠ follow-up overdue",""))</f>
        <v/>
      </c>
    </row>
    <row r="44">
      <c r="A44" s="19" t="n"/>
      <c r="B44" s="9" t="n"/>
      <c r="C44" s="9" t="n"/>
      <c r="D44" s="9" t="n"/>
      <c r="E44" s="9" t="n"/>
      <c r="F44" s="9" t="n"/>
      <c r="G44" s="19" t="n"/>
      <c r="H44" s="9" t="n"/>
      <c r="I44" s="9" t="n"/>
      <c r="J44" s="9" t="n"/>
      <c r="K44" s="9" t="n"/>
      <c r="L44">
        <f>IF($A44="","",IF(AND($G44&lt;&gt;"",$G44&lt;TODAY(),$H44&lt;&gt;"Completed"),"⚠ follow-up overdue",""))</f>
        <v/>
      </c>
    </row>
    <row r="45">
      <c r="A45" s="19" t="n"/>
      <c r="B45" s="9" t="n"/>
      <c r="C45" s="9" t="n"/>
      <c r="D45" s="9" t="n"/>
      <c r="E45" s="9" t="n"/>
      <c r="F45" s="9" t="n"/>
      <c r="G45" s="19" t="n"/>
      <c r="H45" s="9" t="n"/>
      <c r="I45" s="9" t="n"/>
      <c r="J45" s="9" t="n"/>
      <c r="K45" s="9" t="n"/>
      <c r="L45">
        <f>IF($A45="","",IF(AND($G45&lt;&gt;"",$G45&lt;TODAY(),$H45&lt;&gt;"Completed"),"⚠ follow-up overdue",""))</f>
        <v/>
      </c>
    </row>
    <row r="46">
      <c r="A46" s="19" t="n"/>
      <c r="B46" s="9" t="n"/>
      <c r="C46" s="9" t="n"/>
      <c r="D46" s="9" t="n"/>
      <c r="E46" s="9" t="n"/>
      <c r="F46" s="9" t="n"/>
      <c r="G46" s="19" t="n"/>
      <c r="H46" s="9" t="n"/>
      <c r="I46" s="9" t="n"/>
      <c r="J46" s="9" t="n"/>
      <c r="K46" s="9" t="n"/>
      <c r="L46">
        <f>IF($A46="","",IF(AND($G46&lt;&gt;"",$G46&lt;TODAY(),$H46&lt;&gt;"Completed"),"⚠ follow-up overdue",""))</f>
        <v/>
      </c>
    </row>
    <row r="47">
      <c r="A47" s="19" t="n"/>
      <c r="B47" s="9" t="n"/>
      <c r="C47" s="9" t="n"/>
      <c r="D47" s="9" t="n"/>
      <c r="E47" s="9" t="n"/>
      <c r="F47" s="9" t="n"/>
      <c r="G47" s="19" t="n"/>
      <c r="H47" s="9" t="n"/>
      <c r="I47" s="9" t="n"/>
      <c r="J47" s="9" t="n"/>
      <c r="K47" s="9" t="n"/>
      <c r="L47">
        <f>IF($A47="","",IF(AND($G47&lt;&gt;"",$G47&lt;TODAY(),$H47&lt;&gt;"Completed"),"⚠ follow-up overdue",""))</f>
        <v/>
      </c>
    </row>
    <row r="48">
      <c r="A48" s="19" t="n"/>
      <c r="B48" s="9" t="n"/>
      <c r="C48" s="9" t="n"/>
      <c r="D48" s="9" t="n"/>
      <c r="E48" s="9" t="n"/>
      <c r="F48" s="9" t="n"/>
      <c r="G48" s="19" t="n"/>
      <c r="H48" s="9" t="n"/>
      <c r="I48" s="9" t="n"/>
      <c r="J48" s="9" t="n"/>
      <c r="K48" s="9" t="n"/>
      <c r="L48">
        <f>IF($A48="","",IF(AND($G48&lt;&gt;"",$G48&lt;TODAY(),$H48&lt;&gt;"Completed"),"⚠ follow-up overdue",""))</f>
        <v/>
      </c>
    </row>
    <row r="49">
      <c r="A49" s="19" t="n"/>
      <c r="B49" s="9" t="n"/>
      <c r="C49" s="9" t="n"/>
      <c r="D49" s="9" t="n"/>
      <c r="E49" s="9" t="n"/>
      <c r="F49" s="9" t="n"/>
      <c r="G49" s="19" t="n"/>
      <c r="H49" s="9" t="n"/>
      <c r="I49" s="9" t="n"/>
      <c r="J49" s="9" t="n"/>
      <c r="K49" s="9" t="n"/>
      <c r="L49">
        <f>IF($A49="","",IF(AND($G49&lt;&gt;"",$G49&lt;TODAY(),$H49&lt;&gt;"Completed"),"⚠ follow-up overdue",""))</f>
        <v/>
      </c>
    </row>
    <row r="50">
      <c r="A50" s="19" t="n"/>
      <c r="B50" s="9" t="n"/>
      <c r="C50" s="9" t="n"/>
      <c r="D50" s="9" t="n"/>
      <c r="E50" s="9" t="n"/>
      <c r="F50" s="9" t="n"/>
      <c r="G50" s="19" t="n"/>
      <c r="H50" s="9" t="n"/>
      <c r="I50" s="9" t="n"/>
      <c r="J50" s="9" t="n"/>
      <c r="K50" s="9" t="n"/>
      <c r="L50">
        <f>IF($A50="","",IF(AND($G50&lt;&gt;"",$G50&lt;TODAY(),$H50&lt;&gt;"Completed"),"⚠ follow-up overdue",""))</f>
        <v/>
      </c>
    </row>
    <row r="51">
      <c r="A51" s="19" t="n"/>
      <c r="B51" s="9" t="n"/>
      <c r="C51" s="9" t="n"/>
      <c r="D51" s="9" t="n"/>
      <c r="E51" s="9" t="n"/>
      <c r="F51" s="9" t="n"/>
      <c r="G51" s="19" t="n"/>
      <c r="H51" s="9" t="n"/>
      <c r="I51" s="9" t="n"/>
      <c r="J51" s="9" t="n"/>
      <c r="K51" s="9" t="n"/>
      <c r="L51">
        <f>IF($A51="","",IF(AND($G51&lt;&gt;"",$G51&lt;TODAY(),$H51&lt;&gt;"Completed"),"⚠ follow-up overdue",""))</f>
        <v/>
      </c>
    </row>
    <row r="52">
      <c r="A52" s="19" t="n"/>
      <c r="B52" s="9" t="n"/>
      <c r="C52" s="9" t="n"/>
      <c r="D52" s="9" t="n"/>
      <c r="E52" s="9" t="n"/>
      <c r="F52" s="9" t="n"/>
      <c r="G52" s="19" t="n"/>
      <c r="H52" s="9" t="n"/>
      <c r="I52" s="9" t="n"/>
      <c r="J52" s="9" t="n"/>
      <c r="K52" s="9" t="n"/>
      <c r="L52">
        <f>IF($A52="","",IF(AND($G52&lt;&gt;"",$G52&lt;TODAY(),$H52&lt;&gt;"Completed"),"⚠ follow-up overdue",""))</f>
        <v/>
      </c>
    </row>
    <row r="53">
      <c r="A53" s="19" t="n"/>
      <c r="B53" s="9" t="n"/>
      <c r="C53" s="9" t="n"/>
      <c r="D53" s="9" t="n"/>
      <c r="E53" s="9" t="n"/>
      <c r="F53" s="9" t="n"/>
      <c r="G53" s="19" t="n"/>
      <c r="H53" s="9" t="n"/>
      <c r="I53" s="9" t="n"/>
      <c r="J53" s="9" t="n"/>
      <c r="K53" s="9" t="n"/>
      <c r="L53">
        <f>IF($A53="","",IF(AND($G53&lt;&gt;"",$G53&lt;TODAY(),$H53&lt;&gt;"Completed"),"⚠ follow-up overdue",""))</f>
        <v/>
      </c>
    </row>
    <row r="54">
      <c r="A54" s="19" t="n"/>
      <c r="B54" s="9" t="n"/>
      <c r="C54" s="9" t="n"/>
      <c r="D54" s="9" t="n"/>
      <c r="E54" s="9" t="n"/>
      <c r="F54" s="9" t="n"/>
      <c r="G54" s="19" t="n"/>
      <c r="H54" s="9" t="n"/>
      <c r="I54" s="9" t="n"/>
      <c r="J54" s="9" t="n"/>
      <c r="K54" s="9" t="n"/>
      <c r="L54">
        <f>IF($A54="","",IF(AND($G54&lt;&gt;"",$G54&lt;TODAY(),$H54&lt;&gt;"Completed"),"⚠ follow-up overdue",""))</f>
        <v/>
      </c>
    </row>
    <row r="55">
      <c r="A55" s="19" t="n"/>
      <c r="B55" s="9" t="n"/>
      <c r="C55" s="9" t="n"/>
      <c r="D55" s="9" t="n"/>
      <c r="E55" s="9" t="n"/>
      <c r="F55" s="9" t="n"/>
      <c r="G55" s="19" t="n"/>
      <c r="H55" s="9" t="n"/>
      <c r="I55" s="9" t="n"/>
      <c r="J55" s="9" t="n"/>
      <c r="K55" s="9" t="n"/>
      <c r="L55">
        <f>IF($A55="","",IF(AND($G55&lt;&gt;"",$G55&lt;TODAY(),$H55&lt;&gt;"Completed"),"⚠ follow-up overdue",""))</f>
        <v/>
      </c>
    </row>
    <row r="56">
      <c r="A56" s="19" t="n"/>
      <c r="B56" s="9" t="n"/>
      <c r="C56" s="9" t="n"/>
      <c r="D56" s="9" t="n"/>
      <c r="E56" s="9" t="n"/>
      <c r="F56" s="9" t="n"/>
      <c r="G56" s="19" t="n"/>
      <c r="H56" s="9" t="n"/>
      <c r="I56" s="9" t="n"/>
      <c r="J56" s="9" t="n"/>
      <c r="K56" s="9" t="n"/>
      <c r="L56">
        <f>IF($A56="","",IF(AND($G56&lt;&gt;"",$G56&lt;TODAY(),$H56&lt;&gt;"Completed"),"⚠ follow-up overdue",""))</f>
        <v/>
      </c>
    </row>
    <row r="57">
      <c r="A57" s="19" t="n"/>
      <c r="B57" s="9" t="n"/>
      <c r="C57" s="9" t="n"/>
      <c r="D57" s="9" t="n"/>
      <c r="E57" s="9" t="n"/>
      <c r="F57" s="9" t="n"/>
      <c r="G57" s="19" t="n"/>
      <c r="H57" s="9" t="n"/>
      <c r="I57" s="9" t="n"/>
      <c r="J57" s="9" t="n"/>
      <c r="K57" s="9" t="n"/>
      <c r="L57">
        <f>IF($A57="","",IF(AND($G57&lt;&gt;"",$G57&lt;TODAY(),$H57&lt;&gt;"Completed"),"⚠ follow-up overdue",""))</f>
        <v/>
      </c>
    </row>
    <row r="58">
      <c r="A58" s="19" t="n"/>
      <c r="B58" s="9" t="n"/>
      <c r="C58" s="9" t="n"/>
      <c r="D58" s="9" t="n"/>
      <c r="E58" s="9" t="n"/>
      <c r="F58" s="9" t="n"/>
      <c r="G58" s="19" t="n"/>
      <c r="H58" s="9" t="n"/>
      <c r="I58" s="9" t="n"/>
      <c r="J58" s="9" t="n"/>
      <c r="K58" s="9" t="n"/>
      <c r="L58">
        <f>IF($A58="","",IF(AND($G58&lt;&gt;"",$G58&lt;TODAY(),$H58&lt;&gt;"Completed"),"⚠ follow-up overdue",""))</f>
        <v/>
      </c>
    </row>
    <row r="59">
      <c r="A59" s="19" t="n"/>
      <c r="B59" s="9" t="n"/>
      <c r="C59" s="9" t="n"/>
      <c r="D59" s="9" t="n"/>
      <c r="E59" s="9" t="n"/>
      <c r="F59" s="9" t="n"/>
      <c r="G59" s="19" t="n"/>
      <c r="H59" s="9" t="n"/>
      <c r="I59" s="9" t="n"/>
      <c r="J59" s="9" t="n"/>
      <c r="K59" s="9" t="n"/>
      <c r="L59">
        <f>IF($A59="","",IF(AND($G59&lt;&gt;"",$G59&lt;TODAY(),$H59&lt;&gt;"Completed"),"⚠ follow-up overdue",""))</f>
        <v/>
      </c>
    </row>
    <row r="60">
      <c r="A60" s="19" t="n"/>
      <c r="B60" s="9" t="n"/>
      <c r="C60" s="9" t="n"/>
      <c r="D60" s="9" t="n"/>
      <c r="E60" s="9" t="n"/>
      <c r="F60" s="9" t="n"/>
      <c r="G60" s="19" t="n"/>
      <c r="H60" s="9" t="n"/>
      <c r="I60" s="9" t="n"/>
      <c r="J60" s="9" t="n"/>
      <c r="K60" s="9" t="n"/>
      <c r="L60">
        <f>IF($A60="","",IF(AND($G60&lt;&gt;"",$G60&lt;TODAY(),$H60&lt;&gt;"Completed"),"⚠ follow-up overdue",""))</f>
        <v/>
      </c>
    </row>
    <row r="61">
      <c r="A61" s="19" t="n"/>
      <c r="B61" s="9" t="n"/>
      <c r="C61" s="9" t="n"/>
      <c r="D61" s="9" t="n"/>
      <c r="E61" s="9" t="n"/>
      <c r="F61" s="9" t="n"/>
      <c r="G61" s="19" t="n"/>
      <c r="H61" s="9" t="n"/>
      <c r="I61" s="9" t="n"/>
      <c r="J61" s="9" t="n"/>
      <c r="K61" s="9" t="n"/>
      <c r="L61">
        <f>IF($A61="","",IF(AND($G61&lt;&gt;"",$G61&lt;TODAY(),$H61&lt;&gt;"Completed"),"⚠ follow-up overdue",""))</f>
        <v/>
      </c>
    </row>
    <row r="62">
      <c r="A62" s="19" t="n"/>
      <c r="B62" s="9" t="n"/>
      <c r="C62" s="9" t="n"/>
      <c r="D62" s="9" t="n"/>
      <c r="E62" s="9" t="n"/>
      <c r="F62" s="9" t="n"/>
      <c r="G62" s="19" t="n"/>
      <c r="H62" s="9" t="n"/>
      <c r="I62" s="9" t="n"/>
      <c r="J62" s="9" t="n"/>
      <c r="K62" s="9" t="n"/>
      <c r="L62">
        <f>IF($A62="","",IF(AND($G62&lt;&gt;"",$G62&lt;TODAY(),$H62&lt;&gt;"Completed"),"⚠ follow-up overdue",""))</f>
        <v/>
      </c>
    </row>
    <row r="63">
      <c r="A63" s="19" t="n"/>
      <c r="B63" s="9" t="n"/>
      <c r="C63" s="9" t="n"/>
      <c r="D63" s="9" t="n"/>
      <c r="E63" s="9" t="n"/>
      <c r="F63" s="9" t="n"/>
      <c r="G63" s="19" t="n"/>
      <c r="H63" s="9" t="n"/>
      <c r="I63" s="9" t="n"/>
      <c r="J63" s="9" t="n"/>
      <c r="K63" s="9" t="n"/>
      <c r="L63">
        <f>IF($A63="","",IF(AND($G63&lt;&gt;"",$G63&lt;TODAY(),$H63&lt;&gt;"Completed"),"⚠ follow-up overdue",""))</f>
        <v/>
      </c>
    </row>
    <row r="64">
      <c r="A64" s="19" t="n"/>
      <c r="B64" s="9" t="n"/>
      <c r="C64" s="9" t="n"/>
      <c r="D64" s="9" t="n"/>
      <c r="E64" s="9" t="n"/>
      <c r="F64" s="9" t="n"/>
      <c r="G64" s="19" t="n"/>
      <c r="H64" s="9" t="n"/>
      <c r="I64" s="9" t="n"/>
      <c r="J64" s="9" t="n"/>
      <c r="K64" s="9" t="n"/>
      <c r="L64">
        <f>IF($A64="","",IF(AND($G64&lt;&gt;"",$G64&lt;TODAY(),$H64&lt;&gt;"Completed"),"⚠ follow-up overdue",""))</f>
        <v/>
      </c>
    </row>
    <row r="65">
      <c r="A65" s="19" t="n"/>
      <c r="B65" s="9" t="n"/>
      <c r="C65" s="9" t="n"/>
      <c r="D65" s="9" t="n"/>
      <c r="E65" s="9" t="n"/>
      <c r="F65" s="9" t="n"/>
      <c r="G65" s="19" t="n"/>
      <c r="H65" s="9" t="n"/>
      <c r="I65" s="9" t="n"/>
      <c r="J65" s="9" t="n"/>
      <c r="K65" s="9" t="n"/>
      <c r="L65">
        <f>IF($A65="","",IF(AND($G65&lt;&gt;"",$G65&lt;TODAY(),$H65&lt;&gt;"Completed"),"⚠ follow-up overdue",""))</f>
        <v/>
      </c>
    </row>
    <row r="66">
      <c r="A66" s="19" t="n"/>
      <c r="B66" s="9" t="n"/>
      <c r="C66" s="9" t="n"/>
      <c r="D66" s="9" t="n"/>
      <c r="E66" s="9" t="n"/>
      <c r="F66" s="9" t="n"/>
      <c r="G66" s="19" t="n"/>
      <c r="H66" s="9" t="n"/>
      <c r="I66" s="9" t="n"/>
      <c r="J66" s="9" t="n"/>
      <c r="K66" s="9" t="n"/>
      <c r="L66">
        <f>IF($A66="","",IF(AND($G66&lt;&gt;"",$G66&lt;TODAY(),$H66&lt;&gt;"Completed"),"⚠ follow-up overdue",""))</f>
        <v/>
      </c>
    </row>
    <row r="67">
      <c r="A67" s="19" t="n"/>
      <c r="B67" s="9" t="n"/>
      <c r="C67" s="9" t="n"/>
      <c r="D67" s="9" t="n"/>
      <c r="E67" s="9" t="n"/>
      <c r="F67" s="9" t="n"/>
      <c r="G67" s="19" t="n"/>
      <c r="H67" s="9" t="n"/>
      <c r="I67" s="9" t="n"/>
      <c r="J67" s="9" t="n"/>
      <c r="K67" s="9" t="n"/>
      <c r="L67">
        <f>IF($A67="","",IF(AND($G67&lt;&gt;"",$G67&lt;TODAY(),$H67&lt;&gt;"Completed"),"⚠ follow-up overdue",""))</f>
        <v/>
      </c>
    </row>
    <row r="68">
      <c r="A68" s="19" t="n"/>
      <c r="B68" s="9" t="n"/>
      <c r="C68" s="9" t="n"/>
      <c r="D68" s="9" t="n"/>
      <c r="E68" s="9" t="n"/>
      <c r="F68" s="9" t="n"/>
      <c r="G68" s="19" t="n"/>
      <c r="H68" s="9" t="n"/>
      <c r="I68" s="9" t="n"/>
      <c r="J68" s="9" t="n"/>
      <c r="K68" s="9" t="n"/>
      <c r="L68">
        <f>IF($A68="","",IF(AND($G68&lt;&gt;"",$G68&lt;TODAY(),$H68&lt;&gt;"Completed"),"⚠ follow-up overdue",""))</f>
        <v/>
      </c>
    </row>
    <row r="69">
      <c r="A69" s="19" t="n"/>
      <c r="B69" s="9" t="n"/>
      <c r="C69" s="9" t="n"/>
      <c r="D69" s="9" t="n"/>
      <c r="E69" s="9" t="n"/>
      <c r="F69" s="9" t="n"/>
      <c r="G69" s="19" t="n"/>
      <c r="H69" s="9" t="n"/>
      <c r="I69" s="9" t="n"/>
      <c r="J69" s="9" t="n"/>
      <c r="K69" s="9" t="n"/>
      <c r="L69">
        <f>IF($A69="","",IF(AND($G69&lt;&gt;"",$G69&lt;TODAY(),$H69&lt;&gt;"Completed"),"⚠ follow-up overdue",""))</f>
        <v/>
      </c>
    </row>
    <row r="70">
      <c r="A70" s="19" t="n"/>
      <c r="B70" s="9" t="n"/>
      <c r="C70" s="9" t="n"/>
      <c r="D70" s="9" t="n"/>
      <c r="E70" s="9" t="n"/>
      <c r="F70" s="9" t="n"/>
      <c r="G70" s="19" t="n"/>
      <c r="H70" s="9" t="n"/>
      <c r="I70" s="9" t="n"/>
      <c r="J70" s="9" t="n"/>
      <c r="K70" s="9" t="n"/>
      <c r="L70">
        <f>IF($A70="","",IF(AND($G70&lt;&gt;"",$G70&lt;TODAY(),$H70&lt;&gt;"Completed"),"⚠ follow-up overdue",""))</f>
        <v/>
      </c>
    </row>
    <row r="71">
      <c r="A71" s="19" t="n"/>
      <c r="B71" s="9" t="n"/>
      <c r="C71" s="9" t="n"/>
      <c r="D71" s="9" t="n"/>
      <c r="E71" s="9" t="n"/>
      <c r="F71" s="9" t="n"/>
      <c r="G71" s="19" t="n"/>
      <c r="H71" s="9" t="n"/>
      <c r="I71" s="9" t="n"/>
      <c r="J71" s="9" t="n"/>
      <c r="K71" s="9" t="n"/>
      <c r="L71">
        <f>IF($A71="","",IF(AND($G71&lt;&gt;"",$G71&lt;TODAY(),$H71&lt;&gt;"Completed"),"⚠ follow-up overdue",""))</f>
        <v/>
      </c>
    </row>
    <row r="72">
      <c r="A72" s="19" t="n"/>
      <c r="B72" s="9" t="n"/>
      <c r="C72" s="9" t="n"/>
      <c r="D72" s="9" t="n"/>
      <c r="E72" s="9" t="n"/>
      <c r="F72" s="9" t="n"/>
      <c r="G72" s="19" t="n"/>
      <c r="H72" s="9" t="n"/>
      <c r="I72" s="9" t="n"/>
      <c r="J72" s="9" t="n"/>
      <c r="K72" s="9" t="n"/>
      <c r="L72">
        <f>IF($A72="","",IF(AND($G72&lt;&gt;"",$G72&lt;TODAY(),$H72&lt;&gt;"Completed"),"⚠ follow-up overdue",""))</f>
        <v/>
      </c>
    </row>
    <row r="73">
      <c r="A73" s="19" t="n"/>
      <c r="B73" s="9" t="n"/>
      <c r="C73" s="9" t="n"/>
      <c r="D73" s="9" t="n"/>
      <c r="E73" s="9" t="n"/>
      <c r="F73" s="9" t="n"/>
      <c r="G73" s="19" t="n"/>
      <c r="H73" s="9" t="n"/>
      <c r="I73" s="9" t="n"/>
      <c r="J73" s="9" t="n"/>
      <c r="K73" s="9" t="n"/>
      <c r="L73">
        <f>IF($A73="","",IF(AND($G73&lt;&gt;"",$G73&lt;TODAY(),$H73&lt;&gt;"Completed"),"⚠ follow-up overdue",""))</f>
        <v/>
      </c>
    </row>
    <row r="74">
      <c r="A74" s="19" t="n"/>
      <c r="B74" s="9" t="n"/>
      <c r="C74" s="9" t="n"/>
      <c r="D74" s="9" t="n"/>
      <c r="E74" s="9" t="n"/>
      <c r="F74" s="9" t="n"/>
      <c r="G74" s="19" t="n"/>
      <c r="H74" s="9" t="n"/>
      <c r="I74" s="9" t="n"/>
      <c r="J74" s="9" t="n"/>
      <c r="K74" s="9" t="n"/>
      <c r="L74">
        <f>IF($A74="","",IF(AND($G74&lt;&gt;"",$G74&lt;TODAY(),$H74&lt;&gt;"Completed"),"⚠ follow-up overdue",""))</f>
        <v/>
      </c>
    </row>
    <row r="75">
      <c r="A75" s="19" t="n"/>
      <c r="B75" s="9" t="n"/>
      <c r="C75" s="9" t="n"/>
      <c r="D75" s="9" t="n"/>
      <c r="E75" s="9" t="n"/>
      <c r="F75" s="9" t="n"/>
      <c r="G75" s="19" t="n"/>
      <c r="H75" s="9" t="n"/>
      <c r="I75" s="9" t="n"/>
      <c r="J75" s="9" t="n"/>
      <c r="K75" s="9" t="n"/>
      <c r="L75">
        <f>IF($A75="","",IF(AND($G75&lt;&gt;"",$G75&lt;TODAY(),$H75&lt;&gt;"Completed"),"⚠ follow-up overdue",""))</f>
        <v/>
      </c>
    </row>
    <row r="76">
      <c r="A76" s="19" t="n"/>
      <c r="B76" s="9" t="n"/>
      <c r="C76" s="9" t="n"/>
      <c r="D76" s="9" t="n"/>
      <c r="E76" s="9" t="n"/>
      <c r="F76" s="9" t="n"/>
      <c r="G76" s="19" t="n"/>
      <c r="H76" s="9" t="n"/>
      <c r="I76" s="9" t="n"/>
      <c r="J76" s="9" t="n"/>
      <c r="K76" s="9" t="n"/>
      <c r="L76">
        <f>IF($A76="","",IF(AND($G76&lt;&gt;"",$G76&lt;TODAY(),$H76&lt;&gt;"Completed"),"⚠ follow-up overdue",""))</f>
        <v/>
      </c>
    </row>
    <row r="77">
      <c r="A77" s="19" t="n"/>
      <c r="B77" s="9" t="n"/>
      <c r="C77" s="9" t="n"/>
      <c r="D77" s="9" t="n"/>
      <c r="E77" s="9" t="n"/>
      <c r="F77" s="9" t="n"/>
      <c r="G77" s="19" t="n"/>
      <c r="H77" s="9" t="n"/>
      <c r="I77" s="9" t="n"/>
      <c r="J77" s="9" t="n"/>
      <c r="K77" s="9" t="n"/>
      <c r="L77">
        <f>IF($A77="","",IF(AND($G77&lt;&gt;"",$G77&lt;TODAY(),$H77&lt;&gt;"Completed"),"⚠ follow-up overdue",""))</f>
        <v/>
      </c>
    </row>
    <row r="78">
      <c r="A78" s="19" t="n"/>
      <c r="B78" s="9" t="n"/>
      <c r="C78" s="9" t="n"/>
      <c r="D78" s="9" t="n"/>
      <c r="E78" s="9" t="n"/>
      <c r="F78" s="9" t="n"/>
      <c r="G78" s="19" t="n"/>
      <c r="H78" s="9" t="n"/>
      <c r="I78" s="9" t="n"/>
      <c r="J78" s="9" t="n"/>
      <c r="K78" s="9" t="n"/>
      <c r="L78">
        <f>IF($A78="","",IF(AND($G78&lt;&gt;"",$G78&lt;TODAY(),$H78&lt;&gt;"Completed"),"⚠ follow-up overdue",""))</f>
        <v/>
      </c>
    </row>
    <row r="79">
      <c r="A79" s="19" t="n"/>
      <c r="B79" s="9" t="n"/>
      <c r="C79" s="9" t="n"/>
      <c r="D79" s="9" t="n"/>
      <c r="E79" s="9" t="n"/>
      <c r="F79" s="9" t="n"/>
      <c r="G79" s="19" t="n"/>
      <c r="H79" s="9" t="n"/>
      <c r="I79" s="9" t="n"/>
      <c r="J79" s="9" t="n"/>
      <c r="K79" s="9" t="n"/>
      <c r="L79">
        <f>IF($A79="","",IF(AND($G79&lt;&gt;"",$G79&lt;TODAY(),$H79&lt;&gt;"Completed"),"⚠ follow-up overdue",""))</f>
        <v/>
      </c>
    </row>
    <row r="80">
      <c r="A80" s="19" t="n"/>
      <c r="B80" s="9" t="n"/>
      <c r="C80" s="9" t="n"/>
      <c r="D80" s="9" t="n"/>
      <c r="E80" s="9" t="n"/>
      <c r="F80" s="9" t="n"/>
      <c r="G80" s="19" t="n"/>
      <c r="H80" s="9" t="n"/>
      <c r="I80" s="9" t="n"/>
      <c r="J80" s="9" t="n"/>
      <c r="K80" s="9" t="n"/>
      <c r="L80">
        <f>IF($A80="","",IF(AND($G80&lt;&gt;"",$G80&lt;TODAY(),$H80&lt;&gt;"Completed"),"⚠ follow-up overdue",""))</f>
        <v/>
      </c>
    </row>
    <row r="81">
      <c r="A81" s="19" t="n"/>
      <c r="B81" s="9" t="n"/>
      <c r="C81" s="9" t="n"/>
      <c r="D81" s="9" t="n"/>
      <c r="E81" s="9" t="n"/>
      <c r="F81" s="9" t="n"/>
      <c r="G81" s="19" t="n"/>
      <c r="H81" s="9" t="n"/>
      <c r="I81" s="9" t="n"/>
      <c r="J81" s="9" t="n"/>
      <c r="K81" s="9" t="n"/>
      <c r="L81">
        <f>IF($A81="","",IF(AND($G81&lt;&gt;"",$G81&lt;TODAY(),$H81&lt;&gt;"Completed"),"⚠ follow-up overdue",""))</f>
        <v/>
      </c>
    </row>
    <row r="82">
      <c r="A82" s="19" t="n"/>
      <c r="B82" s="9" t="n"/>
      <c r="C82" s="9" t="n"/>
      <c r="D82" s="9" t="n"/>
      <c r="E82" s="9" t="n"/>
      <c r="F82" s="9" t="n"/>
      <c r="G82" s="19" t="n"/>
      <c r="H82" s="9" t="n"/>
      <c r="I82" s="9" t="n"/>
      <c r="J82" s="9" t="n"/>
      <c r="K82" s="9" t="n"/>
      <c r="L82">
        <f>IF($A82="","",IF(AND($G82&lt;&gt;"",$G82&lt;TODAY(),$H82&lt;&gt;"Completed"),"⚠ follow-up overdue",""))</f>
        <v/>
      </c>
    </row>
    <row r="83">
      <c r="A83" s="19" t="n"/>
      <c r="B83" s="9" t="n"/>
      <c r="C83" s="9" t="n"/>
      <c r="D83" s="9" t="n"/>
      <c r="E83" s="9" t="n"/>
      <c r="F83" s="9" t="n"/>
      <c r="G83" s="19" t="n"/>
      <c r="H83" s="9" t="n"/>
      <c r="I83" s="9" t="n"/>
      <c r="J83" s="9" t="n"/>
      <c r="K83" s="9" t="n"/>
      <c r="L83">
        <f>IF($A83="","",IF(AND($G83&lt;&gt;"",$G83&lt;TODAY(),$H83&lt;&gt;"Completed"),"⚠ follow-up overdue",""))</f>
        <v/>
      </c>
    </row>
    <row r="84">
      <c r="A84" s="19" t="n"/>
      <c r="B84" s="9" t="n"/>
      <c r="C84" s="9" t="n"/>
      <c r="D84" s="9" t="n"/>
      <c r="E84" s="9" t="n"/>
      <c r="F84" s="9" t="n"/>
      <c r="G84" s="19" t="n"/>
      <c r="H84" s="9" t="n"/>
      <c r="I84" s="9" t="n"/>
      <c r="J84" s="9" t="n"/>
      <c r="K84" s="9" t="n"/>
      <c r="L84">
        <f>IF($A84="","",IF(AND($G84&lt;&gt;"",$G84&lt;TODAY(),$H84&lt;&gt;"Completed"),"⚠ follow-up overdue",""))</f>
        <v/>
      </c>
    </row>
    <row r="85">
      <c r="A85" s="19" t="n"/>
      <c r="B85" s="9" t="n"/>
      <c r="C85" s="9" t="n"/>
      <c r="D85" s="9" t="n"/>
      <c r="E85" s="9" t="n"/>
      <c r="F85" s="9" t="n"/>
      <c r="G85" s="19" t="n"/>
      <c r="H85" s="9" t="n"/>
      <c r="I85" s="9" t="n"/>
      <c r="J85" s="9" t="n"/>
      <c r="K85" s="9" t="n"/>
      <c r="L85">
        <f>IF($A85="","",IF(AND($G85&lt;&gt;"",$G85&lt;TODAY(),$H85&lt;&gt;"Completed"),"⚠ follow-up overdue",""))</f>
        <v/>
      </c>
    </row>
    <row r="86">
      <c r="A86" s="19" t="n"/>
      <c r="B86" s="9" t="n"/>
      <c r="C86" s="9" t="n"/>
      <c r="D86" s="9" t="n"/>
      <c r="E86" s="9" t="n"/>
      <c r="F86" s="9" t="n"/>
      <c r="G86" s="19" t="n"/>
      <c r="H86" s="9" t="n"/>
      <c r="I86" s="9" t="n"/>
      <c r="J86" s="9" t="n"/>
      <c r="K86" s="9" t="n"/>
      <c r="L86">
        <f>IF($A86="","",IF(AND($G86&lt;&gt;"",$G86&lt;TODAY(),$H86&lt;&gt;"Completed"),"⚠ follow-up overdue",""))</f>
        <v/>
      </c>
    </row>
    <row r="87">
      <c r="A87" s="19" t="n"/>
      <c r="B87" s="9" t="n"/>
      <c r="C87" s="9" t="n"/>
      <c r="D87" s="9" t="n"/>
      <c r="E87" s="9" t="n"/>
      <c r="F87" s="9" t="n"/>
      <c r="G87" s="19" t="n"/>
      <c r="H87" s="9" t="n"/>
      <c r="I87" s="9" t="n"/>
      <c r="J87" s="9" t="n"/>
      <c r="K87" s="9" t="n"/>
      <c r="L87">
        <f>IF($A87="","",IF(AND($G87&lt;&gt;"",$G87&lt;TODAY(),$H87&lt;&gt;"Completed"),"⚠ follow-up overdue",""))</f>
        <v/>
      </c>
    </row>
    <row r="88">
      <c r="A88" s="19" t="n"/>
      <c r="B88" s="9" t="n"/>
      <c r="C88" s="9" t="n"/>
      <c r="D88" s="9" t="n"/>
      <c r="E88" s="9" t="n"/>
      <c r="F88" s="9" t="n"/>
      <c r="G88" s="19" t="n"/>
      <c r="H88" s="9" t="n"/>
      <c r="I88" s="9" t="n"/>
      <c r="J88" s="9" t="n"/>
      <c r="K88" s="9" t="n"/>
      <c r="L88">
        <f>IF($A88="","",IF(AND($G88&lt;&gt;"",$G88&lt;TODAY(),$H88&lt;&gt;"Completed"),"⚠ follow-up overdue",""))</f>
        <v/>
      </c>
    </row>
    <row r="89">
      <c r="A89" s="19" t="n"/>
      <c r="B89" s="9" t="n"/>
      <c r="C89" s="9" t="n"/>
      <c r="D89" s="9" t="n"/>
      <c r="E89" s="9" t="n"/>
      <c r="F89" s="9" t="n"/>
      <c r="G89" s="19" t="n"/>
      <c r="H89" s="9" t="n"/>
      <c r="I89" s="9" t="n"/>
      <c r="J89" s="9" t="n"/>
      <c r="K89" s="9" t="n"/>
      <c r="L89">
        <f>IF($A89="","",IF(AND($G89&lt;&gt;"",$G89&lt;TODAY(),$H89&lt;&gt;"Completed"),"⚠ follow-up overdue",""))</f>
        <v/>
      </c>
    </row>
    <row r="90">
      <c r="A90" s="19" t="n"/>
      <c r="B90" s="9" t="n"/>
      <c r="C90" s="9" t="n"/>
      <c r="D90" s="9" t="n"/>
      <c r="E90" s="9" t="n"/>
      <c r="F90" s="9" t="n"/>
      <c r="G90" s="19" t="n"/>
      <c r="H90" s="9" t="n"/>
      <c r="I90" s="9" t="n"/>
      <c r="J90" s="9" t="n"/>
      <c r="K90" s="9" t="n"/>
      <c r="L90">
        <f>IF($A90="","",IF(AND($G90&lt;&gt;"",$G90&lt;TODAY(),$H90&lt;&gt;"Completed"),"⚠ follow-up overdue",""))</f>
        <v/>
      </c>
    </row>
    <row r="91">
      <c r="A91" s="19" t="n"/>
      <c r="B91" s="9" t="n"/>
      <c r="C91" s="9" t="n"/>
      <c r="D91" s="9" t="n"/>
      <c r="E91" s="9" t="n"/>
      <c r="F91" s="9" t="n"/>
      <c r="G91" s="19" t="n"/>
      <c r="H91" s="9" t="n"/>
      <c r="I91" s="9" t="n"/>
      <c r="J91" s="9" t="n"/>
      <c r="K91" s="9" t="n"/>
      <c r="L91">
        <f>IF($A91="","",IF(AND($G91&lt;&gt;"",$G91&lt;TODAY(),$H91&lt;&gt;"Completed"),"⚠ follow-up overdue",""))</f>
        <v/>
      </c>
    </row>
    <row r="92">
      <c r="A92" s="19" t="n"/>
      <c r="B92" s="9" t="n"/>
      <c r="C92" s="9" t="n"/>
      <c r="D92" s="9" t="n"/>
      <c r="E92" s="9" t="n"/>
      <c r="F92" s="9" t="n"/>
      <c r="G92" s="19" t="n"/>
      <c r="H92" s="9" t="n"/>
      <c r="I92" s="9" t="n"/>
      <c r="J92" s="9" t="n"/>
      <c r="K92" s="9" t="n"/>
      <c r="L92">
        <f>IF($A92="","",IF(AND($G92&lt;&gt;"",$G92&lt;TODAY(),$H92&lt;&gt;"Completed"),"⚠ follow-up overdue",""))</f>
        <v/>
      </c>
    </row>
    <row r="93">
      <c r="A93" s="19" t="n"/>
      <c r="B93" s="9" t="n"/>
      <c r="C93" s="9" t="n"/>
      <c r="D93" s="9" t="n"/>
      <c r="E93" s="9" t="n"/>
      <c r="F93" s="9" t="n"/>
      <c r="G93" s="19" t="n"/>
      <c r="H93" s="9" t="n"/>
      <c r="I93" s="9" t="n"/>
      <c r="J93" s="9" t="n"/>
      <c r="K93" s="9" t="n"/>
      <c r="L93">
        <f>IF($A93="","",IF(AND($G93&lt;&gt;"",$G93&lt;TODAY(),$H93&lt;&gt;"Completed"),"⚠ follow-up overdue",""))</f>
        <v/>
      </c>
    </row>
    <row r="94">
      <c r="A94" s="19" t="n"/>
      <c r="B94" s="9" t="n"/>
      <c r="C94" s="9" t="n"/>
      <c r="D94" s="9" t="n"/>
      <c r="E94" s="9" t="n"/>
      <c r="F94" s="9" t="n"/>
      <c r="G94" s="19" t="n"/>
      <c r="H94" s="9" t="n"/>
      <c r="I94" s="9" t="n"/>
      <c r="J94" s="9" t="n"/>
      <c r="K94" s="9" t="n"/>
      <c r="L94">
        <f>IF($A94="","",IF(AND($G94&lt;&gt;"",$G94&lt;TODAY(),$H94&lt;&gt;"Completed"),"⚠ follow-up overdue",""))</f>
        <v/>
      </c>
    </row>
    <row r="95">
      <c r="A95" s="19" t="n"/>
      <c r="B95" s="9" t="n"/>
      <c r="C95" s="9" t="n"/>
      <c r="D95" s="9" t="n"/>
      <c r="E95" s="9" t="n"/>
      <c r="F95" s="9" t="n"/>
      <c r="G95" s="19" t="n"/>
      <c r="H95" s="9" t="n"/>
      <c r="I95" s="9" t="n"/>
      <c r="J95" s="9" t="n"/>
      <c r="K95" s="9" t="n"/>
      <c r="L95">
        <f>IF($A95="","",IF(AND($G95&lt;&gt;"",$G95&lt;TODAY(),$H95&lt;&gt;"Completed"),"⚠ follow-up overdue",""))</f>
        <v/>
      </c>
    </row>
    <row r="96">
      <c r="A96" s="19" t="n"/>
      <c r="B96" s="9" t="n"/>
      <c r="C96" s="9" t="n"/>
      <c r="D96" s="9" t="n"/>
      <c r="E96" s="9" t="n"/>
      <c r="F96" s="9" t="n"/>
      <c r="G96" s="19" t="n"/>
      <c r="H96" s="9" t="n"/>
      <c r="I96" s="9" t="n"/>
      <c r="J96" s="9" t="n"/>
      <c r="K96" s="9" t="n"/>
      <c r="L96">
        <f>IF($A96="","",IF(AND($G96&lt;&gt;"",$G96&lt;TODAY(),$H96&lt;&gt;"Completed"),"⚠ follow-up overdue",""))</f>
        <v/>
      </c>
    </row>
    <row r="97">
      <c r="A97" s="19" t="n"/>
      <c r="B97" s="9" t="n"/>
      <c r="C97" s="9" t="n"/>
      <c r="D97" s="9" t="n"/>
      <c r="E97" s="9" t="n"/>
      <c r="F97" s="9" t="n"/>
      <c r="G97" s="19" t="n"/>
      <c r="H97" s="9" t="n"/>
      <c r="I97" s="9" t="n"/>
      <c r="J97" s="9" t="n"/>
      <c r="K97" s="9" t="n"/>
      <c r="L97">
        <f>IF($A97="","",IF(AND($G97&lt;&gt;"",$G97&lt;TODAY(),$H97&lt;&gt;"Completed"),"⚠ follow-up overdue",""))</f>
        <v/>
      </c>
    </row>
    <row r="98">
      <c r="A98" s="19" t="n"/>
      <c r="B98" s="9" t="n"/>
      <c r="C98" s="9" t="n"/>
      <c r="D98" s="9" t="n"/>
      <c r="E98" s="9" t="n"/>
      <c r="F98" s="9" t="n"/>
      <c r="G98" s="19" t="n"/>
      <c r="H98" s="9" t="n"/>
      <c r="I98" s="9" t="n"/>
      <c r="J98" s="9" t="n"/>
      <c r="K98" s="9" t="n"/>
      <c r="L98">
        <f>IF($A98="","",IF(AND($G98&lt;&gt;"",$G98&lt;TODAY(),$H98&lt;&gt;"Completed"),"⚠ follow-up overdue",""))</f>
        <v/>
      </c>
    </row>
    <row r="99">
      <c r="A99" s="19" t="n"/>
      <c r="B99" s="9" t="n"/>
      <c r="C99" s="9" t="n"/>
      <c r="D99" s="9" t="n"/>
      <c r="E99" s="9" t="n"/>
      <c r="F99" s="9" t="n"/>
      <c r="G99" s="19" t="n"/>
      <c r="H99" s="9" t="n"/>
      <c r="I99" s="9" t="n"/>
      <c r="J99" s="9" t="n"/>
      <c r="K99" s="9" t="n"/>
      <c r="L99">
        <f>IF($A99="","",IF(AND($G99&lt;&gt;"",$G99&lt;TODAY(),$H99&lt;&gt;"Completed"),"⚠ follow-up overdue",""))</f>
        <v/>
      </c>
    </row>
    <row r="100">
      <c r="A100" s="19" t="n"/>
      <c r="B100" s="9" t="n"/>
      <c r="C100" s="9" t="n"/>
      <c r="D100" s="9" t="n"/>
      <c r="E100" s="9" t="n"/>
      <c r="F100" s="9" t="n"/>
      <c r="G100" s="19" t="n"/>
      <c r="H100" s="9" t="n"/>
      <c r="I100" s="9" t="n"/>
      <c r="J100" s="9" t="n"/>
      <c r="K100" s="9" t="n"/>
      <c r="L100">
        <f>IF($A100="","",IF(AND($G100&lt;&gt;"",$G100&lt;TODAY(),$H100&lt;&gt;"Completed"),"⚠ follow-up overdue",""))</f>
        <v/>
      </c>
    </row>
    <row r="101">
      <c r="A101" s="19" t="n"/>
      <c r="B101" s="9" t="n"/>
      <c r="C101" s="9" t="n"/>
      <c r="D101" s="9" t="n"/>
      <c r="E101" s="9" t="n"/>
      <c r="F101" s="9" t="n"/>
      <c r="G101" s="19" t="n"/>
      <c r="H101" s="9" t="n"/>
      <c r="I101" s="9" t="n"/>
      <c r="J101" s="9" t="n"/>
      <c r="K101" s="9" t="n"/>
      <c r="L101">
        <f>IF($A101="","",IF(AND($G101&lt;&gt;"",$G101&lt;TODAY(),$H101&lt;&gt;"Completed"),"⚠ follow-up overdue",""))</f>
        <v/>
      </c>
    </row>
    <row r="102">
      <c r="A102" s="19" t="n"/>
      <c r="B102" s="9" t="n"/>
      <c r="C102" s="9" t="n"/>
      <c r="D102" s="9" t="n"/>
      <c r="E102" s="9" t="n"/>
      <c r="F102" s="9" t="n"/>
      <c r="G102" s="19" t="n"/>
      <c r="H102" s="9" t="n"/>
      <c r="I102" s="9" t="n"/>
      <c r="J102" s="9" t="n"/>
      <c r="K102" s="9" t="n"/>
      <c r="L102">
        <f>IF($A102="","",IF(AND($G102&lt;&gt;"",$G102&lt;TODAY(),$H102&lt;&gt;"Completed"),"⚠ follow-up overdue",""))</f>
        <v/>
      </c>
    </row>
    <row r="103">
      <c r="A103" s="19" t="n"/>
      <c r="B103" s="9" t="n"/>
      <c r="C103" s="9" t="n"/>
      <c r="D103" s="9" t="n"/>
      <c r="E103" s="9" t="n"/>
      <c r="F103" s="9" t="n"/>
      <c r="G103" s="19" t="n"/>
      <c r="H103" s="9" t="n"/>
      <c r="I103" s="9" t="n"/>
      <c r="J103" s="9" t="n"/>
      <c r="K103" s="9" t="n"/>
      <c r="L103">
        <f>IF($A103="","",IF(AND($G103&lt;&gt;"",$G103&lt;TODAY(),$H103&lt;&gt;"Completed"),"⚠ follow-up overdue",""))</f>
        <v/>
      </c>
    </row>
    <row r="104">
      <c r="A104" s="19" t="n"/>
      <c r="B104" s="9" t="n"/>
      <c r="C104" s="9" t="n"/>
      <c r="D104" s="9" t="n"/>
      <c r="E104" s="9" t="n"/>
      <c r="F104" s="9" t="n"/>
      <c r="G104" s="19" t="n"/>
      <c r="H104" s="9" t="n"/>
      <c r="I104" s="9" t="n"/>
      <c r="J104" s="9" t="n"/>
      <c r="K104" s="9" t="n"/>
      <c r="L104">
        <f>IF($A104="","",IF(AND($G104&lt;&gt;"",$G104&lt;TODAY(),$H104&lt;&gt;"Completed"),"⚠ follow-up overdue",""))</f>
        <v/>
      </c>
    </row>
    <row r="105">
      <c r="A105" s="19" t="n"/>
      <c r="B105" s="9" t="n"/>
      <c r="C105" s="9" t="n"/>
      <c r="D105" s="9" t="n"/>
      <c r="E105" s="9" t="n"/>
      <c r="F105" s="9" t="n"/>
      <c r="G105" s="19" t="n"/>
      <c r="H105" s="9" t="n"/>
      <c r="I105" s="9" t="n"/>
      <c r="J105" s="9" t="n"/>
      <c r="K105" s="9" t="n"/>
      <c r="L105">
        <f>IF($A105="","",IF(AND($G105&lt;&gt;"",$G105&lt;TODAY(),$H105&lt;&gt;"Completed"),"⚠ follow-up overdue",""))</f>
        <v/>
      </c>
    </row>
    <row r="106">
      <c r="A106" s="19" t="n"/>
      <c r="B106" s="9" t="n"/>
      <c r="C106" s="9" t="n"/>
      <c r="D106" s="9" t="n"/>
      <c r="E106" s="9" t="n"/>
      <c r="F106" s="9" t="n"/>
      <c r="G106" s="19" t="n"/>
      <c r="H106" s="9" t="n"/>
      <c r="I106" s="9" t="n"/>
      <c r="J106" s="9" t="n"/>
      <c r="K106" s="9" t="n"/>
      <c r="L106">
        <f>IF($A106="","",IF(AND($G106&lt;&gt;"",$G106&lt;TODAY(),$H106&lt;&gt;"Completed"),"⚠ follow-up overdue",""))</f>
        <v/>
      </c>
    </row>
    <row r="107">
      <c r="A107" s="19" t="n"/>
      <c r="B107" s="9" t="n"/>
      <c r="C107" s="9" t="n"/>
      <c r="D107" s="9" t="n"/>
      <c r="E107" s="9" t="n"/>
      <c r="F107" s="9" t="n"/>
      <c r="G107" s="19" t="n"/>
      <c r="H107" s="9" t="n"/>
      <c r="I107" s="9" t="n"/>
      <c r="J107" s="9" t="n"/>
      <c r="K107" s="9" t="n"/>
      <c r="L107">
        <f>IF($A107="","",IF(AND($G107&lt;&gt;"",$G107&lt;TODAY(),$H107&lt;&gt;"Completed"),"⚠ follow-up overdue",""))</f>
        <v/>
      </c>
    </row>
    <row r="108">
      <c r="A108" s="19" t="n"/>
      <c r="B108" s="9" t="n"/>
      <c r="C108" s="9" t="n"/>
      <c r="D108" s="9" t="n"/>
      <c r="E108" s="9" t="n"/>
      <c r="F108" s="9" t="n"/>
      <c r="G108" s="19" t="n"/>
      <c r="H108" s="9" t="n"/>
      <c r="I108" s="9" t="n"/>
      <c r="J108" s="9" t="n"/>
      <c r="K108" s="9" t="n"/>
      <c r="L108">
        <f>IF($A108="","",IF(AND($G108&lt;&gt;"",$G108&lt;TODAY(),$H108&lt;&gt;"Completed"),"⚠ follow-up overdue",""))</f>
        <v/>
      </c>
    </row>
    <row r="109">
      <c r="A109" s="19" t="n"/>
      <c r="B109" s="9" t="n"/>
      <c r="C109" s="9" t="n"/>
      <c r="D109" s="9" t="n"/>
      <c r="E109" s="9" t="n"/>
      <c r="F109" s="9" t="n"/>
      <c r="G109" s="19" t="n"/>
      <c r="H109" s="9" t="n"/>
      <c r="I109" s="9" t="n"/>
      <c r="J109" s="9" t="n"/>
      <c r="K109" s="9" t="n"/>
      <c r="L109">
        <f>IF($A109="","",IF(AND($G109&lt;&gt;"",$G109&lt;TODAY(),$H109&lt;&gt;"Completed"),"⚠ follow-up overdue",""))</f>
        <v/>
      </c>
    </row>
    <row r="110">
      <c r="A110" s="19" t="n"/>
      <c r="B110" s="9" t="n"/>
      <c r="C110" s="9" t="n"/>
      <c r="D110" s="9" t="n"/>
      <c r="E110" s="9" t="n"/>
      <c r="F110" s="9" t="n"/>
      <c r="G110" s="19" t="n"/>
      <c r="H110" s="9" t="n"/>
      <c r="I110" s="9" t="n"/>
      <c r="J110" s="9" t="n"/>
      <c r="K110" s="9" t="n"/>
      <c r="L110">
        <f>IF($A110="","",IF(AND($G110&lt;&gt;"",$G110&lt;TODAY(),$H110&lt;&gt;"Completed"),"⚠ follow-up overdue",""))</f>
        <v/>
      </c>
    </row>
    <row r="111">
      <c r="A111" s="19" t="n"/>
      <c r="B111" s="9" t="n"/>
      <c r="C111" s="9" t="n"/>
      <c r="D111" s="9" t="n"/>
      <c r="E111" s="9" t="n"/>
      <c r="F111" s="9" t="n"/>
      <c r="G111" s="19" t="n"/>
      <c r="H111" s="9" t="n"/>
      <c r="I111" s="9" t="n"/>
      <c r="J111" s="9" t="n"/>
      <c r="K111" s="9" t="n"/>
      <c r="L111">
        <f>IF($A111="","",IF(AND($G111&lt;&gt;"",$G111&lt;TODAY(),$H111&lt;&gt;"Completed"),"⚠ follow-up overdue",""))</f>
        <v/>
      </c>
    </row>
    <row r="112">
      <c r="A112" s="19" t="n"/>
      <c r="B112" s="9" t="n"/>
      <c r="C112" s="9" t="n"/>
      <c r="D112" s="9" t="n"/>
      <c r="E112" s="9" t="n"/>
      <c r="F112" s="9" t="n"/>
      <c r="G112" s="19" t="n"/>
      <c r="H112" s="9" t="n"/>
      <c r="I112" s="9" t="n"/>
      <c r="J112" s="9" t="n"/>
      <c r="K112" s="9" t="n"/>
      <c r="L112">
        <f>IF($A112="","",IF(AND($G112&lt;&gt;"",$G112&lt;TODAY(),$H112&lt;&gt;"Completed"),"⚠ follow-up overdue",""))</f>
        <v/>
      </c>
    </row>
    <row r="113">
      <c r="A113" s="19" t="n"/>
      <c r="B113" s="9" t="n"/>
      <c r="C113" s="9" t="n"/>
      <c r="D113" s="9" t="n"/>
      <c r="E113" s="9" t="n"/>
      <c r="F113" s="9" t="n"/>
      <c r="G113" s="19" t="n"/>
      <c r="H113" s="9" t="n"/>
      <c r="I113" s="9" t="n"/>
      <c r="J113" s="9" t="n"/>
      <c r="K113" s="9" t="n"/>
      <c r="L113">
        <f>IF($A113="","",IF(AND($G113&lt;&gt;"",$G113&lt;TODAY(),$H113&lt;&gt;"Completed"),"⚠ follow-up overdue",""))</f>
        <v/>
      </c>
    </row>
    <row r="114">
      <c r="A114" s="19" t="n"/>
      <c r="B114" s="9" t="n"/>
      <c r="C114" s="9" t="n"/>
      <c r="D114" s="9" t="n"/>
      <c r="E114" s="9" t="n"/>
      <c r="F114" s="9" t="n"/>
      <c r="G114" s="19" t="n"/>
      <c r="H114" s="9" t="n"/>
      <c r="I114" s="9" t="n"/>
      <c r="J114" s="9" t="n"/>
      <c r="K114" s="9" t="n"/>
      <c r="L114">
        <f>IF($A114="","",IF(AND($G114&lt;&gt;"",$G114&lt;TODAY(),$H114&lt;&gt;"Completed"),"⚠ follow-up overdue",""))</f>
        <v/>
      </c>
    </row>
    <row r="115">
      <c r="A115" s="19" t="n"/>
      <c r="B115" s="9" t="n"/>
      <c r="C115" s="9" t="n"/>
      <c r="D115" s="9" t="n"/>
      <c r="E115" s="9" t="n"/>
      <c r="F115" s="9" t="n"/>
      <c r="G115" s="19" t="n"/>
      <c r="H115" s="9" t="n"/>
      <c r="I115" s="9" t="n"/>
      <c r="J115" s="9" t="n"/>
      <c r="K115" s="9" t="n"/>
      <c r="L115">
        <f>IF($A115="","",IF(AND($G115&lt;&gt;"",$G115&lt;TODAY(),$H115&lt;&gt;"Completed"),"⚠ follow-up overdue",""))</f>
        <v/>
      </c>
    </row>
    <row r="116">
      <c r="A116" s="19" t="n"/>
      <c r="B116" s="9" t="n"/>
      <c r="C116" s="9" t="n"/>
      <c r="D116" s="9" t="n"/>
      <c r="E116" s="9" t="n"/>
      <c r="F116" s="9" t="n"/>
      <c r="G116" s="19" t="n"/>
      <c r="H116" s="9" t="n"/>
      <c r="I116" s="9" t="n"/>
      <c r="J116" s="9" t="n"/>
      <c r="K116" s="9" t="n"/>
      <c r="L116">
        <f>IF($A116="","",IF(AND($G116&lt;&gt;"",$G116&lt;TODAY(),$H116&lt;&gt;"Completed"),"⚠ follow-up overdue",""))</f>
        <v/>
      </c>
    </row>
    <row r="117">
      <c r="A117" s="19" t="n"/>
      <c r="B117" s="9" t="n"/>
      <c r="C117" s="9" t="n"/>
      <c r="D117" s="9" t="n"/>
      <c r="E117" s="9" t="n"/>
      <c r="F117" s="9" t="n"/>
      <c r="G117" s="19" t="n"/>
      <c r="H117" s="9" t="n"/>
      <c r="I117" s="9" t="n"/>
      <c r="J117" s="9" t="n"/>
      <c r="K117" s="9" t="n"/>
      <c r="L117">
        <f>IF($A117="","",IF(AND($G117&lt;&gt;"",$G117&lt;TODAY(),$H117&lt;&gt;"Completed"),"⚠ follow-up overdue",""))</f>
        <v/>
      </c>
    </row>
    <row r="118">
      <c r="A118" s="19" t="n"/>
      <c r="B118" s="9" t="n"/>
      <c r="C118" s="9" t="n"/>
      <c r="D118" s="9" t="n"/>
      <c r="E118" s="9" t="n"/>
      <c r="F118" s="9" t="n"/>
      <c r="G118" s="19" t="n"/>
      <c r="H118" s="9" t="n"/>
      <c r="I118" s="9" t="n"/>
      <c r="J118" s="9" t="n"/>
      <c r="K118" s="9" t="n"/>
      <c r="L118">
        <f>IF($A118="","",IF(AND($G118&lt;&gt;"",$G118&lt;TODAY(),$H118&lt;&gt;"Completed"),"⚠ follow-up overdue",""))</f>
        <v/>
      </c>
    </row>
    <row r="119">
      <c r="A119" s="19" t="n"/>
      <c r="B119" s="9" t="n"/>
      <c r="C119" s="9" t="n"/>
      <c r="D119" s="9" t="n"/>
      <c r="E119" s="9" t="n"/>
      <c r="F119" s="9" t="n"/>
      <c r="G119" s="19" t="n"/>
      <c r="H119" s="9" t="n"/>
      <c r="I119" s="9" t="n"/>
      <c r="J119" s="9" t="n"/>
      <c r="K119" s="9" t="n"/>
      <c r="L119">
        <f>IF($A119="","",IF(AND($G119&lt;&gt;"",$G119&lt;TODAY(),$H119&lt;&gt;"Completed"),"⚠ follow-up overdue",""))</f>
        <v/>
      </c>
    </row>
    <row r="120">
      <c r="A120" s="19" t="n"/>
      <c r="B120" s="9" t="n"/>
      <c r="C120" s="9" t="n"/>
      <c r="D120" s="9" t="n"/>
      <c r="E120" s="9" t="n"/>
      <c r="F120" s="9" t="n"/>
      <c r="G120" s="19" t="n"/>
      <c r="H120" s="9" t="n"/>
      <c r="I120" s="9" t="n"/>
      <c r="J120" s="9" t="n"/>
      <c r="K120" s="9" t="n"/>
      <c r="L120">
        <f>IF($A120="","",IF(AND($G120&lt;&gt;"",$G120&lt;TODAY(),$H120&lt;&gt;"Completed"),"⚠ follow-up overdue",""))</f>
        <v/>
      </c>
    </row>
    <row r="121">
      <c r="A121" s="19" t="n"/>
      <c r="B121" s="9" t="n"/>
      <c r="C121" s="9" t="n"/>
      <c r="D121" s="9" t="n"/>
      <c r="E121" s="9" t="n"/>
      <c r="F121" s="9" t="n"/>
      <c r="G121" s="19" t="n"/>
      <c r="H121" s="9" t="n"/>
      <c r="I121" s="9" t="n"/>
      <c r="J121" s="9" t="n"/>
      <c r="K121" s="9" t="n"/>
      <c r="L121">
        <f>IF($A121="","",IF(AND($G121&lt;&gt;"",$G121&lt;TODAY(),$H121&lt;&gt;"Completed"),"⚠ follow-up overdue",""))</f>
        <v/>
      </c>
    </row>
    <row r="122">
      <c r="A122" s="19" t="n"/>
      <c r="B122" s="9" t="n"/>
      <c r="C122" s="9" t="n"/>
      <c r="D122" s="9" t="n"/>
      <c r="E122" s="9" t="n"/>
      <c r="F122" s="9" t="n"/>
      <c r="G122" s="19" t="n"/>
      <c r="H122" s="9" t="n"/>
      <c r="I122" s="9" t="n"/>
      <c r="J122" s="9" t="n"/>
      <c r="K122" s="9" t="n"/>
      <c r="L122">
        <f>IF($A122="","",IF(AND($G122&lt;&gt;"",$G122&lt;TODAY(),$H122&lt;&gt;"Completed"),"⚠ follow-up overdue",""))</f>
        <v/>
      </c>
    </row>
    <row r="123">
      <c r="A123" s="19" t="n"/>
      <c r="B123" s="9" t="n"/>
      <c r="C123" s="9" t="n"/>
      <c r="D123" s="9" t="n"/>
      <c r="E123" s="9" t="n"/>
      <c r="F123" s="9" t="n"/>
      <c r="G123" s="19" t="n"/>
      <c r="H123" s="9" t="n"/>
      <c r="I123" s="9" t="n"/>
      <c r="J123" s="9" t="n"/>
      <c r="K123" s="9" t="n"/>
      <c r="L123">
        <f>IF($A123="","",IF(AND($G123&lt;&gt;"",$G123&lt;TODAY(),$H123&lt;&gt;"Completed"),"⚠ follow-up overdue",""))</f>
        <v/>
      </c>
    </row>
    <row r="124">
      <c r="A124" s="19" t="n"/>
      <c r="B124" s="9" t="n"/>
      <c r="C124" s="9" t="n"/>
      <c r="D124" s="9" t="n"/>
      <c r="E124" s="9" t="n"/>
      <c r="F124" s="9" t="n"/>
      <c r="G124" s="19" t="n"/>
      <c r="H124" s="9" t="n"/>
      <c r="I124" s="9" t="n"/>
      <c r="J124" s="9" t="n"/>
      <c r="K124" s="9" t="n"/>
      <c r="L124">
        <f>IF($A124="","",IF(AND($G124&lt;&gt;"",$G124&lt;TODAY(),$H124&lt;&gt;"Completed"),"⚠ follow-up overdue",""))</f>
        <v/>
      </c>
    </row>
    <row r="125">
      <c r="A125" s="19" t="n"/>
      <c r="B125" s="9" t="n"/>
      <c r="C125" s="9" t="n"/>
      <c r="D125" s="9" t="n"/>
      <c r="E125" s="9" t="n"/>
      <c r="F125" s="9" t="n"/>
      <c r="G125" s="19" t="n"/>
      <c r="H125" s="9" t="n"/>
      <c r="I125" s="9" t="n"/>
      <c r="J125" s="9" t="n"/>
      <c r="K125" s="9" t="n"/>
      <c r="L125">
        <f>IF($A125="","",IF(AND($G125&lt;&gt;"",$G125&lt;TODAY(),$H125&lt;&gt;"Completed"),"⚠ follow-up overdue",""))</f>
        <v/>
      </c>
    </row>
    <row r="126">
      <c r="A126" s="19" t="n"/>
      <c r="B126" s="9" t="n"/>
      <c r="C126" s="9" t="n"/>
      <c r="D126" s="9" t="n"/>
      <c r="E126" s="9" t="n"/>
      <c r="F126" s="9" t="n"/>
      <c r="G126" s="19" t="n"/>
      <c r="H126" s="9" t="n"/>
      <c r="I126" s="9" t="n"/>
      <c r="J126" s="9" t="n"/>
      <c r="K126" s="9" t="n"/>
      <c r="L126">
        <f>IF($A126="","",IF(AND($G126&lt;&gt;"",$G126&lt;TODAY(),$H126&lt;&gt;"Completed"),"⚠ follow-up overdue",""))</f>
        <v/>
      </c>
    </row>
    <row r="127">
      <c r="A127" s="19" t="n"/>
      <c r="B127" s="9" t="n"/>
      <c r="C127" s="9" t="n"/>
      <c r="D127" s="9" t="n"/>
      <c r="E127" s="9" t="n"/>
      <c r="F127" s="9" t="n"/>
      <c r="G127" s="19" t="n"/>
      <c r="H127" s="9" t="n"/>
      <c r="I127" s="9" t="n"/>
      <c r="J127" s="9" t="n"/>
      <c r="K127" s="9" t="n"/>
      <c r="L127">
        <f>IF($A127="","",IF(AND($G127&lt;&gt;"",$G127&lt;TODAY(),$H127&lt;&gt;"Completed"),"⚠ follow-up overdue",""))</f>
        <v/>
      </c>
    </row>
    <row r="128">
      <c r="A128" s="19" t="n"/>
      <c r="B128" s="9" t="n"/>
      <c r="C128" s="9" t="n"/>
      <c r="D128" s="9" t="n"/>
      <c r="E128" s="9" t="n"/>
      <c r="F128" s="9" t="n"/>
      <c r="G128" s="19" t="n"/>
      <c r="H128" s="9" t="n"/>
      <c r="I128" s="9" t="n"/>
      <c r="J128" s="9" t="n"/>
      <c r="K128" s="9" t="n"/>
      <c r="L128">
        <f>IF($A128="","",IF(AND($G128&lt;&gt;"",$G128&lt;TODAY(),$H128&lt;&gt;"Completed"),"⚠ follow-up overdue",""))</f>
        <v/>
      </c>
    </row>
    <row r="129">
      <c r="A129" s="19" t="n"/>
      <c r="B129" s="9" t="n"/>
      <c r="C129" s="9" t="n"/>
      <c r="D129" s="9" t="n"/>
      <c r="E129" s="9" t="n"/>
      <c r="F129" s="9" t="n"/>
      <c r="G129" s="19" t="n"/>
      <c r="H129" s="9" t="n"/>
      <c r="I129" s="9" t="n"/>
      <c r="J129" s="9" t="n"/>
      <c r="K129" s="9" t="n"/>
      <c r="L129">
        <f>IF($A129="","",IF(AND($G129&lt;&gt;"",$G129&lt;TODAY(),$H129&lt;&gt;"Completed"),"⚠ follow-up overdue",""))</f>
        <v/>
      </c>
    </row>
    <row r="130">
      <c r="A130" s="19" t="n"/>
      <c r="B130" s="9" t="n"/>
      <c r="C130" s="9" t="n"/>
      <c r="D130" s="9" t="n"/>
      <c r="E130" s="9" t="n"/>
      <c r="F130" s="9" t="n"/>
      <c r="G130" s="19" t="n"/>
      <c r="H130" s="9" t="n"/>
      <c r="I130" s="9" t="n"/>
      <c r="J130" s="9" t="n"/>
      <c r="K130" s="9" t="n"/>
      <c r="L130">
        <f>IF($A130="","",IF(AND($G130&lt;&gt;"",$G130&lt;TODAY(),$H130&lt;&gt;"Completed"),"⚠ follow-up overdue",""))</f>
        <v/>
      </c>
    </row>
    <row r="131">
      <c r="A131" s="19" t="n"/>
      <c r="B131" s="9" t="n"/>
      <c r="C131" s="9" t="n"/>
      <c r="D131" s="9" t="n"/>
      <c r="E131" s="9" t="n"/>
      <c r="F131" s="9" t="n"/>
      <c r="G131" s="19" t="n"/>
      <c r="H131" s="9" t="n"/>
      <c r="I131" s="9" t="n"/>
      <c r="J131" s="9" t="n"/>
      <c r="K131" s="9" t="n"/>
      <c r="L131">
        <f>IF($A131="","",IF(AND($G131&lt;&gt;"",$G131&lt;TODAY(),$H131&lt;&gt;"Completed"),"⚠ follow-up overdue",""))</f>
        <v/>
      </c>
    </row>
    <row r="132">
      <c r="A132" s="19" t="n"/>
      <c r="B132" s="9" t="n"/>
      <c r="C132" s="9" t="n"/>
      <c r="D132" s="9" t="n"/>
      <c r="E132" s="9" t="n"/>
      <c r="F132" s="9" t="n"/>
      <c r="G132" s="19" t="n"/>
      <c r="H132" s="9" t="n"/>
      <c r="I132" s="9" t="n"/>
      <c r="J132" s="9" t="n"/>
      <c r="K132" s="9" t="n"/>
      <c r="L132">
        <f>IF($A132="","",IF(AND($G132&lt;&gt;"",$G132&lt;TODAY(),$H132&lt;&gt;"Completed"),"⚠ follow-up overdue",""))</f>
        <v/>
      </c>
    </row>
    <row r="133">
      <c r="A133" s="19" t="n"/>
      <c r="B133" s="9" t="n"/>
      <c r="C133" s="9" t="n"/>
      <c r="D133" s="9" t="n"/>
      <c r="E133" s="9" t="n"/>
      <c r="F133" s="9" t="n"/>
      <c r="G133" s="19" t="n"/>
      <c r="H133" s="9" t="n"/>
      <c r="I133" s="9" t="n"/>
      <c r="J133" s="9" t="n"/>
      <c r="K133" s="9" t="n"/>
      <c r="L133">
        <f>IF($A133="","",IF(AND($G133&lt;&gt;"",$G133&lt;TODAY(),$H133&lt;&gt;"Completed"),"⚠ follow-up overdue",""))</f>
        <v/>
      </c>
    </row>
    <row r="134">
      <c r="A134" s="19" t="n"/>
      <c r="B134" s="9" t="n"/>
      <c r="C134" s="9" t="n"/>
      <c r="D134" s="9" t="n"/>
      <c r="E134" s="9" t="n"/>
      <c r="F134" s="9" t="n"/>
      <c r="G134" s="19" t="n"/>
      <c r="H134" s="9" t="n"/>
      <c r="I134" s="9" t="n"/>
      <c r="J134" s="9" t="n"/>
      <c r="K134" s="9" t="n"/>
      <c r="L134">
        <f>IF($A134="","",IF(AND($G134&lt;&gt;"",$G134&lt;TODAY(),$H134&lt;&gt;"Completed"),"⚠ follow-up overdue",""))</f>
        <v/>
      </c>
    </row>
    <row r="135">
      <c r="A135" s="19" t="n"/>
      <c r="B135" s="9" t="n"/>
      <c r="C135" s="9" t="n"/>
      <c r="D135" s="9" t="n"/>
      <c r="E135" s="9" t="n"/>
      <c r="F135" s="9" t="n"/>
      <c r="G135" s="19" t="n"/>
      <c r="H135" s="9" t="n"/>
      <c r="I135" s="9" t="n"/>
      <c r="J135" s="9" t="n"/>
      <c r="K135" s="9" t="n"/>
      <c r="L135">
        <f>IF($A135="","",IF(AND($G135&lt;&gt;"",$G135&lt;TODAY(),$H135&lt;&gt;"Completed"),"⚠ follow-up overdue",""))</f>
        <v/>
      </c>
    </row>
    <row r="136">
      <c r="A136" s="19" t="n"/>
      <c r="B136" s="9" t="n"/>
      <c r="C136" s="9" t="n"/>
      <c r="D136" s="9" t="n"/>
      <c r="E136" s="9" t="n"/>
      <c r="F136" s="9" t="n"/>
      <c r="G136" s="19" t="n"/>
      <c r="H136" s="9" t="n"/>
      <c r="I136" s="9" t="n"/>
      <c r="J136" s="9" t="n"/>
      <c r="K136" s="9" t="n"/>
      <c r="L136">
        <f>IF($A136="","",IF(AND($G136&lt;&gt;"",$G136&lt;TODAY(),$H136&lt;&gt;"Completed"),"⚠ follow-up overdue",""))</f>
        <v/>
      </c>
    </row>
    <row r="137">
      <c r="A137" s="19" t="n"/>
      <c r="B137" s="9" t="n"/>
      <c r="C137" s="9" t="n"/>
      <c r="D137" s="9" t="n"/>
      <c r="E137" s="9" t="n"/>
      <c r="F137" s="9" t="n"/>
      <c r="G137" s="19" t="n"/>
      <c r="H137" s="9" t="n"/>
      <c r="I137" s="9" t="n"/>
      <c r="J137" s="9" t="n"/>
      <c r="K137" s="9" t="n"/>
      <c r="L137">
        <f>IF($A137="","",IF(AND($G137&lt;&gt;"",$G137&lt;TODAY(),$H137&lt;&gt;"Completed"),"⚠ follow-up overdue",""))</f>
        <v/>
      </c>
    </row>
    <row r="138">
      <c r="A138" s="19" t="n"/>
      <c r="B138" s="9" t="n"/>
      <c r="C138" s="9" t="n"/>
      <c r="D138" s="9" t="n"/>
      <c r="E138" s="9" t="n"/>
      <c r="F138" s="9" t="n"/>
      <c r="G138" s="19" t="n"/>
      <c r="H138" s="9" t="n"/>
      <c r="I138" s="9" t="n"/>
      <c r="J138" s="9" t="n"/>
      <c r="K138" s="9" t="n"/>
      <c r="L138">
        <f>IF($A138="","",IF(AND($G138&lt;&gt;"",$G138&lt;TODAY(),$H138&lt;&gt;"Completed"),"⚠ follow-up overdue",""))</f>
        <v/>
      </c>
    </row>
    <row r="139">
      <c r="A139" s="19" t="n"/>
      <c r="B139" s="9" t="n"/>
      <c r="C139" s="9" t="n"/>
      <c r="D139" s="9" t="n"/>
      <c r="E139" s="9" t="n"/>
      <c r="F139" s="9" t="n"/>
      <c r="G139" s="19" t="n"/>
      <c r="H139" s="9" t="n"/>
      <c r="I139" s="9" t="n"/>
      <c r="J139" s="9" t="n"/>
      <c r="K139" s="9" t="n"/>
      <c r="L139">
        <f>IF($A139="","",IF(AND($G139&lt;&gt;"",$G139&lt;TODAY(),$H139&lt;&gt;"Completed"),"⚠ follow-up overdue",""))</f>
        <v/>
      </c>
    </row>
    <row r="140">
      <c r="A140" s="19" t="n"/>
      <c r="B140" s="9" t="n"/>
      <c r="C140" s="9" t="n"/>
      <c r="D140" s="9" t="n"/>
      <c r="E140" s="9" t="n"/>
      <c r="F140" s="9" t="n"/>
      <c r="G140" s="19" t="n"/>
      <c r="H140" s="9" t="n"/>
      <c r="I140" s="9" t="n"/>
      <c r="J140" s="9" t="n"/>
      <c r="K140" s="9" t="n"/>
      <c r="L140">
        <f>IF($A140="","",IF(AND($G140&lt;&gt;"",$G140&lt;TODAY(),$H140&lt;&gt;"Completed"),"⚠ follow-up overdue",""))</f>
        <v/>
      </c>
    </row>
    <row r="141">
      <c r="A141" s="19" t="n"/>
      <c r="B141" s="9" t="n"/>
      <c r="C141" s="9" t="n"/>
      <c r="D141" s="9" t="n"/>
      <c r="E141" s="9" t="n"/>
      <c r="F141" s="9" t="n"/>
      <c r="G141" s="19" t="n"/>
      <c r="H141" s="9" t="n"/>
      <c r="I141" s="9" t="n"/>
      <c r="J141" s="9" t="n"/>
      <c r="K141" s="9" t="n"/>
      <c r="L141">
        <f>IF($A141="","",IF(AND($G141&lt;&gt;"",$G141&lt;TODAY(),$H141&lt;&gt;"Completed"),"⚠ follow-up overdue",""))</f>
        <v/>
      </c>
    </row>
    <row r="142">
      <c r="A142" s="19" t="n"/>
      <c r="B142" s="9" t="n"/>
      <c r="C142" s="9" t="n"/>
      <c r="D142" s="9" t="n"/>
      <c r="E142" s="9" t="n"/>
      <c r="F142" s="9" t="n"/>
      <c r="G142" s="19" t="n"/>
      <c r="H142" s="9" t="n"/>
      <c r="I142" s="9" t="n"/>
      <c r="J142" s="9" t="n"/>
      <c r="K142" s="9" t="n"/>
      <c r="L142">
        <f>IF($A142="","",IF(AND($G142&lt;&gt;"",$G142&lt;TODAY(),$H142&lt;&gt;"Completed"),"⚠ follow-up overdue",""))</f>
        <v/>
      </c>
    </row>
    <row r="143">
      <c r="A143" s="19" t="n"/>
      <c r="B143" s="9" t="n"/>
      <c r="C143" s="9" t="n"/>
      <c r="D143" s="9" t="n"/>
      <c r="E143" s="9" t="n"/>
      <c r="F143" s="9" t="n"/>
      <c r="G143" s="19" t="n"/>
      <c r="H143" s="9" t="n"/>
      <c r="I143" s="9" t="n"/>
      <c r="J143" s="9" t="n"/>
      <c r="K143" s="9" t="n"/>
      <c r="L143">
        <f>IF($A143="","",IF(AND($G143&lt;&gt;"",$G143&lt;TODAY(),$H143&lt;&gt;"Completed"),"⚠ follow-up overdue",""))</f>
        <v/>
      </c>
    </row>
    <row r="144">
      <c r="A144" s="19" t="n"/>
      <c r="B144" s="9" t="n"/>
      <c r="C144" s="9" t="n"/>
      <c r="D144" s="9" t="n"/>
      <c r="E144" s="9" t="n"/>
      <c r="F144" s="9" t="n"/>
      <c r="G144" s="19" t="n"/>
      <c r="H144" s="9" t="n"/>
      <c r="I144" s="9" t="n"/>
      <c r="J144" s="9" t="n"/>
      <c r="K144" s="9" t="n"/>
      <c r="L144">
        <f>IF($A144="","",IF(AND($G144&lt;&gt;"",$G144&lt;TODAY(),$H144&lt;&gt;"Completed"),"⚠ follow-up overdue",""))</f>
        <v/>
      </c>
    </row>
    <row r="145">
      <c r="A145" s="19" t="n"/>
      <c r="B145" s="9" t="n"/>
      <c r="C145" s="9" t="n"/>
      <c r="D145" s="9" t="n"/>
      <c r="E145" s="9" t="n"/>
      <c r="F145" s="9" t="n"/>
      <c r="G145" s="19" t="n"/>
      <c r="H145" s="9" t="n"/>
      <c r="I145" s="9" t="n"/>
      <c r="J145" s="9" t="n"/>
      <c r="K145" s="9" t="n"/>
      <c r="L145">
        <f>IF($A145="","",IF(AND($G145&lt;&gt;"",$G145&lt;TODAY(),$H145&lt;&gt;"Completed"),"⚠ follow-up overdue",""))</f>
        <v/>
      </c>
    </row>
    <row r="146">
      <c r="A146" s="19" t="n"/>
      <c r="B146" s="9" t="n"/>
      <c r="C146" s="9" t="n"/>
      <c r="D146" s="9" t="n"/>
      <c r="E146" s="9" t="n"/>
      <c r="F146" s="9" t="n"/>
      <c r="G146" s="19" t="n"/>
      <c r="H146" s="9" t="n"/>
      <c r="I146" s="9" t="n"/>
      <c r="J146" s="9" t="n"/>
      <c r="K146" s="9" t="n"/>
      <c r="L146">
        <f>IF($A146="","",IF(AND($G146&lt;&gt;"",$G146&lt;TODAY(),$H146&lt;&gt;"Completed"),"⚠ follow-up overdue",""))</f>
        <v/>
      </c>
    </row>
    <row r="147">
      <c r="A147" s="19" t="n"/>
      <c r="B147" s="9" t="n"/>
      <c r="C147" s="9" t="n"/>
      <c r="D147" s="9" t="n"/>
      <c r="E147" s="9" t="n"/>
      <c r="F147" s="9" t="n"/>
      <c r="G147" s="19" t="n"/>
      <c r="H147" s="9" t="n"/>
      <c r="I147" s="9" t="n"/>
      <c r="J147" s="9" t="n"/>
      <c r="K147" s="9" t="n"/>
      <c r="L147">
        <f>IF($A147="","",IF(AND($G147&lt;&gt;"",$G147&lt;TODAY(),$H147&lt;&gt;"Completed"),"⚠ follow-up overdue",""))</f>
        <v/>
      </c>
    </row>
    <row r="148">
      <c r="A148" s="19" t="n"/>
      <c r="B148" s="9" t="n"/>
      <c r="C148" s="9" t="n"/>
      <c r="D148" s="9" t="n"/>
      <c r="E148" s="9" t="n"/>
      <c r="F148" s="9" t="n"/>
      <c r="G148" s="19" t="n"/>
      <c r="H148" s="9" t="n"/>
      <c r="I148" s="9" t="n"/>
      <c r="J148" s="9" t="n"/>
      <c r="K148" s="9" t="n"/>
      <c r="L148">
        <f>IF($A148="","",IF(AND($G148&lt;&gt;"",$G148&lt;TODAY(),$H148&lt;&gt;"Completed"),"⚠ follow-up overdue",""))</f>
        <v/>
      </c>
    </row>
    <row r="149">
      <c r="A149" s="19" t="n"/>
      <c r="B149" s="9" t="n"/>
      <c r="C149" s="9" t="n"/>
      <c r="D149" s="9" t="n"/>
      <c r="E149" s="9" t="n"/>
      <c r="F149" s="9" t="n"/>
      <c r="G149" s="19" t="n"/>
      <c r="H149" s="9" t="n"/>
      <c r="I149" s="9" t="n"/>
      <c r="J149" s="9" t="n"/>
      <c r="K149" s="9" t="n"/>
      <c r="L149">
        <f>IF($A149="","",IF(AND($G149&lt;&gt;"",$G149&lt;TODAY(),$H149&lt;&gt;"Completed"),"⚠ follow-up overdue",""))</f>
        <v/>
      </c>
    </row>
    <row r="150">
      <c r="A150" s="19" t="n"/>
      <c r="B150" s="9" t="n"/>
      <c r="C150" s="9" t="n"/>
      <c r="D150" s="9" t="n"/>
      <c r="E150" s="9" t="n"/>
      <c r="F150" s="9" t="n"/>
      <c r="G150" s="19" t="n"/>
      <c r="H150" s="9" t="n"/>
      <c r="I150" s="9" t="n"/>
      <c r="J150" s="9" t="n"/>
      <c r="K150" s="9" t="n"/>
      <c r="L150">
        <f>IF($A150="","",IF(AND($G150&lt;&gt;"",$G150&lt;TODAY(),$H150&lt;&gt;"Completed"),"⚠ follow-up overdue",""))</f>
        <v/>
      </c>
    </row>
    <row r="151">
      <c r="A151" s="19" t="n"/>
      <c r="B151" s="9" t="n"/>
      <c r="C151" s="9" t="n"/>
      <c r="D151" s="9" t="n"/>
      <c r="E151" s="9" t="n"/>
      <c r="F151" s="9" t="n"/>
      <c r="G151" s="19" t="n"/>
      <c r="H151" s="9" t="n"/>
      <c r="I151" s="9" t="n"/>
      <c r="J151" s="9" t="n"/>
      <c r="K151" s="9" t="n"/>
      <c r="L151">
        <f>IF($A151="","",IF(AND($G151&lt;&gt;"",$G151&lt;TODAY(),$H151&lt;&gt;"Completed"),"⚠ follow-up overdue",""))</f>
        <v/>
      </c>
    </row>
    <row r="152">
      <c r="A152" s="19" t="n"/>
      <c r="B152" s="9" t="n"/>
      <c r="C152" s="9" t="n"/>
      <c r="D152" s="9" t="n"/>
      <c r="E152" s="9" t="n"/>
      <c r="F152" s="9" t="n"/>
      <c r="G152" s="19" t="n"/>
      <c r="H152" s="9" t="n"/>
      <c r="I152" s="9" t="n"/>
      <c r="J152" s="9" t="n"/>
      <c r="K152" s="9" t="n"/>
      <c r="L152">
        <f>IF($A152="","",IF(AND($G152&lt;&gt;"",$G152&lt;TODAY(),$H152&lt;&gt;"Completed"),"⚠ follow-up overdue",""))</f>
        <v/>
      </c>
    </row>
    <row r="153">
      <c r="A153" s="19" t="n"/>
      <c r="B153" s="9" t="n"/>
      <c r="C153" s="9" t="n"/>
      <c r="D153" s="9" t="n"/>
      <c r="E153" s="9" t="n"/>
      <c r="F153" s="9" t="n"/>
      <c r="G153" s="19" t="n"/>
      <c r="H153" s="9" t="n"/>
      <c r="I153" s="9" t="n"/>
      <c r="J153" s="9" t="n"/>
      <c r="K153" s="9" t="n"/>
      <c r="L153">
        <f>IF($A153="","",IF(AND($G153&lt;&gt;"",$G153&lt;TODAY(),$H153&lt;&gt;"Completed"),"⚠ follow-up overdue",""))</f>
        <v/>
      </c>
    </row>
    <row r="154">
      <c r="A154" s="19" t="n"/>
      <c r="B154" s="9" t="n"/>
      <c r="C154" s="9" t="n"/>
      <c r="D154" s="9" t="n"/>
      <c r="E154" s="9" t="n"/>
      <c r="F154" s="9" t="n"/>
      <c r="G154" s="19" t="n"/>
      <c r="H154" s="9" t="n"/>
      <c r="I154" s="9" t="n"/>
      <c r="J154" s="9" t="n"/>
      <c r="K154" s="9" t="n"/>
      <c r="L154">
        <f>IF($A154="","",IF(AND($G154&lt;&gt;"",$G154&lt;TODAY(),$H154&lt;&gt;"Completed"),"⚠ follow-up overdue",""))</f>
        <v/>
      </c>
    </row>
    <row r="155">
      <c r="A155" s="19" t="n"/>
      <c r="B155" s="9" t="n"/>
      <c r="C155" s="9" t="n"/>
      <c r="D155" s="9" t="n"/>
      <c r="E155" s="9" t="n"/>
      <c r="F155" s="9" t="n"/>
      <c r="G155" s="19" t="n"/>
      <c r="H155" s="9" t="n"/>
      <c r="I155" s="9" t="n"/>
      <c r="J155" s="9" t="n"/>
      <c r="K155" s="9" t="n"/>
      <c r="L155">
        <f>IF($A155="","",IF(AND($G155&lt;&gt;"",$G155&lt;TODAY(),$H155&lt;&gt;"Completed"),"⚠ follow-up overdue",""))</f>
        <v/>
      </c>
    </row>
    <row r="156">
      <c r="A156" s="19" t="n"/>
      <c r="B156" s="9" t="n"/>
      <c r="C156" s="9" t="n"/>
      <c r="D156" s="9" t="n"/>
      <c r="E156" s="9" t="n"/>
      <c r="F156" s="9" t="n"/>
      <c r="G156" s="19" t="n"/>
      <c r="H156" s="9" t="n"/>
      <c r="I156" s="9" t="n"/>
      <c r="J156" s="9" t="n"/>
      <c r="K156" s="9" t="n"/>
      <c r="L156">
        <f>IF($A156="","",IF(AND($G156&lt;&gt;"",$G156&lt;TODAY(),$H156&lt;&gt;"Completed"),"⚠ follow-up overdue",""))</f>
        <v/>
      </c>
    </row>
    <row r="157">
      <c r="A157" s="19" t="n"/>
      <c r="B157" s="9" t="n"/>
      <c r="C157" s="9" t="n"/>
      <c r="D157" s="9" t="n"/>
      <c r="E157" s="9" t="n"/>
      <c r="F157" s="9" t="n"/>
      <c r="G157" s="19" t="n"/>
      <c r="H157" s="9" t="n"/>
      <c r="I157" s="9" t="n"/>
      <c r="J157" s="9" t="n"/>
      <c r="K157" s="9" t="n"/>
      <c r="L157">
        <f>IF($A157="","",IF(AND($G157&lt;&gt;"",$G157&lt;TODAY(),$H157&lt;&gt;"Completed"),"⚠ follow-up overdue",""))</f>
        <v/>
      </c>
    </row>
    <row r="158">
      <c r="A158" s="19" t="n"/>
      <c r="B158" s="9" t="n"/>
      <c r="C158" s="9" t="n"/>
      <c r="D158" s="9" t="n"/>
      <c r="E158" s="9" t="n"/>
      <c r="F158" s="9" t="n"/>
      <c r="G158" s="19" t="n"/>
      <c r="H158" s="9" t="n"/>
      <c r="I158" s="9" t="n"/>
      <c r="J158" s="9" t="n"/>
      <c r="K158" s="9" t="n"/>
      <c r="L158">
        <f>IF($A158="","",IF(AND($G158&lt;&gt;"",$G158&lt;TODAY(),$H158&lt;&gt;"Completed"),"⚠ follow-up overdue",""))</f>
        <v/>
      </c>
    </row>
    <row r="159">
      <c r="A159" s="19" t="n"/>
      <c r="B159" s="9" t="n"/>
      <c r="C159" s="9" t="n"/>
      <c r="D159" s="9" t="n"/>
      <c r="E159" s="9" t="n"/>
      <c r="F159" s="9" t="n"/>
      <c r="G159" s="19" t="n"/>
      <c r="H159" s="9" t="n"/>
      <c r="I159" s="9" t="n"/>
      <c r="J159" s="9" t="n"/>
      <c r="K159" s="9" t="n"/>
      <c r="L159">
        <f>IF($A159="","",IF(AND($G159&lt;&gt;"",$G159&lt;TODAY(),$H159&lt;&gt;"Completed"),"⚠ follow-up overdue",""))</f>
        <v/>
      </c>
    </row>
    <row r="160">
      <c r="A160" s="19" t="n"/>
      <c r="B160" s="9" t="n"/>
      <c r="C160" s="9" t="n"/>
      <c r="D160" s="9" t="n"/>
      <c r="E160" s="9" t="n"/>
      <c r="F160" s="9" t="n"/>
      <c r="G160" s="19" t="n"/>
      <c r="H160" s="9" t="n"/>
      <c r="I160" s="9" t="n"/>
      <c r="J160" s="9" t="n"/>
      <c r="K160" s="9" t="n"/>
      <c r="L160">
        <f>IF($A160="","",IF(AND($G160&lt;&gt;"",$G160&lt;TODAY(),$H160&lt;&gt;"Completed"),"⚠ follow-up overdue",""))</f>
        <v/>
      </c>
    </row>
    <row r="161">
      <c r="A161" s="19" t="n"/>
      <c r="B161" s="9" t="n"/>
      <c r="C161" s="9" t="n"/>
      <c r="D161" s="9" t="n"/>
      <c r="E161" s="9" t="n"/>
      <c r="F161" s="9" t="n"/>
      <c r="G161" s="19" t="n"/>
      <c r="H161" s="9" t="n"/>
      <c r="I161" s="9" t="n"/>
      <c r="J161" s="9" t="n"/>
      <c r="K161" s="9" t="n"/>
      <c r="L161">
        <f>IF($A161="","",IF(AND($G161&lt;&gt;"",$G161&lt;TODAY(),$H161&lt;&gt;"Completed"),"⚠ follow-up overdue",""))</f>
        <v/>
      </c>
    </row>
    <row r="162">
      <c r="A162" s="19" t="n"/>
      <c r="B162" s="9" t="n"/>
      <c r="C162" s="9" t="n"/>
      <c r="D162" s="9" t="n"/>
      <c r="E162" s="9" t="n"/>
      <c r="F162" s="9" t="n"/>
      <c r="G162" s="19" t="n"/>
      <c r="H162" s="9" t="n"/>
      <c r="I162" s="9" t="n"/>
      <c r="J162" s="9" t="n"/>
      <c r="K162" s="9" t="n"/>
      <c r="L162">
        <f>IF($A162="","",IF(AND($G162&lt;&gt;"",$G162&lt;TODAY(),$H162&lt;&gt;"Completed"),"⚠ follow-up overdue",""))</f>
        <v/>
      </c>
    </row>
    <row r="163">
      <c r="A163" s="19" t="n"/>
      <c r="B163" s="9" t="n"/>
      <c r="C163" s="9" t="n"/>
      <c r="D163" s="9" t="n"/>
      <c r="E163" s="9" t="n"/>
      <c r="F163" s="9" t="n"/>
      <c r="G163" s="19" t="n"/>
      <c r="H163" s="9" t="n"/>
      <c r="I163" s="9" t="n"/>
      <c r="J163" s="9" t="n"/>
      <c r="K163" s="9" t="n"/>
      <c r="L163">
        <f>IF($A163="","",IF(AND($G163&lt;&gt;"",$G163&lt;TODAY(),$H163&lt;&gt;"Completed"),"⚠ follow-up overdue",""))</f>
        <v/>
      </c>
    </row>
    <row r="164">
      <c r="A164" s="19" t="n"/>
      <c r="B164" s="9" t="n"/>
      <c r="C164" s="9" t="n"/>
      <c r="D164" s="9" t="n"/>
      <c r="E164" s="9" t="n"/>
      <c r="F164" s="9" t="n"/>
      <c r="G164" s="19" t="n"/>
      <c r="H164" s="9" t="n"/>
      <c r="I164" s="9" t="n"/>
      <c r="J164" s="9" t="n"/>
      <c r="K164" s="9" t="n"/>
      <c r="L164">
        <f>IF($A164="","",IF(AND($G164&lt;&gt;"",$G164&lt;TODAY(),$H164&lt;&gt;"Completed"),"⚠ follow-up overdue",""))</f>
        <v/>
      </c>
    </row>
    <row r="165">
      <c r="A165" s="19" t="n"/>
      <c r="B165" s="9" t="n"/>
      <c r="C165" s="9" t="n"/>
      <c r="D165" s="9" t="n"/>
      <c r="E165" s="9" t="n"/>
      <c r="F165" s="9" t="n"/>
      <c r="G165" s="19" t="n"/>
      <c r="H165" s="9" t="n"/>
      <c r="I165" s="9" t="n"/>
      <c r="J165" s="9" t="n"/>
      <c r="K165" s="9" t="n"/>
      <c r="L165">
        <f>IF($A165="","",IF(AND($G165&lt;&gt;"",$G165&lt;TODAY(),$H165&lt;&gt;"Completed"),"⚠ follow-up overdue",""))</f>
        <v/>
      </c>
    </row>
    <row r="166">
      <c r="A166" s="19" t="n"/>
      <c r="B166" s="9" t="n"/>
      <c r="C166" s="9" t="n"/>
      <c r="D166" s="9" t="n"/>
      <c r="E166" s="9" t="n"/>
      <c r="F166" s="9" t="n"/>
      <c r="G166" s="19" t="n"/>
      <c r="H166" s="9" t="n"/>
      <c r="I166" s="9" t="n"/>
      <c r="J166" s="9" t="n"/>
      <c r="K166" s="9" t="n"/>
      <c r="L166">
        <f>IF($A166="","",IF(AND($G166&lt;&gt;"",$G166&lt;TODAY(),$H166&lt;&gt;"Completed"),"⚠ follow-up overdue",""))</f>
        <v/>
      </c>
    </row>
    <row r="167">
      <c r="A167" s="19" t="n"/>
      <c r="B167" s="9" t="n"/>
      <c r="C167" s="9" t="n"/>
      <c r="D167" s="9" t="n"/>
      <c r="E167" s="9" t="n"/>
      <c r="F167" s="9" t="n"/>
      <c r="G167" s="19" t="n"/>
      <c r="H167" s="9" t="n"/>
      <c r="I167" s="9" t="n"/>
      <c r="J167" s="9" t="n"/>
      <c r="K167" s="9" t="n"/>
      <c r="L167">
        <f>IF($A167="","",IF(AND($G167&lt;&gt;"",$G167&lt;TODAY(),$H167&lt;&gt;"Completed"),"⚠ follow-up overdue",""))</f>
        <v/>
      </c>
    </row>
    <row r="168">
      <c r="A168" s="19" t="n"/>
      <c r="B168" s="9" t="n"/>
      <c r="C168" s="9" t="n"/>
      <c r="D168" s="9" t="n"/>
      <c r="E168" s="9" t="n"/>
      <c r="F168" s="9" t="n"/>
      <c r="G168" s="19" t="n"/>
      <c r="H168" s="9" t="n"/>
      <c r="I168" s="9" t="n"/>
      <c r="J168" s="9" t="n"/>
      <c r="K168" s="9" t="n"/>
      <c r="L168">
        <f>IF($A168="","",IF(AND($G168&lt;&gt;"",$G168&lt;TODAY(),$H168&lt;&gt;"Completed"),"⚠ follow-up overdue",""))</f>
        <v/>
      </c>
    </row>
    <row r="169">
      <c r="A169" s="19" t="n"/>
      <c r="B169" s="9" t="n"/>
      <c r="C169" s="9" t="n"/>
      <c r="D169" s="9" t="n"/>
      <c r="E169" s="9" t="n"/>
      <c r="F169" s="9" t="n"/>
      <c r="G169" s="19" t="n"/>
      <c r="H169" s="9" t="n"/>
      <c r="I169" s="9" t="n"/>
      <c r="J169" s="9" t="n"/>
      <c r="K169" s="9" t="n"/>
      <c r="L169">
        <f>IF($A169="","",IF(AND($G169&lt;&gt;"",$G169&lt;TODAY(),$H169&lt;&gt;"Completed"),"⚠ follow-up overdue",""))</f>
        <v/>
      </c>
    </row>
    <row r="170">
      <c r="A170" s="19" t="n"/>
      <c r="B170" s="9" t="n"/>
      <c r="C170" s="9" t="n"/>
      <c r="D170" s="9" t="n"/>
      <c r="E170" s="9" t="n"/>
      <c r="F170" s="9" t="n"/>
      <c r="G170" s="19" t="n"/>
      <c r="H170" s="9" t="n"/>
      <c r="I170" s="9" t="n"/>
      <c r="J170" s="9" t="n"/>
      <c r="K170" s="9" t="n"/>
      <c r="L170">
        <f>IF($A170="","",IF(AND($G170&lt;&gt;"",$G170&lt;TODAY(),$H170&lt;&gt;"Completed"),"⚠ follow-up overdue",""))</f>
        <v/>
      </c>
    </row>
    <row r="171">
      <c r="A171" s="19" t="n"/>
      <c r="B171" s="9" t="n"/>
      <c r="C171" s="9" t="n"/>
      <c r="D171" s="9" t="n"/>
      <c r="E171" s="9" t="n"/>
      <c r="F171" s="9" t="n"/>
      <c r="G171" s="19" t="n"/>
      <c r="H171" s="9" t="n"/>
      <c r="I171" s="9" t="n"/>
      <c r="J171" s="9" t="n"/>
      <c r="K171" s="9" t="n"/>
      <c r="L171">
        <f>IF($A171="","",IF(AND($G171&lt;&gt;"",$G171&lt;TODAY(),$H171&lt;&gt;"Completed"),"⚠ follow-up overdue",""))</f>
        <v/>
      </c>
    </row>
    <row r="172">
      <c r="A172" s="19" t="n"/>
      <c r="B172" s="9" t="n"/>
      <c r="C172" s="9" t="n"/>
      <c r="D172" s="9" t="n"/>
      <c r="E172" s="9" t="n"/>
      <c r="F172" s="9" t="n"/>
      <c r="G172" s="19" t="n"/>
      <c r="H172" s="9" t="n"/>
      <c r="I172" s="9" t="n"/>
      <c r="J172" s="9" t="n"/>
      <c r="K172" s="9" t="n"/>
      <c r="L172">
        <f>IF($A172="","",IF(AND($G172&lt;&gt;"",$G172&lt;TODAY(),$H172&lt;&gt;"Completed"),"⚠ follow-up overdue",""))</f>
        <v/>
      </c>
    </row>
    <row r="173">
      <c r="A173" s="19" t="n"/>
      <c r="B173" s="9" t="n"/>
      <c r="C173" s="9" t="n"/>
      <c r="D173" s="9" t="n"/>
      <c r="E173" s="9" t="n"/>
      <c r="F173" s="9" t="n"/>
      <c r="G173" s="19" t="n"/>
      <c r="H173" s="9" t="n"/>
      <c r="I173" s="9" t="n"/>
      <c r="J173" s="9" t="n"/>
      <c r="K173" s="9" t="n"/>
      <c r="L173">
        <f>IF($A173="","",IF(AND($G173&lt;&gt;"",$G173&lt;TODAY(),$H173&lt;&gt;"Completed"),"⚠ follow-up overdue",""))</f>
        <v/>
      </c>
    </row>
    <row r="174">
      <c r="A174" s="19" t="n"/>
      <c r="B174" s="9" t="n"/>
      <c r="C174" s="9" t="n"/>
      <c r="D174" s="9" t="n"/>
      <c r="E174" s="9" t="n"/>
      <c r="F174" s="9" t="n"/>
      <c r="G174" s="19" t="n"/>
      <c r="H174" s="9" t="n"/>
      <c r="I174" s="9" t="n"/>
      <c r="J174" s="9" t="n"/>
      <c r="K174" s="9" t="n"/>
      <c r="L174">
        <f>IF($A174="","",IF(AND($G174&lt;&gt;"",$G174&lt;TODAY(),$H174&lt;&gt;"Completed"),"⚠ follow-up overdue",""))</f>
        <v/>
      </c>
    </row>
    <row r="175">
      <c r="A175" s="19" t="n"/>
      <c r="B175" s="9" t="n"/>
      <c r="C175" s="9" t="n"/>
      <c r="D175" s="9" t="n"/>
      <c r="E175" s="9" t="n"/>
      <c r="F175" s="9" t="n"/>
      <c r="G175" s="19" t="n"/>
      <c r="H175" s="9" t="n"/>
      <c r="I175" s="9" t="n"/>
      <c r="J175" s="9" t="n"/>
      <c r="K175" s="9" t="n"/>
      <c r="L175">
        <f>IF($A175="","",IF(AND($G175&lt;&gt;"",$G175&lt;TODAY(),$H175&lt;&gt;"Completed"),"⚠ follow-up overdue",""))</f>
        <v/>
      </c>
    </row>
    <row r="176">
      <c r="A176" s="19" t="n"/>
      <c r="B176" s="9" t="n"/>
      <c r="C176" s="9" t="n"/>
      <c r="D176" s="9" t="n"/>
      <c r="E176" s="9" t="n"/>
      <c r="F176" s="9" t="n"/>
      <c r="G176" s="19" t="n"/>
      <c r="H176" s="9" t="n"/>
      <c r="I176" s="9" t="n"/>
      <c r="J176" s="9" t="n"/>
      <c r="K176" s="9" t="n"/>
      <c r="L176">
        <f>IF($A176="","",IF(AND($G176&lt;&gt;"",$G176&lt;TODAY(),$H176&lt;&gt;"Completed"),"⚠ follow-up overdue",""))</f>
        <v/>
      </c>
    </row>
    <row r="177">
      <c r="A177" s="19" t="n"/>
      <c r="B177" s="9" t="n"/>
      <c r="C177" s="9" t="n"/>
      <c r="D177" s="9" t="n"/>
      <c r="E177" s="9" t="n"/>
      <c r="F177" s="9" t="n"/>
      <c r="G177" s="19" t="n"/>
      <c r="H177" s="9" t="n"/>
      <c r="I177" s="9" t="n"/>
      <c r="J177" s="9" t="n"/>
      <c r="K177" s="9" t="n"/>
      <c r="L177">
        <f>IF($A177="","",IF(AND($G177&lt;&gt;"",$G177&lt;TODAY(),$H177&lt;&gt;"Completed"),"⚠ follow-up overdue",""))</f>
        <v/>
      </c>
    </row>
    <row r="178">
      <c r="A178" s="19" t="n"/>
      <c r="B178" s="9" t="n"/>
      <c r="C178" s="9" t="n"/>
      <c r="D178" s="9" t="n"/>
      <c r="E178" s="9" t="n"/>
      <c r="F178" s="9" t="n"/>
      <c r="G178" s="19" t="n"/>
      <c r="H178" s="9" t="n"/>
      <c r="I178" s="9" t="n"/>
      <c r="J178" s="9" t="n"/>
      <c r="K178" s="9" t="n"/>
      <c r="L178">
        <f>IF($A178="","",IF(AND($G178&lt;&gt;"",$G178&lt;TODAY(),$H178&lt;&gt;"Completed"),"⚠ follow-up overdue",""))</f>
        <v/>
      </c>
    </row>
    <row r="179">
      <c r="A179" s="19" t="n"/>
      <c r="B179" s="9" t="n"/>
      <c r="C179" s="9" t="n"/>
      <c r="D179" s="9" t="n"/>
      <c r="E179" s="9" t="n"/>
      <c r="F179" s="9" t="n"/>
      <c r="G179" s="19" t="n"/>
      <c r="H179" s="9" t="n"/>
      <c r="I179" s="9" t="n"/>
      <c r="J179" s="9" t="n"/>
      <c r="K179" s="9" t="n"/>
      <c r="L179">
        <f>IF($A179="","",IF(AND($G179&lt;&gt;"",$G179&lt;TODAY(),$H179&lt;&gt;"Completed"),"⚠ follow-up overdue",""))</f>
        <v/>
      </c>
    </row>
    <row r="180">
      <c r="A180" s="19" t="n"/>
      <c r="B180" s="9" t="n"/>
      <c r="C180" s="9" t="n"/>
      <c r="D180" s="9" t="n"/>
      <c r="E180" s="9" t="n"/>
      <c r="F180" s="9" t="n"/>
      <c r="G180" s="19" t="n"/>
      <c r="H180" s="9" t="n"/>
      <c r="I180" s="9" t="n"/>
      <c r="J180" s="9" t="n"/>
      <c r="K180" s="9" t="n"/>
      <c r="L180">
        <f>IF($A180="","",IF(AND($G180&lt;&gt;"",$G180&lt;TODAY(),$H180&lt;&gt;"Completed"),"⚠ follow-up overdue",""))</f>
        <v/>
      </c>
    </row>
    <row r="181">
      <c r="A181" s="19" t="n"/>
      <c r="B181" s="9" t="n"/>
      <c r="C181" s="9" t="n"/>
      <c r="D181" s="9" t="n"/>
      <c r="E181" s="9" t="n"/>
      <c r="F181" s="9" t="n"/>
      <c r="G181" s="19" t="n"/>
      <c r="H181" s="9" t="n"/>
      <c r="I181" s="9" t="n"/>
      <c r="J181" s="9" t="n"/>
      <c r="K181" s="9" t="n"/>
      <c r="L181">
        <f>IF($A181="","",IF(AND($G181&lt;&gt;"",$G181&lt;TODAY(),$H181&lt;&gt;"Completed"),"⚠ follow-up overdue",""))</f>
        <v/>
      </c>
    </row>
    <row r="182">
      <c r="A182" s="19" t="n"/>
      <c r="B182" s="9" t="n"/>
      <c r="C182" s="9" t="n"/>
      <c r="D182" s="9" t="n"/>
      <c r="E182" s="9" t="n"/>
      <c r="F182" s="9" t="n"/>
      <c r="G182" s="19" t="n"/>
      <c r="H182" s="9" t="n"/>
      <c r="I182" s="9" t="n"/>
      <c r="J182" s="9" t="n"/>
      <c r="K182" s="9" t="n"/>
      <c r="L182">
        <f>IF($A182="","",IF(AND($G182&lt;&gt;"",$G182&lt;TODAY(),$H182&lt;&gt;"Completed"),"⚠ follow-up overdue",""))</f>
        <v/>
      </c>
    </row>
    <row r="183">
      <c r="A183" s="19" t="n"/>
      <c r="B183" s="9" t="n"/>
      <c r="C183" s="9" t="n"/>
      <c r="D183" s="9" t="n"/>
      <c r="E183" s="9" t="n"/>
      <c r="F183" s="9" t="n"/>
      <c r="G183" s="19" t="n"/>
      <c r="H183" s="9" t="n"/>
      <c r="I183" s="9" t="n"/>
      <c r="J183" s="9" t="n"/>
      <c r="K183" s="9" t="n"/>
      <c r="L183">
        <f>IF($A183="","",IF(AND($G183&lt;&gt;"",$G183&lt;TODAY(),$H183&lt;&gt;"Completed"),"⚠ follow-up overdue",""))</f>
        <v/>
      </c>
    </row>
    <row r="184">
      <c r="A184" s="19" t="n"/>
      <c r="B184" s="9" t="n"/>
      <c r="C184" s="9" t="n"/>
      <c r="D184" s="9" t="n"/>
      <c r="E184" s="9" t="n"/>
      <c r="F184" s="9" t="n"/>
      <c r="G184" s="19" t="n"/>
      <c r="H184" s="9" t="n"/>
      <c r="I184" s="9" t="n"/>
      <c r="J184" s="9" t="n"/>
      <c r="K184" s="9" t="n"/>
      <c r="L184">
        <f>IF($A184="","",IF(AND($G184&lt;&gt;"",$G184&lt;TODAY(),$H184&lt;&gt;"Completed"),"⚠ follow-up overdue",""))</f>
        <v/>
      </c>
    </row>
    <row r="185">
      <c r="A185" s="19" t="n"/>
      <c r="B185" s="9" t="n"/>
      <c r="C185" s="9" t="n"/>
      <c r="D185" s="9" t="n"/>
      <c r="E185" s="9" t="n"/>
      <c r="F185" s="9" t="n"/>
      <c r="G185" s="19" t="n"/>
      <c r="H185" s="9" t="n"/>
      <c r="I185" s="9" t="n"/>
      <c r="J185" s="9" t="n"/>
      <c r="K185" s="9" t="n"/>
      <c r="L185">
        <f>IF($A185="","",IF(AND($G185&lt;&gt;"",$G185&lt;TODAY(),$H185&lt;&gt;"Completed"),"⚠ follow-up overdue",""))</f>
        <v/>
      </c>
    </row>
    <row r="186">
      <c r="A186" s="19" t="n"/>
      <c r="B186" s="9" t="n"/>
      <c r="C186" s="9" t="n"/>
      <c r="D186" s="9" t="n"/>
      <c r="E186" s="9" t="n"/>
      <c r="F186" s="9" t="n"/>
      <c r="G186" s="19" t="n"/>
      <c r="H186" s="9" t="n"/>
      <c r="I186" s="9" t="n"/>
      <c r="J186" s="9" t="n"/>
      <c r="K186" s="9" t="n"/>
      <c r="L186">
        <f>IF($A186="","",IF(AND($G186&lt;&gt;"",$G186&lt;TODAY(),$H186&lt;&gt;"Completed"),"⚠ follow-up overdue",""))</f>
        <v/>
      </c>
    </row>
    <row r="187">
      <c r="A187" s="19" t="n"/>
      <c r="B187" s="9" t="n"/>
      <c r="C187" s="9" t="n"/>
      <c r="D187" s="9" t="n"/>
      <c r="E187" s="9" t="n"/>
      <c r="F187" s="9" t="n"/>
      <c r="G187" s="19" t="n"/>
      <c r="H187" s="9" t="n"/>
      <c r="I187" s="9" t="n"/>
      <c r="J187" s="9" t="n"/>
      <c r="K187" s="9" t="n"/>
      <c r="L187">
        <f>IF($A187="","",IF(AND($G187&lt;&gt;"",$G187&lt;TODAY(),$H187&lt;&gt;"Completed"),"⚠ follow-up overdue",""))</f>
        <v/>
      </c>
    </row>
    <row r="188">
      <c r="A188" s="19" t="n"/>
      <c r="B188" s="9" t="n"/>
      <c r="C188" s="9" t="n"/>
      <c r="D188" s="9" t="n"/>
      <c r="E188" s="9" t="n"/>
      <c r="F188" s="9" t="n"/>
      <c r="G188" s="19" t="n"/>
      <c r="H188" s="9" t="n"/>
      <c r="I188" s="9" t="n"/>
      <c r="J188" s="9" t="n"/>
      <c r="K188" s="9" t="n"/>
      <c r="L188">
        <f>IF($A188="","",IF(AND($G188&lt;&gt;"",$G188&lt;TODAY(),$H188&lt;&gt;"Completed"),"⚠ follow-up overdue",""))</f>
        <v/>
      </c>
    </row>
    <row r="189">
      <c r="A189" s="19" t="n"/>
      <c r="B189" s="9" t="n"/>
      <c r="C189" s="9" t="n"/>
      <c r="D189" s="9" t="n"/>
      <c r="E189" s="9" t="n"/>
      <c r="F189" s="9" t="n"/>
      <c r="G189" s="19" t="n"/>
      <c r="H189" s="9" t="n"/>
      <c r="I189" s="9" t="n"/>
      <c r="J189" s="9" t="n"/>
      <c r="K189" s="9" t="n"/>
      <c r="L189">
        <f>IF($A189="","",IF(AND($G189&lt;&gt;"",$G189&lt;TODAY(),$H189&lt;&gt;"Completed"),"⚠ follow-up overdue",""))</f>
        <v/>
      </c>
    </row>
    <row r="190">
      <c r="A190" s="19" t="n"/>
      <c r="B190" s="9" t="n"/>
      <c r="C190" s="9" t="n"/>
      <c r="D190" s="9" t="n"/>
      <c r="E190" s="9" t="n"/>
      <c r="F190" s="9" t="n"/>
      <c r="G190" s="19" t="n"/>
      <c r="H190" s="9" t="n"/>
      <c r="I190" s="9" t="n"/>
      <c r="J190" s="9" t="n"/>
      <c r="K190" s="9" t="n"/>
      <c r="L190">
        <f>IF($A190="","",IF(AND($G190&lt;&gt;"",$G190&lt;TODAY(),$H190&lt;&gt;"Completed"),"⚠ follow-up overdue",""))</f>
        <v/>
      </c>
    </row>
    <row r="191">
      <c r="A191" s="19" t="n"/>
      <c r="B191" s="9" t="n"/>
      <c r="C191" s="9" t="n"/>
      <c r="D191" s="9" t="n"/>
      <c r="E191" s="9" t="n"/>
      <c r="F191" s="9" t="n"/>
      <c r="G191" s="19" t="n"/>
      <c r="H191" s="9" t="n"/>
      <c r="I191" s="9" t="n"/>
      <c r="J191" s="9" t="n"/>
      <c r="K191" s="9" t="n"/>
      <c r="L191">
        <f>IF($A191="","",IF(AND($G191&lt;&gt;"",$G191&lt;TODAY(),$H191&lt;&gt;"Completed"),"⚠ follow-up overdue",""))</f>
        <v/>
      </c>
    </row>
    <row r="192">
      <c r="A192" s="19" t="n"/>
      <c r="B192" s="9" t="n"/>
      <c r="C192" s="9" t="n"/>
      <c r="D192" s="9" t="n"/>
      <c r="E192" s="9" t="n"/>
      <c r="F192" s="9" t="n"/>
      <c r="G192" s="19" t="n"/>
      <c r="H192" s="9" t="n"/>
      <c r="I192" s="9" t="n"/>
      <c r="J192" s="9" t="n"/>
      <c r="K192" s="9" t="n"/>
      <c r="L192">
        <f>IF($A192="","",IF(AND($G192&lt;&gt;"",$G192&lt;TODAY(),$H192&lt;&gt;"Completed"),"⚠ follow-up overdue",""))</f>
        <v/>
      </c>
    </row>
    <row r="193">
      <c r="A193" s="19" t="n"/>
      <c r="B193" s="9" t="n"/>
      <c r="C193" s="9" t="n"/>
      <c r="D193" s="9" t="n"/>
      <c r="E193" s="9" t="n"/>
      <c r="F193" s="9" t="n"/>
      <c r="G193" s="19" t="n"/>
      <c r="H193" s="9" t="n"/>
      <c r="I193" s="9" t="n"/>
      <c r="J193" s="9" t="n"/>
      <c r="K193" s="9" t="n"/>
      <c r="L193">
        <f>IF($A193="","",IF(AND($G193&lt;&gt;"",$G193&lt;TODAY(),$H193&lt;&gt;"Completed"),"⚠ follow-up overdue",""))</f>
        <v/>
      </c>
    </row>
    <row r="194">
      <c r="A194" s="19" t="n"/>
      <c r="B194" s="9" t="n"/>
      <c r="C194" s="9" t="n"/>
      <c r="D194" s="9" t="n"/>
      <c r="E194" s="9" t="n"/>
      <c r="F194" s="9" t="n"/>
      <c r="G194" s="19" t="n"/>
      <c r="H194" s="9" t="n"/>
      <c r="I194" s="9" t="n"/>
      <c r="J194" s="9" t="n"/>
      <c r="K194" s="9" t="n"/>
      <c r="L194">
        <f>IF($A194="","",IF(AND($G194&lt;&gt;"",$G194&lt;TODAY(),$H194&lt;&gt;"Completed"),"⚠ follow-up overdue",""))</f>
        <v/>
      </c>
    </row>
    <row r="195">
      <c r="A195" s="19" t="n"/>
      <c r="B195" s="9" t="n"/>
      <c r="C195" s="9" t="n"/>
      <c r="D195" s="9" t="n"/>
      <c r="E195" s="9" t="n"/>
      <c r="F195" s="9" t="n"/>
      <c r="G195" s="19" t="n"/>
      <c r="H195" s="9" t="n"/>
      <c r="I195" s="9" t="n"/>
      <c r="J195" s="9" t="n"/>
      <c r="K195" s="9" t="n"/>
      <c r="L195">
        <f>IF($A195="","",IF(AND($G195&lt;&gt;"",$G195&lt;TODAY(),$H195&lt;&gt;"Completed"),"⚠ follow-up overdue",""))</f>
        <v/>
      </c>
    </row>
    <row r="196">
      <c r="A196" s="19" t="n"/>
      <c r="B196" s="9" t="n"/>
      <c r="C196" s="9" t="n"/>
      <c r="D196" s="9" t="n"/>
      <c r="E196" s="9" t="n"/>
      <c r="F196" s="9" t="n"/>
      <c r="G196" s="19" t="n"/>
      <c r="H196" s="9" t="n"/>
      <c r="I196" s="9" t="n"/>
      <c r="J196" s="9" t="n"/>
      <c r="K196" s="9" t="n"/>
      <c r="L196">
        <f>IF($A196="","",IF(AND($G196&lt;&gt;"",$G196&lt;TODAY(),$H196&lt;&gt;"Completed"),"⚠ follow-up overdue",""))</f>
        <v/>
      </c>
    </row>
    <row r="197">
      <c r="A197" s="19" t="n"/>
      <c r="B197" s="9" t="n"/>
      <c r="C197" s="9" t="n"/>
      <c r="D197" s="9" t="n"/>
      <c r="E197" s="9" t="n"/>
      <c r="F197" s="9" t="n"/>
      <c r="G197" s="19" t="n"/>
      <c r="H197" s="9" t="n"/>
      <c r="I197" s="9" t="n"/>
      <c r="J197" s="9" t="n"/>
      <c r="K197" s="9" t="n"/>
      <c r="L197">
        <f>IF($A197="","",IF(AND($G197&lt;&gt;"",$G197&lt;TODAY(),$H197&lt;&gt;"Completed"),"⚠ follow-up overdue",""))</f>
        <v/>
      </c>
    </row>
    <row r="198">
      <c r="A198" s="19" t="n"/>
      <c r="B198" s="9" t="n"/>
      <c r="C198" s="9" t="n"/>
      <c r="D198" s="9" t="n"/>
      <c r="E198" s="9" t="n"/>
      <c r="F198" s="9" t="n"/>
      <c r="G198" s="19" t="n"/>
      <c r="H198" s="9" t="n"/>
      <c r="I198" s="9" t="n"/>
      <c r="J198" s="9" t="n"/>
      <c r="K198" s="9" t="n"/>
      <c r="L198">
        <f>IF($A198="","",IF(AND($G198&lt;&gt;"",$G198&lt;TODAY(),$H198&lt;&gt;"Completed"),"⚠ follow-up overdue",""))</f>
        <v/>
      </c>
    </row>
    <row r="199">
      <c r="A199" s="19" t="n"/>
      <c r="B199" s="9" t="n"/>
      <c r="C199" s="9" t="n"/>
      <c r="D199" s="9" t="n"/>
      <c r="E199" s="9" t="n"/>
      <c r="F199" s="9" t="n"/>
      <c r="G199" s="19" t="n"/>
      <c r="H199" s="9" t="n"/>
      <c r="I199" s="9" t="n"/>
      <c r="J199" s="9" t="n"/>
      <c r="K199" s="9" t="n"/>
      <c r="L199">
        <f>IF($A199="","",IF(AND($G199&lt;&gt;"",$G199&lt;TODAY(),$H199&lt;&gt;"Completed"),"⚠ follow-up overdue",""))</f>
        <v/>
      </c>
    </row>
    <row r="200">
      <c r="A200" s="19" t="n"/>
      <c r="B200" s="9" t="n"/>
      <c r="C200" s="9" t="n"/>
      <c r="D200" s="9" t="n"/>
      <c r="E200" s="9" t="n"/>
      <c r="F200" s="9" t="n"/>
      <c r="G200" s="19" t="n"/>
      <c r="H200" s="9" t="n"/>
      <c r="I200" s="9" t="n"/>
      <c r="J200" s="9" t="n"/>
      <c r="K200" s="9" t="n"/>
      <c r="L200">
        <f>IF($A200="","",IF(AND($G200&lt;&gt;"",$G200&lt;TODAY(),$H200&lt;&gt;"Completed"),"⚠ follow-up overdue",""))</f>
        <v/>
      </c>
    </row>
    <row r="201">
      <c r="A201" s="19" t="n"/>
      <c r="B201" s="9" t="n"/>
      <c r="C201" s="9" t="n"/>
      <c r="D201" s="9" t="n"/>
      <c r="E201" s="9" t="n"/>
      <c r="F201" s="9" t="n"/>
      <c r="G201" s="19" t="n"/>
      <c r="H201" s="9" t="n"/>
      <c r="I201" s="9" t="n"/>
      <c r="J201" s="9" t="n"/>
      <c r="K201" s="9" t="n"/>
      <c r="L201">
        <f>IF($A201="","",IF(AND($G201&lt;&gt;"",$G201&lt;TODAY(),$H201&lt;&gt;"Completed"),"⚠ follow-up overdue",""))</f>
        <v/>
      </c>
    </row>
    <row r="202">
      <c r="A202" s="19" t="n"/>
      <c r="B202" s="9" t="n"/>
      <c r="C202" s="9" t="n"/>
      <c r="D202" s="9" t="n"/>
      <c r="E202" s="9" t="n"/>
      <c r="F202" s="9" t="n"/>
      <c r="G202" s="19" t="n"/>
      <c r="H202" s="9" t="n"/>
      <c r="I202" s="9" t="n"/>
      <c r="J202" s="9" t="n"/>
      <c r="K202" s="9" t="n"/>
      <c r="L202">
        <f>IF($A202="","",IF(AND($G202&lt;&gt;"",$G202&lt;TODAY(),$H202&lt;&gt;"Completed"),"⚠ follow-up overdue",""))</f>
        <v/>
      </c>
    </row>
    <row r="203">
      <c r="A203" s="19" t="n"/>
      <c r="B203" s="9" t="n"/>
      <c r="C203" s="9" t="n"/>
      <c r="D203" s="9" t="n"/>
      <c r="E203" s="9" t="n"/>
      <c r="F203" s="9" t="n"/>
      <c r="G203" s="19" t="n"/>
      <c r="H203" s="9" t="n"/>
      <c r="I203" s="9" t="n"/>
      <c r="J203" s="9" t="n"/>
      <c r="K203" s="9" t="n"/>
      <c r="L203">
        <f>IF($A203="","",IF(AND($G203&lt;&gt;"",$G203&lt;TODAY(),$H203&lt;&gt;"Completed"),"⚠ follow-up overdue",""))</f>
        <v/>
      </c>
    </row>
    <row r="204">
      <c r="A204" s="19" t="n"/>
      <c r="B204" s="9" t="n"/>
      <c r="C204" s="9" t="n"/>
      <c r="D204" s="9" t="n"/>
      <c r="E204" s="9" t="n"/>
      <c r="F204" s="9" t="n"/>
      <c r="G204" s="19" t="n"/>
      <c r="H204" s="9" t="n"/>
      <c r="I204" s="9" t="n"/>
      <c r="J204" s="9" t="n"/>
      <c r="K204" s="9" t="n"/>
      <c r="L204">
        <f>IF($A204="","",IF(AND($G204&lt;&gt;"",$G204&lt;TODAY(),$H204&lt;&gt;"Completed"),"⚠ follow-up overdue",""))</f>
        <v/>
      </c>
    </row>
    <row r="205">
      <c r="A205" s="19" t="n"/>
      <c r="B205" s="9" t="n"/>
      <c r="C205" s="9" t="n"/>
      <c r="D205" s="9" t="n"/>
      <c r="E205" s="9" t="n"/>
      <c r="F205" s="9" t="n"/>
      <c r="G205" s="19" t="n"/>
      <c r="H205" s="9" t="n"/>
      <c r="I205" s="9" t="n"/>
      <c r="J205" s="9" t="n"/>
      <c r="K205" s="9" t="n"/>
      <c r="L205">
        <f>IF($A205="","",IF(AND($G205&lt;&gt;"",$G205&lt;TODAY(),$H205&lt;&gt;"Completed"),"⚠ follow-up overdue",""))</f>
        <v/>
      </c>
    </row>
    <row r="206">
      <c r="A206" s="19" t="n"/>
      <c r="B206" s="9" t="n"/>
      <c r="C206" s="9" t="n"/>
      <c r="D206" s="9" t="n"/>
      <c r="E206" s="9" t="n"/>
      <c r="F206" s="9" t="n"/>
      <c r="G206" s="19" t="n"/>
      <c r="H206" s="9" t="n"/>
      <c r="I206" s="9" t="n"/>
      <c r="J206" s="9" t="n"/>
      <c r="K206" s="9" t="n"/>
      <c r="L206">
        <f>IF($A206="","",IF(AND($G206&lt;&gt;"",$G206&lt;TODAY(),$H206&lt;&gt;"Completed"),"⚠ follow-up overdue",""))</f>
        <v/>
      </c>
    </row>
    <row r="207">
      <c r="A207" s="19" t="n"/>
      <c r="B207" s="9" t="n"/>
      <c r="C207" s="9" t="n"/>
      <c r="D207" s="9" t="n"/>
      <c r="E207" s="9" t="n"/>
      <c r="F207" s="9" t="n"/>
      <c r="G207" s="19" t="n"/>
      <c r="H207" s="9" t="n"/>
      <c r="I207" s="9" t="n"/>
      <c r="J207" s="9" t="n"/>
      <c r="K207" s="9" t="n"/>
      <c r="L207">
        <f>IF($A207="","",IF(AND($G207&lt;&gt;"",$G207&lt;TODAY(),$H207&lt;&gt;"Completed"),"⚠ follow-up overdue",""))</f>
        <v/>
      </c>
    </row>
    <row r="208">
      <c r="A208" s="19" t="n"/>
      <c r="B208" s="9" t="n"/>
      <c r="C208" s="9" t="n"/>
      <c r="D208" s="9" t="n"/>
      <c r="E208" s="9" t="n"/>
      <c r="F208" s="9" t="n"/>
      <c r="G208" s="19" t="n"/>
      <c r="H208" s="9" t="n"/>
      <c r="I208" s="9" t="n"/>
      <c r="J208" s="9" t="n"/>
      <c r="K208" s="9" t="n"/>
      <c r="L208">
        <f>IF($A208="","",IF(AND($G208&lt;&gt;"",$G208&lt;TODAY(),$H208&lt;&gt;"Completed"),"⚠ follow-up overdue",""))</f>
        <v/>
      </c>
    </row>
    <row r="209">
      <c r="A209" s="19" t="n"/>
      <c r="B209" s="9" t="n"/>
      <c r="C209" s="9" t="n"/>
      <c r="D209" s="9" t="n"/>
      <c r="E209" s="9" t="n"/>
      <c r="F209" s="9" t="n"/>
      <c r="G209" s="19" t="n"/>
      <c r="H209" s="9" t="n"/>
      <c r="I209" s="9" t="n"/>
      <c r="J209" s="9" t="n"/>
      <c r="K209" s="9" t="n"/>
      <c r="L209">
        <f>IF($A209="","",IF(AND($G209&lt;&gt;"",$G209&lt;TODAY(),$H209&lt;&gt;"Completed"),"⚠ follow-up overdue",""))</f>
        <v/>
      </c>
    </row>
    <row r="210">
      <c r="A210" s="19" t="n"/>
      <c r="B210" s="9" t="n"/>
      <c r="C210" s="9" t="n"/>
      <c r="D210" s="9" t="n"/>
      <c r="E210" s="9" t="n"/>
      <c r="F210" s="9" t="n"/>
      <c r="G210" s="19" t="n"/>
      <c r="H210" s="9" t="n"/>
      <c r="I210" s="9" t="n"/>
      <c r="J210" s="9" t="n"/>
      <c r="K210" s="9" t="n"/>
      <c r="L210">
        <f>IF($A210="","",IF(AND($G210&lt;&gt;"",$G210&lt;TODAY(),$H210&lt;&gt;"Completed"),"⚠ follow-up overdue",""))</f>
        <v/>
      </c>
    </row>
    <row r="211">
      <c r="A211" s="19" t="n"/>
      <c r="B211" s="9" t="n"/>
      <c r="C211" s="9" t="n"/>
      <c r="D211" s="9" t="n"/>
      <c r="E211" s="9" t="n"/>
      <c r="F211" s="9" t="n"/>
      <c r="G211" s="19" t="n"/>
      <c r="H211" s="9" t="n"/>
      <c r="I211" s="9" t="n"/>
      <c r="J211" s="9" t="n"/>
      <c r="K211" s="9" t="n"/>
      <c r="L211">
        <f>IF($A211="","",IF(AND($G211&lt;&gt;"",$G211&lt;TODAY(),$H211&lt;&gt;"Completed"),"⚠ follow-up overdue",""))</f>
        <v/>
      </c>
    </row>
    <row r="212">
      <c r="A212" s="19" t="n"/>
      <c r="B212" s="9" t="n"/>
      <c r="C212" s="9" t="n"/>
      <c r="D212" s="9" t="n"/>
      <c r="E212" s="9" t="n"/>
      <c r="F212" s="9" t="n"/>
      <c r="G212" s="19" t="n"/>
      <c r="H212" s="9" t="n"/>
      <c r="I212" s="9" t="n"/>
      <c r="J212" s="9" t="n"/>
      <c r="K212" s="9" t="n"/>
      <c r="L212">
        <f>IF($A212="","",IF(AND($G212&lt;&gt;"",$G212&lt;TODAY(),$H212&lt;&gt;"Completed"),"⚠ follow-up overdue",""))</f>
        <v/>
      </c>
    </row>
    <row r="213">
      <c r="A213" s="19" t="n"/>
      <c r="B213" s="9" t="n"/>
      <c r="C213" s="9" t="n"/>
      <c r="D213" s="9" t="n"/>
      <c r="E213" s="9" t="n"/>
      <c r="F213" s="9" t="n"/>
      <c r="G213" s="19" t="n"/>
      <c r="H213" s="9" t="n"/>
      <c r="I213" s="9" t="n"/>
      <c r="J213" s="9" t="n"/>
      <c r="K213" s="9" t="n"/>
      <c r="L213">
        <f>IF($A213="","",IF(AND($G213&lt;&gt;"",$G213&lt;TODAY(),$H213&lt;&gt;"Completed"),"⚠ follow-up overdue",""))</f>
        <v/>
      </c>
    </row>
    <row r="214">
      <c r="A214" s="19" t="n"/>
      <c r="B214" s="9" t="n"/>
      <c r="C214" s="9" t="n"/>
      <c r="D214" s="9" t="n"/>
      <c r="E214" s="9" t="n"/>
      <c r="F214" s="9" t="n"/>
      <c r="G214" s="19" t="n"/>
      <c r="H214" s="9" t="n"/>
      <c r="I214" s="9" t="n"/>
      <c r="J214" s="9" t="n"/>
      <c r="K214" s="9" t="n"/>
      <c r="L214">
        <f>IF($A214="","",IF(AND($G214&lt;&gt;"",$G214&lt;TODAY(),$H214&lt;&gt;"Completed"),"⚠ follow-up overdue",""))</f>
        <v/>
      </c>
    </row>
    <row r="215">
      <c r="A215" s="19" t="n"/>
      <c r="B215" s="9" t="n"/>
      <c r="C215" s="9" t="n"/>
      <c r="D215" s="9" t="n"/>
      <c r="E215" s="9" t="n"/>
      <c r="F215" s="9" t="n"/>
      <c r="G215" s="19" t="n"/>
      <c r="H215" s="9" t="n"/>
      <c r="I215" s="9" t="n"/>
      <c r="J215" s="9" t="n"/>
      <c r="K215" s="9" t="n"/>
      <c r="L215">
        <f>IF($A215="","",IF(AND($G215&lt;&gt;"",$G215&lt;TODAY(),$H215&lt;&gt;"Completed"),"⚠ follow-up overdue",""))</f>
        <v/>
      </c>
    </row>
    <row r="216">
      <c r="A216" s="19" t="n"/>
      <c r="B216" s="9" t="n"/>
      <c r="C216" s="9" t="n"/>
      <c r="D216" s="9" t="n"/>
      <c r="E216" s="9" t="n"/>
      <c r="F216" s="9" t="n"/>
      <c r="G216" s="19" t="n"/>
      <c r="H216" s="9" t="n"/>
      <c r="I216" s="9" t="n"/>
      <c r="J216" s="9" t="n"/>
      <c r="K216" s="9" t="n"/>
      <c r="L216">
        <f>IF($A216="","",IF(AND($G216&lt;&gt;"",$G216&lt;TODAY(),$H216&lt;&gt;"Completed"),"⚠ follow-up overdue",""))</f>
        <v/>
      </c>
    </row>
    <row r="217">
      <c r="A217" s="19" t="n"/>
      <c r="B217" s="9" t="n"/>
      <c r="C217" s="9" t="n"/>
      <c r="D217" s="9" t="n"/>
      <c r="E217" s="9" t="n"/>
      <c r="F217" s="9" t="n"/>
      <c r="G217" s="19" t="n"/>
      <c r="H217" s="9" t="n"/>
      <c r="I217" s="9" t="n"/>
      <c r="J217" s="9" t="n"/>
      <c r="K217" s="9" t="n"/>
      <c r="L217">
        <f>IF($A217="","",IF(AND($G217&lt;&gt;"",$G217&lt;TODAY(),$H217&lt;&gt;"Completed"),"⚠ follow-up overdue",""))</f>
        <v/>
      </c>
    </row>
    <row r="218">
      <c r="A218" s="19" t="n"/>
      <c r="B218" s="9" t="n"/>
      <c r="C218" s="9" t="n"/>
      <c r="D218" s="9" t="n"/>
      <c r="E218" s="9" t="n"/>
      <c r="F218" s="9" t="n"/>
      <c r="G218" s="19" t="n"/>
      <c r="H218" s="9" t="n"/>
      <c r="I218" s="9" t="n"/>
      <c r="J218" s="9" t="n"/>
      <c r="K218" s="9" t="n"/>
      <c r="L218">
        <f>IF($A218="","",IF(AND($G218&lt;&gt;"",$G218&lt;TODAY(),$H218&lt;&gt;"Completed"),"⚠ follow-up overdue",""))</f>
        <v/>
      </c>
    </row>
    <row r="219">
      <c r="A219" s="19" t="n"/>
      <c r="B219" s="9" t="n"/>
      <c r="C219" s="9" t="n"/>
      <c r="D219" s="9" t="n"/>
      <c r="E219" s="9" t="n"/>
      <c r="F219" s="9" t="n"/>
      <c r="G219" s="19" t="n"/>
      <c r="H219" s="9" t="n"/>
      <c r="I219" s="9" t="n"/>
      <c r="J219" s="9" t="n"/>
      <c r="K219" s="9" t="n"/>
      <c r="L219">
        <f>IF($A219="","",IF(AND($G219&lt;&gt;"",$G219&lt;TODAY(),$H219&lt;&gt;"Completed"),"⚠ follow-up overdue",""))</f>
        <v/>
      </c>
    </row>
    <row r="220">
      <c r="A220" s="19" t="n"/>
      <c r="B220" s="9" t="n"/>
      <c r="C220" s="9" t="n"/>
      <c r="D220" s="9" t="n"/>
      <c r="E220" s="9" t="n"/>
      <c r="F220" s="9" t="n"/>
      <c r="G220" s="19" t="n"/>
      <c r="H220" s="9" t="n"/>
      <c r="I220" s="9" t="n"/>
      <c r="J220" s="9" t="n"/>
      <c r="K220" s="9" t="n"/>
      <c r="L220">
        <f>IF($A220="","",IF(AND($G220&lt;&gt;"",$G220&lt;TODAY(),$H220&lt;&gt;"Completed"),"⚠ follow-up overdue",""))</f>
        <v/>
      </c>
    </row>
    <row r="221">
      <c r="A221" s="19" t="n"/>
      <c r="B221" s="9" t="n"/>
      <c r="C221" s="9" t="n"/>
      <c r="D221" s="9" t="n"/>
      <c r="E221" s="9" t="n"/>
      <c r="F221" s="9" t="n"/>
      <c r="G221" s="19" t="n"/>
      <c r="H221" s="9" t="n"/>
      <c r="I221" s="9" t="n"/>
      <c r="J221" s="9" t="n"/>
      <c r="K221" s="9" t="n"/>
      <c r="L221">
        <f>IF($A221="","",IF(AND($G221&lt;&gt;"",$G221&lt;TODAY(),$H221&lt;&gt;"Completed"),"⚠ follow-up overdue",""))</f>
        <v/>
      </c>
    </row>
    <row r="222">
      <c r="A222" s="19" t="n"/>
      <c r="B222" s="9" t="n"/>
      <c r="C222" s="9" t="n"/>
      <c r="D222" s="9" t="n"/>
      <c r="E222" s="9" t="n"/>
      <c r="F222" s="9" t="n"/>
      <c r="G222" s="19" t="n"/>
      <c r="H222" s="9" t="n"/>
      <c r="I222" s="9" t="n"/>
      <c r="J222" s="9" t="n"/>
      <c r="K222" s="9" t="n"/>
      <c r="L222">
        <f>IF($A222="","",IF(AND($G222&lt;&gt;"",$G222&lt;TODAY(),$H222&lt;&gt;"Completed"),"⚠ follow-up overdue",""))</f>
        <v/>
      </c>
    </row>
    <row r="223">
      <c r="A223" s="19" t="n"/>
      <c r="B223" s="9" t="n"/>
      <c r="C223" s="9" t="n"/>
      <c r="D223" s="9" t="n"/>
      <c r="E223" s="9" t="n"/>
      <c r="F223" s="9" t="n"/>
      <c r="G223" s="19" t="n"/>
      <c r="H223" s="9" t="n"/>
      <c r="I223" s="9" t="n"/>
      <c r="J223" s="9" t="n"/>
      <c r="K223" s="9" t="n"/>
      <c r="L223">
        <f>IF($A223="","",IF(AND($G223&lt;&gt;"",$G223&lt;TODAY(),$H223&lt;&gt;"Completed"),"⚠ follow-up overdue",""))</f>
        <v/>
      </c>
    </row>
    <row r="224">
      <c r="A224" s="19" t="n"/>
      <c r="B224" s="9" t="n"/>
      <c r="C224" s="9" t="n"/>
      <c r="D224" s="9" t="n"/>
      <c r="E224" s="9" t="n"/>
      <c r="F224" s="9" t="n"/>
      <c r="G224" s="19" t="n"/>
      <c r="H224" s="9" t="n"/>
      <c r="I224" s="9" t="n"/>
      <c r="J224" s="9" t="n"/>
      <c r="K224" s="9" t="n"/>
      <c r="L224">
        <f>IF($A224="","",IF(AND($G224&lt;&gt;"",$G224&lt;TODAY(),$H224&lt;&gt;"Completed"),"⚠ follow-up overdue",""))</f>
        <v/>
      </c>
    </row>
    <row r="225">
      <c r="A225" s="19" t="n"/>
      <c r="B225" s="9" t="n"/>
      <c r="C225" s="9" t="n"/>
      <c r="D225" s="9" t="n"/>
      <c r="E225" s="9" t="n"/>
      <c r="F225" s="9" t="n"/>
      <c r="G225" s="19" t="n"/>
      <c r="H225" s="9" t="n"/>
      <c r="I225" s="9" t="n"/>
      <c r="J225" s="9" t="n"/>
      <c r="K225" s="9" t="n"/>
      <c r="L225">
        <f>IF($A225="","",IF(AND($G225&lt;&gt;"",$G225&lt;TODAY(),$H225&lt;&gt;"Completed"),"⚠ follow-up overdue",""))</f>
        <v/>
      </c>
    </row>
    <row r="226">
      <c r="A226" s="19" t="n"/>
      <c r="B226" s="9" t="n"/>
      <c r="C226" s="9" t="n"/>
      <c r="D226" s="9" t="n"/>
      <c r="E226" s="9" t="n"/>
      <c r="F226" s="9" t="n"/>
      <c r="G226" s="19" t="n"/>
      <c r="H226" s="9" t="n"/>
      <c r="I226" s="9" t="n"/>
      <c r="J226" s="9" t="n"/>
      <c r="K226" s="9" t="n"/>
      <c r="L226">
        <f>IF($A226="","",IF(AND($G226&lt;&gt;"",$G226&lt;TODAY(),$H226&lt;&gt;"Completed"),"⚠ follow-up overdue",""))</f>
        <v/>
      </c>
    </row>
    <row r="227">
      <c r="A227" s="19" t="n"/>
      <c r="B227" s="9" t="n"/>
      <c r="C227" s="9" t="n"/>
      <c r="D227" s="9" t="n"/>
      <c r="E227" s="9" t="n"/>
      <c r="F227" s="9" t="n"/>
      <c r="G227" s="19" t="n"/>
      <c r="H227" s="9" t="n"/>
      <c r="I227" s="9" t="n"/>
      <c r="J227" s="9" t="n"/>
      <c r="K227" s="9" t="n"/>
      <c r="L227">
        <f>IF($A227="","",IF(AND($G227&lt;&gt;"",$G227&lt;TODAY(),$H227&lt;&gt;"Completed"),"⚠ follow-up overdue",""))</f>
        <v/>
      </c>
    </row>
    <row r="228">
      <c r="A228" s="19" t="n"/>
      <c r="B228" s="9" t="n"/>
      <c r="C228" s="9" t="n"/>
      <c r="D228" s="9" t="n"/>
      <c r="E228" s="9" t="n"/>
      <c r="F228" s="9" t="n"/>
      <c r="G228" s="19" t="n"/>
      <c r="H228" s="9" t="n"/>
      <c r="I228" s="9" t="n"/>
      <c r="J228" s="9" t="n"/>
      <c r="K228" s="9" t="n"/>
      <c r="L228">
        <f>IF($A228="","",IF(AND($G228&lt;&gt;"",$G228&lt;TODAY(),$H228&lt;&gt;"Completed"),"⚠ follow-up overdue",""))</f>
        <v/>
      </c>
    </row>
    <row r="229">
      <c r="A229" s="19" t="n"/>
      <c r="B229" s="9" t="n"/>
      <c r="C229" s="9" t="n"/>
      <c r="D229" s="9" t="n"/>
      <c r="E229" s="9" t="n"/>
      <c r="F229" s="9" t="n"/>
      <c r="G229" s="19" t="n"/>
      <c r="H229" s="9" t="n"/>
      <c r="I229" s="9" t="n"/>
      <c r="J229" s="9" t="n"/>
      <c r="K229" s="9" t="n"/>
      <c r="L229">
        <f>IF($A229="","",IF(AND($G229&lt;&gt;"",$G229&lt;TODAY(),$H229&lt;&gt;"Completed"),"⚠ follow-up overdue",""))</f>
        <v/>
      </c>
    </row>
    <row r="230">
      <c r="A230" s="19" t="n"/>
      <c r="B230" s="9" t="n"/>
      <c r="C230" s="9" t="n"/>
      <c r="D230" s="9" t="n"/>
      <c r="E230" s="9" t="n"/>
      <c r="F230" s="9" t="n"/>
      <c r="G230" s="19" t="n"/>
      <c r="H230" s="9" t="n"/>
      <c r="I230" s="9" t="n"/>
      <c r="J230" s="9" t="n"/>
      <c r="K230" s="9" t="n"/>
      <c r="L230">
        <f>IF($A230="","",IF(AND($G230&lt;&gt;"",$G230&lt;TODAY(),$H230&lt;&gt;"Completed"),"⚠ follow-up overdue",""))</f>
        <v/>
      </c>
    </row>
    <row r="231">
      <c r="A231" s="19" t="n"/>
      <c r="B231" s="9" t="n"/>
      <c r="C231" s="9" t="n"/>
      <c r="D231" s="9" t="n"/>
      <c r="E231" s="9" t="n"/>
      <c r="F231" s="9" t="n"/>
      <c r="G231" s="19" t="n"/>
      <c r="H231" s="9" t="n"/>
      <c r="I231" s="9" t="n"/>
      <c r="J231" s="9" t="n"/>
      <c r="K231" s="9" t="n"/>
      <c r="L231">
        <f>IF($A231="","",IF(AND($G231&lt;&gt;"",$G231&lt;TODAY(),$H231&lt;&gt;"Completed"),"⚠ follow-up overdue",""))</f>
        <v/>
      </c>
    </row>
    <row r="232">
      <c r="A232" s="19" t="n"/>
      <c r="B232" s="9" t="n"/>
      <c r="C232" s="9" t="n"/>
      <c r="D232" s="9" t="n"/>
      <c r="E232" s="9" t="n"/>
      <c r="F232" s="9" t="n"/>
      <c r="G232" s="19" t="n"/>
      <c r="H232" s="9" t="n"/>
      <c r="I232" s="9" t="n"/>
      <c r="J232" s="9" t="n"/>
      <c r="K232" s="9" t="n"/>
      <c r="L232">
        <f>IF($A232="","",IF(AND($G232&lt;&gt;"",$G232&lt;TODAY(),$H232&lt;&gt;"Completed"),"⚠ follow-up overdue",""))</f>
        <v/>
      </c>
    </row>
    <row r="233">
      <c r="A233" s="19" t="n"/>
      <c r="B233" s="9" t="n"/>
      <c r="C233" s="9" t="n"/>
      <c r="D233" s="9" t="n"/>
      <c r="E233" s="9" t="n"/>
      <c r="F233" s="9" t="n"/>
      <c r="G233" s="19" t="n"/>
      <c r="H233" s="9" t="n"/>
      <c r="I233" s="9" t="n"/>
      <c r="J233" s="9" t="n"/>
      <c r="K233" s="9" t="n"/>
      <c r="L233">
        <f>IF($A233="","",IF(AND($G233&lt;&gt;"",$G233&lt;TODAY(),$H233&lt;&gt;"Completed"),"⚠ follow-up overdue",""))</f>
        <v/>
      </c>
    </row>
    <row r="234">
      <c r="A234" s="19" t="n"/>
      <c r="B234" s="9" t="n"/>
      <c r="C234" s="9" t="n"/>
      <c r="D234" s="9" t="n"/>
      <c r="E234" s="9" t="n"/>
      <c r="F234" s="9" t="n"/>
      <c r="G234" s="19" t="n"/>
      <c r="H234" s="9" t="n"/>
      <c r="I234" s="9" t="n"/>
      <c r="J234" s="9" t="n"/>
      <c r="K234" s="9" t="n"/>
      <c r="L234">
        <f>IF($A234="","",IF(AND($G234&lt;&gt;"",$G234&lt;TODAY(),$H234&lt;&gt;"Completed"),"⚠ follow-up overdue",""))</f>
        <v/>
      </c>
    </row>
    <row r="235">
      <c r="A235" s="19" t="n"/>
      <c r="B235" s="9" t="n"/>
      <c r="C235" s="9" t="n"/>
      <c r="D235" s="9" t="n"/>
      <c r="E235" s="9" t="n"/>
      <c r="F235" s="9" t="n"/>
      <c r="G235" s="19" t="n"/>
      <c r="H235" s="9" t="n"/>
      <c r="I235" s="9" t="n"/>
      <c r="J235" s="9" t="n"/>
      <c r="K235" s="9" t="n"/>
      <c r="L235">
        <f>IF($A235="","",IF(AND($G235&lt;&gt;"",$G235&lt;TODAY(),$H235&lt;&gt;"Completed"),"⚠ follow-up overdue",""))</f>
        <v/>
      </c>
    </row>
    <row r="236">
      <c r="A236" s="19" t="n"/>
      <c r="B236" s="9" t="n"/>
      <c r="C236" s="9" t="n"/>
      <c r="D236" s="9" t="n"/>
      <c r="E236" s="9" t="n"/>
      <c r="F236" s="9" t="n"/>
      <c r="G236" s="19" t="n"/>
      <c r="H236" s="9" t="n"/>
      <c r="I236" s="9" t="n"/>
      <c r="J236" s="9" t="n"/>
      <c r="K236" s="9" t="n"/>
      <c r="L236">
        <f>IF($A236="","",IF(AND($G236&lt;&gt;"",$G236&lt;TODAY(),$H236&lt;&gt;"Completed"),"⚠ follow-up overdue",""))</f>
        <v/>
      </c>
    </row>
    <row r="237">
      <c r="A237" s="19" t="n"/>
      <c r="B237" s="9" t="n"/>
      <c r="C237" s="9" t="n"/>
      <c r="D237" s="9" t="n"/>
      <c r="E237" s="9" t="n"/>
      <c r="F237" s="9" t="n"/>
      <c r="G237" s="19" t="n"/>
      <c r="H237" s="9" t="n"/>
      <c r="I237" s="9" t="n"/>
      <c r="J237" s="9" t="n"/>
      <c r="K237" s="9" t="n"/>
      <c r="L237">
        <f>IF($A237="","",IF(AND($G237&lt;&gt;"",$G237&lt;TODAY(),$H237&lt;&gt;"Completed"),"⚠ follow-up overdue",""))</f>
        <v/>
      </c>
    </row>
    <row r="238">
      <c r="A238" s="19" t="n"/>
      <c r="B238" s="9" t="n"/>
      <c r="C238" s="9" t="n"/>
      <c r="D238" s="9" t="n"/>
      <c r="E238" s="9" t="n"/>
      <c r="F238" s="9" t="n"/>
      <c r="G238" s="19" t="n"/>
      <c r="H238" s="9" t="n"/>
      <c r="I238" s="9" t="n"/>
      <c r="J238" s="9" t="n"/>
      <c r="K238" s="9" t="n"/>
      <c r="L238">
        <f>IF($A238="","",IF(AND($G238&lt;&gt;"",$G238&lt;TODAY(),$H238&lt;&gt;"Completed"),"⚠ follow-up overdue",""))</f>
        <v/>
      </c>
    </row>
    <row r="239">
      <c r="A239" s="19" t="n"/>
      <c r="B239" s="9" t="n"/>
      <c r="C239" s="9" t="n"/>
      <c r="D239" s="9" t="n"/>
      <c r="E239" s="9" t="n"/>
      <c r="F239" s="9" t="n"/>
      <c r="G239" s="19" t="n"/>
      <c r="H239" s="9" t="n"/>
      <c r="I239" s="9" t="n"/>
      <c r="J239" s="9" t="n"/>
      <c r="K239" s="9" t="n"/>
      <c r="L239">
        <f>IF($A239="","",IF(AND($G239&lt;&gt;"",$G239&lt;TODAY(),$H239&lt;&gt;"Completed"),"⚠ follow-up overdue",""))</f>
        <v/>
      </c>
    </row>
    <row r="240">
      <c r="A240" s="19" t="n"/>
      <c r="B240" s="9" t="n"/>
      <c r="C240" s="9" t="n"/>
      <c r="D240" s="9" t="n"/>
      <c r="E240" s="9" t="n"/>
      <c r="F240" s="9" t="n"/>
      <c r="G240" s="19" t="n"/>
      <c r="H240" s="9" t="n"/>
      <c r="I240" s="9" t="n"/>
      <c r="J240" s="9" t="n"/>
      <c r="K240" s="9" t="n"/>
      <c r="L240">
        <f>IF($A240="","",IF(AND($G240&lt;&gt;"",$G240&lt;TODAY(),$H240&lt;&gt;"Completed"),"⚠ follow-up overdue",""))</f>
        <v/>
      </c>
    </row>
    <row r="241">
      <c r="A241" s="19" t="n"/>
      <c r="B241" s="9" t="n"/>
      <c r="C241" s="9" t="n"/>
      <c r="D241" s="9" t="n"/>
      <c r="E241" s="9" t="n"/>
      <c r="F241" s="9" t="n"/>
      <c r="G241" s="19" t="n"/>
      <c r="H241" s="9" t="n"/>
      <c r="I241" s="9" t="n"/>
      <c r="J241" s="9" t="n"/>
      <c r="K241" s="9" t="n"/>
      <c r="L241">
        <f>IF($A241="","",IF(AND($G241&lt;&gt;"",$G241&lt;TODAY(),$H241&lt;&gt;"Completed"),"⚠ follow-up overdue",""))</f>
        <v/>
      </c>
    </row>
    <row r="242">
      <c r="A242" s="19" t="n"/>
      <c r="B242" s="9" t="n"/>
      <c r="C242" s="9" t="n"/>
      <c r="D242" s="9" t="n"/>
      <c r="E242" s="9" t="n"/>
      <c r="F242" s="9" t="n"/>
      <c r="G242" s="19" t="n"/>
      <c r="H242" s="9" t="n"/>
      <c r="I242" s="9" t="n"/>
      <c r="J242" s="9" t="n"/>
      <c r="K242" s="9" t="n"/>
      <c r="L242">
        <f>IF($A242="","",IF(AND($G242&lt;&gt;"",$G242&lt;TODAY(),$H242&lt;&gt;"Completed"),"⚠ follow-up overdue",""))</f>
        <v/>
      </c>
    </row>
    <row r="243">
      <c r="A243" s="19" t="n"/>
      <c r="B243" s="9" t="n"/>
      <c r="C243" s="9" t="n"/>
      <c r="D243" s="9" t="n"/>
      <c r="E243" s="9" t="n"/>
      <c r="F243" s="9" t="n"/>
      <c r="G243" s="19" t="n"/>
      <c r="H243" s="9" t="n"/>
      <c r="I243" s="9" t="n"/>
      <c r="J243" s="9" t="n"/>
      <c r="K243" s="9" t="n"/>
      <c r="L243">
        <f>IF($A243="","",IF(AND($G243&lt;&gt;"",$G243&lt;TODAY(),$H243&lt;&gt;"Completed"),"⚠ follow-up overdue",""))</f>
        <v/>
      </c>
    </row>
    <row r="244">
      <c r="A244" s="19" t="n"/>
      <c r="B244" s="9" t="n"/>
      <c r="C244" s="9" t="n"/>
      <c r="D244" s="9" t="n"/>
      <c r="E244" s="9" t="n"/>
      <c r="F244" s="9" t="n"/>
      <c r="G244" s="19" t="n"/>
      <c r="H244" s="9" t="n"/>
      <c r="I244" s="9" t="n"/>
      <c r="J244" s="9" t="n"/>
      <c r="K244" s="9" t="n"/>
      <c r="L244">
        <f>IF($A244="","",IF(AND($G244&lt;&gt;"",$G244&lt;TODAY(),$H244&lt;&gt;"Completed"),"⚠ follow-up overdue",""))</f>
        <v/>
      </c>
    </row>
    <row r="245">
      <c r="A245" s="19" t="n"/>
      <c r="B245" s="9" t="n"/>
      <c r="C245" s="9" t="n"/>
      <c r="D245" s="9" t="n"/>
      <c r="E245" s="9" t="n"/>
      <c r="F245" s="9" t="n"/>
      <c r="G245" s="19" t="n"/>
      <c r="H245" s="9" t="n"/>
      <c r="I245" s="9" t="n"/>
      <c r="J245" s="9" t="n"/>
      <c r="K245" s="9" t="n"/>
      <c r="L245">
        <f>IF($A245="","",IF(AND($G245&lt;&gt;"",$G245&lt;TODAY(),$H245&lt;&gt;"Completed"),"⚠ follow-up overdue",""))</f>
        <v/>
      </c>
    </row>
    <row r="246">
      <c r="A246" s="19" t="n"/>
      <c r="B246" s="9" t="n"/>
      <c r="C246" s="9" t="n"/>
      <c r="D246" s="9" t="n"/>
      <c r="E246" s="9" t="n"/>
      <c r="F246" s="9" t="n"/>
      <c r="G246" s="19" t="n"/>
      <c r="H246" s="9" t="n"/>
      <c r="I246" s="9" t="n"/>
      <c r="J246" s="9" t="n"/>
      <c r="K246" s="9" t="n"/>
      <c r="L246">
        <f>IF($A246="","",IF(AND($G246&lt;&gt;"",$G246&lt;TODAY(),$H246&lt;&gt;"Completed"),"⚠ follow-up overdue",""))</f>
        <v/>
      </c>
    </row>
    <row r="247">
      <c r="A247" s="19" t="n"/>
      <c r="B247" s="9" t="n"/>
      <c r="C247" s="9" t="n"/>
      <c r="D247" s="9" t="n"/>
      <c r="E247" s="9" t="n"/>
      <c r="F247" s="9" t="n"/>
      <c r="G247" s="19" t="n"/>
      <c r="H247" s="9" t="n"/>
      <c r="I247" s="9" t="n"/>
      <c r="J247" s="9" t="n"/>
      <c r="K247" s="9" t="n"/>
      <c r="L247">
        <f>IF($A247="","",IF(AND($G247&lt;&gt;"",$G247&lt;TODAY(),$H247&lt;&gt;"Completed"),"⚠ follow-up overdue",""))</f>
        <v/>
      </c>
    </row>
    <row r="248">
      <c r="A248" s="19" t="n"/>
      <c r="B248" s="9" t="n"/>
      <c r="C248" s="9" t="n"/>
      <c r="D248" s="9" t="n"/>
      <c r="E248" s="9" t="n"/>
      <c r="F248" s="9" t="n"/>
      <c r="G248" s="19" t="n"/>
      <c r="H248" s="9" t="n"/>
      <c r="I248" s="9" t="n"/>
      <c r="J248" s="9" t="n"/>
      <c r="K248" s="9" t="n"/>
      <c r="L248">
        <f>IF($A248="","",IF(AND($G248&lt;&gt;"",$G248&lt;TODAY(),$H248&lt;&gt;"Completed"),"⚠ follow-up overdue",""))</f>
        <v/>
      </c>
    </row>
    <row r="249">
      <c r="A249" s="19" t="n"/>
      <c r="B249" s="9" t="n"/>
      <c r="C249" s="9" t="n"/>
      <c r="D249" s="9" t="n"/>
      <c r="E249" s="9" t="n"/>
      <c r="F249" s="9" t="n"/>
      <c r="G249" s="19" t="n"/>
      <c r="H249" s="9" t="n"/>
      <c r="I249" s="9" t="n"/>
      <c r="J249" s="9" t="n"/>
      <c r="K249" s="9" t="n"/>
      <c r="L249">
        <f>IF($A249="","",IF(AND($G249&lt;&gt;"",$G249&lt;TODAY(),$H249&lt;&gt;"Completed"),"⚠ follow-up overdue",""))</f>
        <v/>
      </c>
    </row>
    <row r="250">
      <c r="A250" s="19" t="n"/>
      <c r="B250" s="9" t="n"/>
      <c r="C250" s="9" t="n"/>
      <c r="D250" s="9" t="n"/>
      <c r="E250" s="9" t="n"/>
      <c r="F250" s="9" t="n"/>
      <c r="G250" s="19" t="n"/>
      <c r="H250" s="9" t="n"/>
      <c r="I250" s="9" t="n"/>
      <c r="J250" s="9" t="n"/>
      <c r="K250" s="9" t="n"/>
      <c r="L250">
        <f>IF($A250="","",IF(AND($G250&lt;&gt;"",$G250&lt;TODAY(),$H250&lt;&gt;"Completed"),"⚠ follow-up overdue",""))</f>
        <v/>
      </c>
    </row>
    <row r="251">
      <c r="A251" s="19" t="n"/>
      <c r="B251" s="9" t="n"/>
      <c r="C251" s="9" t="n"/>
      <c r="D251" s="9" t="n"/>
      <c r="E251" s="9" t="n"/>
      <c r="F251" s="9" t="n"/>
      <c r="G251" s="19" t="n"/>
      <c r="H251" s="9" t="n"/>
      <c r="I251" s="9" t="n"/>
      <c r="J251" s="9" t="n"/>
      <c r="K251" s="9" t="n"/>
      <c r="L251">
        <f>IF($A251="","",IF(AND($G251&lt;&gt;"",$G251&lt;TODAY(),$H251&lt;&gt;"Completed"),"⚠ follow-up overdue",""))</f>
        <v/>
      </c>
    </row>
    <row r="252">
      <c r="A252" s="19" t="n"/>
      <c r="B252" s="9" t="n"/>
      <c r="C252" s="9" t="n"/>
      <c r="D252" s="9" t="n"/>
      <c r="E252" s="9" t="n"/>
      <c r="F252" s="9" t="n"/>
      <c r="G252" s="19" t="n"/>
      <c r="H252" s="9" t="n"/>
      <c r="I252" s="9" t="n"/>
      <c r="J252" s="9" t="n"/>
      <c r="K252" s="9" t="n"/>
      <c r="L252">
        <f>IF($A252="","",IF(AND($G252&lt;&gt;"",$G252&lt;TODAY(),$H252&lt;&gt;"Completed"),"⚠ follow-up overdue",""))</f>
        <v/>
      </c>
    </row>
    <row r="253">
      <c r="A253" s="19" t="n"/>
      <c r="B253" s="9" t="n"/>
      <c r="C253" s="9" t="n"/>
      <c r="D253" s="9" t="n"/>
      <c r="E253" s="9" t="n"/>
      <c r="F253" s="9" t="n"/>
      <c r="G253" s="19" t="n"/>
      <c r="H253" s="9" t="n"/>
      <c r="I253" s="9" t="n"/>
      <c r="J253" s="9" t="n"/>
      <c r="K253" s="9" t="n"/>
      <c r="L253">
        <f>IF($A253="","",IF(AND($G253&lt;&gt;"",$G253&lt;TODAY(),$H253&lt;&gt;"Completed"),"⚠ follow-up overdue",""))</f>
        <v/>
      </c>
    </row>
    <row r="254">
      <c r="A254" s="19" t="n"/>
      <c r="B254" s="9" t="n"/>
      <c r="C254" s="9" t="n"/>
      <c r="D254" s="9" t="n"/>
      <c r="E254" s="9" t="n"/>
      <c r="F254" s="9" t="n"/>
      <c r="G254" s="19" t="n"/>
      <c r="H254" s="9" t="n"/>
      <c r="I254" s="9" t="n"/>
      <c r="J254" s="9" t="n"/>
      <c r="K254" s="9" t="n"/>
      <c r="L254">
        <f>IF($A254="","",IF(AND($G254&lt;&gt;"",$G254&lt;TODAY(),$H254&lt;&gt;"Completed"),"⚠ follow-up overdue",""))</f>
        <v/>
      </c>
    </row>
    <row r="255">
      <c r="A255" s="19" t="n"/>
      <c r="B255" s="9" t="n"/>
      <c r="C255" s="9" t="n"/>
      <c r="D255" s="9" t="n"/>
      <c r="E255" s="9" t="n"/>
      <c r="F255" s="9" t="n"/>
      <c r="G255" s="19" t="n"/>
      <c r="H255" s="9" t="n"/>
      <c r="I255" s="9" t="n"/>
      <c r="J255" s="9" t="n"/>
      <c r="K255" s="9" t="n"/>
      <c r="L255">
        <f>IF($A255="","",IF(AND($G255&lt;&gt;"",$G255&lt;TODAY(),$H255&lt;&gt;"Completed"),"⚠ follow-up overdue",""))</f>
        <v/>
      </c>
    </row>
    <row r="256">
      <c r="A256" s="19" t="n"/>
      <c r="B256" s="9" t="n"/>
      <c r="C256" s="9" t="n"/>
      <c r="D256" s="9" t="n"/>
      <c r="E256" s="9" t="n"/>
      <c r="F256" s="9" t="n"/>
      <c r="G256" s="19" t="n"/>
      <c r="H256" s="9" t="n"/>
      <c r="I256" s="9" t="n"/>
      <c r="J256" s="9" t="n"/>
      <c r="K256" s="9" t="n"/>
      <c r="L256">
        <f>IF($A256="","",IF(AND($G256&lt;&gt;"",$G256&lt;TODAY(),$H256&lt;&gt;"Completed"),"⚠ follow-up overdue",""))</f>
        <v/>
      </c>
    </row>
    <row r="257">
      <c r="A257" s="19" t="n"/>
      <c r="B257" s="9" t="n"/>
      <c r="C257" s="9" t="n"/>
      <c r="D257" s="9" t="n"/>
      <c r="E257" s="9" t="n"/>
      <c r="F257" s="9" t="n"/>
      <c r="G257" s="19" t="n"/>
      <c r="H257" s="9" t="n"/>
      <c r="I257" s="9" t="n"/>
      <c r="J257" s="9" t="n"/>
      <c r="K257" s="9" t="n"/>
      <c r="L257">
        <f>IF($A257="","",IF(AND($G257&lt;&gt;"",$G257&lt;TODAY(),$H257&lt;&gt;"Completed"),"⚠ follow-up overdue",""))</f>
        <v/>
      </c>
    </row>
    <row r="258">
      <c r="A258" s="19" t="n"/>
      <c r="B258" s="9" t="n"/>
      <c r="C258" s="9" t="n"/>
      <c r="D258" s="9" t="n"/>
      <c r="E258" s="9" t="n"/>
      <c r="F258" s="9" t="n"/>
      <c r="G258" s="19" t="n"/>
      <c r="H258" s="9" t="n"/>
      <c r="I258" s="9" t="n"/>
      <c r="J258" s="9" t="n"/>
      <c r="K258" s="9" t="n"/>
      <c r="L258">
        <f>IF($A258="","",IF(AND($G258&lt;&gt;"",$G258&lt;TODAY(),$H258&lt;&gt;"Completed"),"⚠ follow-up overdue",""))</f>
        <v/>
      </c>
    </row>
    <row r="259">
      <c r="A259" s="19" t="n"/>
      <c r="B259" s="9" t="n"/>
      <c r="C259" s="9" t="n"/>
      <c r="D259" s="9" t="n"/>
      <c r="E259" s="9" t="n"/>
      <c r="F259" s="9" t="n"/>
      <c r="G259" s="19" t="n"/>
      <c r="H259" s="9" t="n"/>
      <c r="I259" s="9" t="n"/>
      <c r="J259" s="9" t="n"/>
      <c r="K259" s="9" t="n"/>
      <c r="L259">
        <f>IF($A259="","",IF(AND($G259&lt;&gt;"",$G259&lt;TODAY(),$H259&lt;&gt;"Completed"),"⚠ follow-up overdue",""))</f>
        <v/>
      </c>
    </row>
    <row r="260">
      <c r="A260" s="19" t="n"/>
      <c r="B260" s="9" t="n"/>
      <c r="C260" s="9" t="n"/>
      <c r="D260" s="9" t="n"/>
      <c r="E260" s="9" t="n"/>
      <c r="F260" s="9" t="n"/>
      <c r="G260" s="19" t="n"/>
      <c r="H260" s="9" t="n"/>
      <c r="I260" s="9" t="n"/>
      <c r="J260" s="9" t="n"/>
      <c r="K260" s="9" t="n"/>
      <c r="L260">
        <f>IF($A260="","",IF(AND($G260&lt;&gt;"",$G260&lt;TODAY(),$H260&lt;&gt;"Completed"),"⚠ follow-up overdue",""))</f>
        <v/>
      </c>
    </row>
    <row r="261">
      <c r="A261" s="19" t="n"/>
      <c r="B261" s="9" t="n"/>
      <c r="C261" s="9" t="n"/>
      <c r="D261" s="9" t="n"/>
      <c r="E261" s="9" t="n"/>
      <c r="F261" s="9" t="n"/>
      <c r="G261" s="19" t="n"/>
      <c r="H261" s="9" t="n"/>
      <c r="I261" s="9" t="n"/>
      <c r="J261" s="9" t="n"/>
      <c r="K261" s="9" t="n"/>
      <c r="L261">
        <f>IF($A261="","",IF(AND($G261&lt;&gt;"",$G261&lt;TODAY(),$H261&lt;&gt;"Completed"),"⚠ follow-up overdue",""))</f>
        <v/>
      </c>
    </row>
    <row r="262">
      <c r="A262" s="19" t="n"/>
      <c r="B262" s="9" t="n"/>
      <c r="C262" s="9" t="n"/>
      <c r="D262" s="9" t="n"/>
      <c r="E262" s="9" t="n"/>
      <c r="F262" s="9" t="n"/>
      <c r="G262" s="19" t="n"/>
      <c r="H262" s="9" t="n"/>
      <c r="I262" s="9" t="n"/>
      <c r="J262" s="9" t="n"/>
      <c r="K262" s="9" t="n"/>
      <c r="L262">
        <f>IF($A262="","",IF(AND($G262&lt;&gt;"",$G262&lt;TODAY(),$H262&lt;&gt;"Completed"),"⚠ follow-up overdue",""))</f>
        <v/>
      </c>
    </row>
    <row r="263">
      <c r="A263" s="19" t="n"/>
      <c r="B263" s="9" t="n"/>
      <c r="C263" s="9" t="n"/>
      <c r="D263" s="9" t="n"/>
      <c r="E263" s="9" t="n"/>
      <c r="F263" s="9" t="n"/>
      <c r="G263" s="19" t="n"/>
      <c r="H263" s="9" t="n"/>
      <c r="I263" s="9" t="n"/>
      <c r="J263" s="9" t="n"/>
      <c r="K263" s="9" t="n"/>
      <c r="L263">
        <f>IF($A263="","",IF(AND($G263&lt;&gt;"",$G263&lt;TODAY(),$H263&lt;&gt;"Completed"),"⚠ follow-up overdue",""))</f>
        <v/>
      </c>
    </row>
    <row r="264">
      <c r="A264" s="19" t="n"/>
      <c r="B264" s="9" t="n"/>
      <c r="C264" s="9" t="n"/>
      <c r="D264" s="9" t="n"/>
      <c r="E264" s="9" t="n"/>
      <c r="F264" s="9" t="n"/>
      <c r="G264" s="19" t="n"/>
      <c r="H264" s="9" t="n"/>
      <c r="I264" s="9" t="n"/>
      <c r="J264" s="9" t="n"/>
      <c r="K264" s="9" t="n"/>
      <c r="L264">
        <f>IF($A264="","",IF(AND($G264&lt;&gt;"",$G264&lt;TODAY(),$H264&lt;&gt;"Completed"),"⚠ follow-up overdue",""))</f>
        <v/>
      </c>
    </row>
    <row r="265">
      <c r="A265" s="19" t="n"/>
      <c r="B265" s="9" t="n"/>
      <c r="C265" s="9" t="n"/>
      <c r="D265" s="9" t="n"/>
      <c r="E265" s="9" t="n"/>
      <c r="F265" s="9" t="n"/>
      <c r="G265" s="19" t="n"/>
      <c r="H265" s="9" t="n"/>
      <c r="I265" s="9" t="n"/>
      <c r="J265" s="9" t="n"/>
      <c r="K265" s="9" t="n"/>
      <c r="L265">
        <f>IF($A265="","",IF(AND($G265&lt;&gt;"",$G265&lt;TODAY(),$H265&lt;&gt;"Completed"),"⚠ follow-up overdue",""))</f>
        <v/>
      </c>
    </row>
    <row r="266">
      <c r="A266" s="19" t="n"/>
      <c r="B266" s="9" t="n"/>
      <c r="C266" s="9" t="n"/>
      <c r="D266" s="9" t="n"/>
      <c r="E266" s="9" t="n"/>
      <c r="F266" s="9" t="n"/>
      <c r="G266" s="19" t="n"/>
      <c r="H266" s="9" t="n"/>
      <c r="I266" s="9" t="n"/>
      <c r="J266" s="9" t="n"/>
      <c r="K266" s="9" t="n"/>
      <c r="L266">
        <f>IF($A266="","",IF(AND($G266&lt;&gt;"",$G266&lt;TODAY(),$H266&lt;&gt;"Completed"),"⚠ follow-up overdue",""))</f>
        <v/>
      </c>
    </row>
    <row r="267">
      <c r="A267" s="19" t="n"/>
      <c r="B267" s="9" t="n"/>
      <c r="C267" s="9" t="n"/>
      <c r="D267" s="9" t="n"/>
      <c r="E267" s="9" t="n"/>
      <c r="F267" s="9" t="n"/>
      <c r="G267" s="19" t="n"/>
      <c r="H267" s="9" t="n"/>
      <c r="I267" s="9" t="n"/>
      <c r="J267" s="9" t="n"/>
      <c r="K267" s="9" t="n"/>
      <c r="L267">
        <f>IF($A267="","",IF(AND($G267&lt;&gt;"",$G267&lt;TODAY(),$H267&lt;&gt;"Completed"),"⚠ follow-up overdue",""))</f>
        <v/>
      </c>
    </row>
    <row r="268">
      <c r="A268" s="19" t="n"/>
      <c r="B268" s="9" t="n"/>
      <c r="C268" s="9" t="n"/>
      <c r="D268" s="9" t="n"/>
      <c r="E268" s="9" t="n"/>
      <c r="F268" s="9" t="n"/>
      <c r="G268" s="19" t="n"/>
      <c r="H268" s="9" t="n"/>
      <c r="I268" s="9" t="n"/>
      <c r="J268" s="9" t="n"/>
      <c r="K268" s="9" t="n"/>
      <c r="L268">
        <f>IF($A268="","",IF(AND($G268&lt;&gt;"",$G268&lt;TODAY(),$H268&lt;&gt;"Completed"),"⚠ follow-up overdue",""))</f>
        <v/>
      </c>
    </row>
    <row r="269">
      <c r="A269" s="19" t="n"/>
      <c r="B269" s="9" t="n"/>
      <c r="C269" s="9" t="n"/>
      <c r="D269" s="9" t="n"/>
      <c r="E269" s="9" t="n"/>
      <c r="F269" s="9" t="n"/>
      <c r="G269" s="19" t="n"/>
      <c r="H269" s="9" t="n"/>
      <c r="I269" s="9" t="n"/>
      <c r="J269" s="9" t="n"/>
      <c r="K269" s="9" t="n"/>
      <c r="L269">
        <f>IF($A269="","",IF(AND($G269&lt;&gt;"",$G269&lt;TODAY(),$H269&lt;&gt;"Completed"),"⚠ follow-up overdue",""))</f>
        <v/>
      </c>
    </row>
    <row r="270">
      <c r="A270" s="19" t="n"/>
      <c r="B270" s="9" t="n"/>
      <c r="C270" s="9" t="n"/>
      <c r="D270" s="9" t="n"/>
      <c r="E270" s="9" t="n"/>
      <c r="F270" s="9" t="n"/>
      <c r="G270" s="19" t="n"/>
      <c r="H270" s="9" t="n"/>
      <c r="I270" s="9" t="n"/>
      <c r="J270" s="9" t="n"/>
      <c r="K270" s="9" t="n"/>
      <c r="L270">
        <f>IF($A270="","",IF(AND($G270&lt;&gt;"",$G270&lt;TODAY(),$H270&lt;&gt;"Completed"),"⚠ follow-up overdue",""))</f>
        <v/>
      </c>
    </row>
    <row r="271">
      <c r="A271" s="19" t="n"/>
      <c r="B271" s="9" t="n"/>
      <c r="C271" s="9" t="n"/>
      <c r="D271" s="9" t="n"/>
      <c r="E271" s="9" t="n"/>
      <c r="F271" s="9" t="n"/>
      <c r="G271" s="19" t="n"/>
      <c r="H271" s="9" t="n"/>
      <c r="I271" s="9" t="n"/>
      <c r="J271" s="9" t="n"/>
      <c r="K271" s="9" t="n"/>
      <c r="L271">
        <f>IF($A271="","",IF(AND($G271&lt;&gt;"",$G271&lt;TODAY(),$H271&lt;&gt;"Completed"),"⚠ follow-up overdue",""))</f>
        <v/>
      </c>
    </row>
    <row r="272">
      <c r="A272" s="19" t="n"/>
      <c r="B272" s="9" t="n"/>
      <c r="C272" s="9" t="n"/>
      <c r="D272" s="9" t="n"/>
      <c r="E272" s="9" t="n"/>
      <c r="F272" s="9" t="n"/>
      <c r="G272" s="19" t="n"/>
      <c r="H272" s="9" t="n"/>
      <c r="I272" s="9" t="n"/>
      <c r="J272" s="9" t="n"/>
      <c r="K272" s="9" t="n"/>
      <c r="L272">
        <f>IF($A272="","",IF(AND($G272&lt;&gt;"",$G272&lt;TODAY(),$H272&lt;&gt;"Completed"),"⚠ follow-up overdue",""))</f>
        <v/>
      </c>
    </row>
    <row r="273">
      <c r="A273" s="19" t="n"/>
      <c r="B273" s="9" t="n"/>
      <c r="C273" s="9" t="n"/>
      <c r="D273" s="9" t="n"/>
      <c r="E273" s="9" t="n"/>
      <c r="F273" s="9" t="n"/>
      <c r="G273" s="19" t="n"/>
      <c r="H273" s="9" t="n"/>
      <c r="I273" s="9" t="n"/>
      <c r="J273" s="9" t="n"/>
      <c r="K273" s="9" t="n"/>
      <c r="L273">
        <f>IF($A273="","",IF(AND($G273&lt;&gt;"",$G273&lt;TODAY(),$H273&lt;&gt;"Completed"),"⚠ follow-up overdue",""))</f>
        <v/>
      </c>
    </row>
    <row r="274">
      <c r="A274" s="19" t="n"/>
      <c r="B274" s="9" t="n"/>
      <c r="C274" s="9" t="n"/>
      <c r="D274" s="9" t="n"/>
      <c r="E274" s="9" t="n"/>
      <c r="F274" s="9" t="n"/>
      <c r="G274" s="19" t="n"/>
      <c r="H274" s="9" t="n"/>
      <c r="I274" s="9" t="n"/>
      <c r="J274" s="9" t="n"/>
      <c r="K274" s="9" t="n"/>
      <c r="L274">
        <f>IF($A274="","",IF(AND($G274&lt;&gt;"",$G274&lt;TODAY(),$H274&lt;&gt;"Completed"),"⚠ follow-up overdue",""))</f>
        <v/>
      </c>
    </row>
    <row r="275">
      <c r="A275" s="19" t="n"/>
      <c r="B275" s="9" t="n"/>
      <c r="C275" s="9" t="n"/>
      <c r="D275" s="9" t="n"/>
      <c r="E275" s="9" t="n"/>
      <c r="F275" s="9" t="n"/>
      <c r="G275" s="19" t="n"/>
      <c r="H275" s="9" t="n"/>
      <c r="I275" s="9" t="n"/>
      <c r="J275" s="9" t="n"/>
      <c r="K275" s="9" t="n"/>
      <c r="L275">
        <f>IF($A275="","",IF(AND($G275&lt;&gt;"",$G275&lt;TODAY(),$H275&lt;&gt;"Completed"),"⚠ follow-up overdue",""))</f>
        <v/>
      </c>
    </row>
    <row r="276">
      <c r="A276" s="19" t="n"/>
      <c r="B276" s="9" t="n"/>
      <c r="C276" s="9" t="n"/>
      <c r="D276" s="9" t="n"/>
      <c r="E276" s="9" t="n"/>
      <c r="F276" s="9" t="n"/>
      <c r="G276" s="19" t="n"/>
      <c r="H276" s="9" t="n"/>
      <c r="I276" s="9" t="n"/>
      <c r="J276" s="9" t="n"/>
      <c r="K276" s="9" t="n"/>
      <c r="L276">
        <f>IF($A276="","",IF(AND($G276&lt;&gt;"",$G276&lt;TODAY(),$H276&lt;&gt;"Completed"),"⚠ follow-up overdue",""))</f>
        <v/>
      </c>
    </row>
    <row r="277">
      <c r="A277" s="19" t="n"/>
      <c r="B277" s="9" t="n"/>
      <c r="C277" s="9" t="n"/>
      <c r="D277" s="9" t="n"/>
      <c r="E277" s="9" t="n"/>
      <c r="F277" s="9" t="n"/>
      <c r="G277" s="19" t="n"/>
      <c r="H277" s="9" t="n"/>
      <c r="I277" s="9" t="n"/>
      <c r="J277" s="9" t="n"/>
      <c r="K277" s="9" t="n"/>
      <c r="L277">
        <f>IF($A277="","",IF(AND($G277&lt;&gt;"",$G277&lt;TODAY(),$H277&lt;&gt;"Completed"),"⚠ follow-up overdue",""))</f>
        <v/>
      </c>
    </row>
    <row r="278">
      <c r="A278" s="19" t="n"/>
      <c r="B278" s="9" t="n"/>
      <c r="C278" s="9" t="n"/>
      <c r="D278" s="9" t="n"/>
      <c r="E278" s="9" t="n"/>
      <c r="F278" s="9" t="n"/>
      <c r="G278" s="19" t="n"/>
      <c r="H278" s="9" t="n"/>
      <c r="I278" s="9" t="n"/>
      <c r="J278" s="9" t="n"/>
      <c r="K278" s="9" t="n"/>
      <c r="L278">
        <f>IF($A278="","",IF(AND($G278&lt;&gt;"",$G278&lt;TODAY(),$H278&lt;&gt;"Completed"),"⚠ follow-up overdue",""))</f>
        <v/>
      </c>
    </row>
    <row r="279">
      <c r="A279" s="19" t="n"/>
      <c r="B279" s="9" t="n"/>
      <c r="C279" s="9" t="n"/>
      <c r="D279" s="9" t="n"/>
      <c r="E279" s="9" t="n"/>
      <c r="F279" s="9" t="n"/>
      <c r="G279" s="19" t="n"/>
      <c r="H279" s="9" t="n"/>
      <c r="I279" s="9" t="n"/>
      <c r="J279" s="9" t="n"/>
      <c r="K279" s="9" t="n"/>
      <c r="L279">
        <f>IF($A279="","",IF(AND($G279&lt;&gt;"",$G279&lt;TODAY(),$H279&lt;&gt;"Completed"),"⚠ follow-up overdue",""))</f>
        <v/>
      </c>
    </row>
    <row r="280">
      <c r="A280" s="19" t="n"/>
      <c r="B280" s="9" t="n"/>
      <c r="C280" s="9" t="n"/>
      <c r="D280" s="9" t="n"/>
      <c r="E280" s="9" t="n"/>
      <c r="F280" s="9" t="n"/>
      <c r="G280" s="19" t="n"/>
      <c r="H280" s="9" t="n"/>
      <c r="I280" s="9" t="n"/>
      <c r="J280" s="9" t="n"/>
      <c r="K280" s="9" t="n"/>
      <c r="L280">
        <f>IF($A280="","",IF(AND($G280&lt;&gt;"",$G280&lt;TODAY(),$H280&lt;&gt;"Completed"),"⚠ follow-up overdue",""))</f>
        <v/>
      </c>
    </row>
    <row r="281">
      <c r="A281" s="19" t="n"/>
      <c r="B281" s="9" t="n"/>
      <c r="C281" s="9" t="n"/>
      <c r="D281" s="9" t="n"/>
      <c r="E281" s="9" t="n"/>
      <c r="F281" s="9" t="n"/>
      <c r="G281" s="19" t="n"/>
      <c r="H281" s="9" t="n"/>
      <c r="I281" s="9" t="n"/>
      <c r="J281" s="9" t="n"/>
      <c r="K281" s="9" t="n"/>
      <c r="L281">
        <f>IF($A281="","",IF(AND($G281&lt;&gt;"",$G281&lt;TODAY(),$H281&lt;&gt;"Completed"),"⚠ follow-up overdue",""))</f>
        <v/>
      </c>
    </row>
    <row r="282">
      <c r="A282" s="19" t="n"/>
      <c r="B282" s="9" t="n"/>
      <c r="C282" s="9" t="n"/>
      <c r="D282" s="9" t="n"/>
      <c r="E282" s="9" t="n"/>
      <c r="F282" s="9" t="n"/>
      <c r="G282" s="19" t="n"/>
      <c r="H282" s="9" t="n"/>
      <c r="I282" s="9" t="n"/>
      <c r="J282" s="9" t="n"/>
      <c r="K282" s="9" t="n"/>
      <c r="L282">
        <f>IF($A282="","",IF(AND($G282&lt;&gt;"",$G282&lt;TODAY(),$H282&lt;&gt;"Completed"),"⚠ follow-up overdue",""))</f>
        <v/>
      </c>
    </row>
    <row r="283">
      <c r="A283" s="19" t="n"/>
      <c r="B283" s="9" t="n"/>
      <c r="C283" s="9" t="n"/>
      <c r="D283" s="9" t="n"/>
      <c r="E283" s="9" t="n"/>
      <c r="F283" s="9" t="n"/>
      <c r="G283" s="19" t="n"/>
      <c r="H283" s="9" t="n"/>
      <c r="I283" s="9" t="n"/>
      <c r="J283" s="9" t="n"/>
      <c r="K283" s="9" t="n"/>
      <c r="L283">
        <f>IF($A283="","",IF(AND($G283&lt;&gt;"",$G283&lt;TODAY(),$H283&lt;&gt;"Completed"),"⚠ follow-up overdue",""))</f>
        <v/>
      </c>
    </row>
    <row r="284">
      <c r="A284" s="19" t="n"/>
      <c r="B284" s="9" t="n"/>
      <c r="C284" s="9" t="n"/>
      <c r="D284" s="9" t="n"/>
      <c r="E284" s="9" t="n"/>
      <c r="F284" s="9" t="n"/>
      <c r="G284" s="19" t="n"/>
      <c r="H284" s="9" t="n"/>
      <c r="I284" s="9" t="n"/>
      <c r="J284" s="9" t="n"/>
      <c r="K284" s="9" t="n"/>
      <c r="L284">
        <f>IF($A284="","",IF(AND($G284&lt;&gt;"",$G284&lt;TODAY(),$H284&lt;&gt;"Completed"),"⚠ follow-up overdue",""))</f>
        <v/>
      </c>
    </row>
    <row r="285">
      <c r="A285" s="19" t="n"/>
      <c r="B285" s="9" t="n"/>
      <c r="C285" s="9" t="n"/>
      <c r="D285" s="9" t="n"/>
      <c r="E285" s="9" t="n"/>
      <c r="F285" s="9" t="n"/>
      <c r="G285" s="19" t="n"/>
      <c r="H285" s="9" t="n"/>
      <c r="I285" s="9" t="n"/>
      <c r="J285" s="9" t="n"/>
      <c r="K285" s="9" t="n"/>
      <c r="L285">
        <f>IF($A285="","",IF(AND($G285&lt;&gt;"",$G285&lt;TODAY(),$H285&lt;&gt;"Completed"),"⚠ follow-up overdue",""))</f>
        <v/>
      </c>
    </row>
    <row r="286">
      <c r="A286" s="19" t="n"/>
      <c r="B286" s="9" t="n"/>
      <c r="C286" s="9" t="n"/>
      <c r="D286" s="9" t="n"/>
      <c r="E286" s="9" t="n"/>
      <c r="F286" s="9" t="n"/>
      <c r="G286" s="19" t="n"/>
      <c r="H286" s="9" t="n"/>
      <c r="I286" s="9" t="n"/>
      <c r="J286" s="9" t="n"/>
      <c r="K286" s="9" t="n"/>
      <c r="L286">
        <f>IF($A286="","",IF(AND($G286&lt;&gt;"",$G286&lt;TODAY(),$H286&lt;&gt;"Completed"),"⚠ follow-up overdue",""))</f>
        <v/>
      </c>
    </row>
    <row r="287">
      <c r="A287" s="19" t="n"/>
      <c r="B287" s="9" t="n"/>
      <c r="C287" s="9" t="n"/>
      <c r="D287" s="9" t="n"/>
      <c r="E287" s="9" t="n"/>
      <c r="F287" s="9" t="n"/>
      <c r="G287" s="19" t="n"/>
      <c r="H287" s="9" t="n"/>
      <c r="I287" s="9" t="n"/>
      <c r="J287" s="9" t="n"/>
      <c r="K287" s="9" t="n"/>
      <c r="L287">
        <f>IF($A287="","",IF(AND($G287&lt;&gt;"",$G287&lt;TODAY(),$H287&lt;&gt;"Completed"),"⚠ follow-up overdue",""))</f>
        <v/>
      </c>
    </row>
    <row r="288">
      <c r="A288" s="19" t="n"/>
      <c r="B288" s="9" t="n"/>
      <c r="C288" s="9" t="n"/>
      <c r="D288" s="9" t="n"/>
      <c r="E288" s="9" t="n"/>
      <c r="F288" s="9" t="n"/>
      <c r="G288" s="19" t="n"/>
      <c r="H288" s="9" t="n"/>
      <c r="I288" s="9" t="n"/>
      <c r="J288" s="9" t="n"/>
      <c r="K288" s="9" t="n"/>
      <c r="L288">
        <f>IF($A288="","",IF(AND($G288&lt;&gt;"",$G288&lt;TODAY(),$H288&lt;&gt;"Completed"),"⚠ follow-up overdue",""))</f>
        <v/>
      </c>
    </row>
    <row r="289">
      <c r="A289" s="19" t="n"/>
      <c r="B289" s="9" t="n"/>
      <c r="C289" s="9" t="n"/>
      <c r="D289" s="9" t="n"/>
      <c r="E289" s="9" t="n"/>
      <c r="F289" s="9" t="n"/>
      <c r="G289" s="19" t="n"/>
      <c r="H289" s="9" t="n"/>
      <c r="I289" s="9" t="n"/>
      <c r="J289" s="9" t="n"/>
      <c r="K289" s="9" t="n"/>
      <c r="L289">
        <f>IF($A289="","",IF(AND($G289&lt;&gt;"",$G289&lt;TODAY(),$H289&lt;&gt;"Completed"),"⚠ follow-up overdue",""))</f>
        <v/>
      </c>
    </row>
    <row r="290">
      <c r="A290" s="19" t="n"/>
      <c r="B290" s="9" t="n"/>
      <c r="C290" s="9" t="n"/>
      <c r="D290" s="9" t="n"/>
      <c r="E290" s="9" t="n"/>
      <c r="F290" s="9" t="n"/>
      <c r="G290" s="19" t="n"/>
      <c r="H290" s="9" t="n"/>
      <c r="I290" s="9" t="n"/>
      <c r="J290" s="9" t="n"/>
      <c r="K290" s="9" t="n"/>
      <c r="L290">
        <f>IF($A290="","",IF(AND($G290&lt;&gt;"",$G290&lt;TODAY(),$H290&lt;&gt;"Completed"),"⚠ follow-up overdue",""))</f>
        <v/>
      </c>
    </row>
    <row r="291">
      <c r="A291" s="19" t="n"/>
      <c r="B291" s="9" t="n"/>
      <c r="C291" s="9" t="n"/>
      <c r="D291" s="9" t="n"/>
      <c r="E291" s="9" t="n"/>
      <c r="F291" s="9" t="n"/>
      <c r="G291" s="19" t="n"/>
      <c r="H291" s="9" t="n"/>
      <c r="I291" s="9" t="n"/>
      <c r="J291" s="9" t="n"/>
      <c r="K291" s="9" t="n"/>
      <c r="L291">
        <f>IF($A291="","",IF(AND($G291&lt;&gt;"",$G291&lt;TODAY(),$H291&lt;&gt;"Completed"),"⚠ follow-up overdue",""))</f>
        <v/>
      </c>
    </row>
    <row r="292">
      <c r="A292" s="19" t="n"/>
      <c r="B292" s="9" t="n"/>
      <c r="C292" s="9" t="n"/>
      <c r="D292" s="9" t="n"/>
      <c r="E292" s="9" t="n"/>
      <c r="F292" s="9" t="n"/>
      <c r="G292" s="19" t="n"/>
      <c r="H292" s="9" t="n"/>
      <c r="I292" s="9" t="n"/>
      <c r="J292" s="9" t="n"/>
      <c r="K292" s="9" t="n"/>
      <c r="L292">
        <f>IF($A292="","",IF(AND($G292&lt;&gt;"",$G292&lt;TODAY(),$H292&lt;&gt;"Completed"),"⚠ follow-up overdue",""))</f>
        <v/>
      </c>
    </row>
    <row r="293">
      <c r="A293" s="19" t="n"/>
      <c r="B293" s="9" t="n"/>
      <c r="C293" s="9" t="n"/>
      <c r="D293" s="9" t="n"/>
      <c r="E293" s="9" t="n"/>
      <c r="F293" s="9" t="n"/>
      <c r="G293" s="19" t="n"/>
      <c r="H293" s="9" t="n"/>
      <c r="I293" s="9" t="n"/>
      <c r="J293" s="9" t="n"/>
      <c r="K293" s="9" t="n"/>
      <c r="L293">
        <f>IF($A293="","",IF(AND($G293&lt;&gt;"",$G293&lt;TODAY(),$H293&lt;&gt;"Completed"),"⚠ follow-up overdue",""))</f>
        <v/>
      </c>
    </row>
    <row r="294">
      <c r="A294" s="19" t="n"/>
      <c r="B294" s="9" t="n"/>
      <c r="C294" s="9" t="n"/>
      <c r="D294" s="9" t="n"/>
      <c r="E294" s="9" t="n"/>
      <c r="F294" s="9" t="n"/>
      <c r="G294" s="19" t="n"/>
      <c r="H294" s="9" t="n"/>
      <c r="I294" s="9" t="n"/>
      <c r="J294" s="9" t="n"/>
      <c r="K294" s="9" t="n"/>
      <c r="L294">
        <f>IF($A294="","",IF(AND($G294&lt;&gt;"",$G294&lt;TODAY(),$H294&lt;&gt;"Completed"),"⚠ follow-up overdue",""))</f>
        <v/>
      </c>
    </row>
    <row r="295">
      <c r="A295" s="19" t="n"/>
      <c r="B295" s="9" t="n"/>
      <c r="C295" s="9" t="n"/>
      <c r="D295" s="9" t="n"/>
      <c r="E295" s="9" t="n"/>
      <c r="F295" s="9" t="n"/>
      <c r="G295" s="19" t="n"/>
      <c r="H295" s="9" t="n"/>
      <c r="I295" s="9" t="n"/>
      <c r="J295" s="9" t="n"/>
      <c r="K295" s="9" t="n"/>
      <c r="L295">
        <f>IF($A295="","",IF(AND($G295&lt;&gt;"",$G295&lt;TODAY(),$H295&lt;&gt;"Completed"),"⚠ follow-up overdue",""))</f>
        <v/>
      </c>
    </row>
    <row r="296">
      <c r="A296" s="19" t="n"/>
      <c r="B296" s="9" t="n"/>
      <c r="C296" s="9" t="n"/>
      <c r="D296" s="9" t="n"/>
      <c r="E296" s="9" t="n"/>
      <c r="F296" s="9" t="n"/>
      <c r="G296" s="19" t="n"/>
      <c r="H296" s="9" t="n"/>
      <c r="I296" s="9" t="n"/>
      <c r="J296" s="9" t="n"/>
      <c r="K296" s="9" t="n"/>
      <c r="L296">
        <f>IF($A296="","",IF(AND($G296&lt;&gt;"",$G296&lt;TODAY(),$H296&lt;&gt;"Completed"),"⚠ follow-up overdue",""))</f>
        <v/>
      </c>
    </row>
    <row r="297">
      <c r="A297" s="19" t="n"/>
      <c r="B297" s="9" t="n"/>
      <c r="C297" s="9" t="n"/>
      <c r="D297" s="9" t="n"/>
      <c r="E297" s="9" t="n"/>
      <c r="F297" s="9" t="n"/>
      <c r="G297" s="19" t="n"/>
      <c r="H297" s="9" t="n"/>
      <c r="I297" s="9" t="n"/>
      <c r="J297" s="9" t="n"/>
      <c r="K297" s="9" t="n"/>
      <c r="L297">
        <f>IF($A297="","",IF(AND($G297&lt;&gt;"",$G297&lt;TODAY(),$H297&lt;&gt;"Completed"),"⚠ follow-up overdue",""))</f>
        <v/>
      </c>
    </row>
    <row r="298">
      <c r="A298" s="19" t="n"/>
      <c r="B298" s="9" t="n"/>
      <c r="C298" s="9" t="n"/>
      <c r="D298" s="9" t="n"/>
      <c r="E298" s="9" t="n"/>
      <c r="F298" s="9" t="n"/>
      <c r="G298" s="19" t="n"/>
      <c r="H298" s="9" t="n"/>
      <c r="I298" s="9" t="n"/>
      <c r="J298" s="9" t="n"/>
      <c r="K298" s="9" t="n"/>
      <c r="L298">
        <f>IF($A298="","",IF(AND($G298&lt;&gt;"",$G298&lt;TODAY(),$H298&lt;&gt;"Completed"),"⚠ follow-up overdue",""))</f>
        <v/>
      </c>
    </row>
    <row r="299">
      <c r="A299" s="19" t="n"/>
      <c r="B299" s="9" t="n"/>
      <c r="C299" s="9" t="n"/>
      <c r="D299" s="9" t="n"/>
      <c r="E299" s="9" t="n"/>
      <c r="F299" s="9" t="n"/>
      <c r="G299" s="19" t="n"/>
      <c r="H299" s="9" t="n"/>
      <c r="I299" s="9" t="n"/>
      <c r="J299" s="9" t="n"/>
      <c r="K299" s="9" t="n"/>
      <c r="L299">
        <f>IF($A299="","",IF(AND($G299&lt;&gt;"",$G299&lt;TODAY(),$H299&lt;&gt;"Completed"),"⚠ follow-up overdue",""))</f>
        <v/>
      </c>
    </row>
    <row r="300">
      <c r="A300" s="19" t="n"/>
      <c r="B300" s="9" t="n"/>
      <c r="C300" s="9" t="n"/>
      <c r="D300" s="9" t="n"/>
      <c r="E300" s="9" t="n"/>
      <c r="F300" s="9" t="n"/>
      <c r="G300" s="19" t="n"/>
      <c r="H300" s="9" t="n"/>
      <c r="I300" s="9" t="n"/>
      <c r="J300" s="9" t="n"/>
      <c r="K300" s="9" t="n"/>
      <c r="L300">
        <f>IF($A300="","",IF(AND($G300&lt;&gt;"",$G300&lt;TODAY(),$H300&lt;&gt;"Completed"),"⚠ follow-up overdue",""))</f>
        <v/>
      </c>
    </row>
    <row r="301">
      <c r="A301" s="19" t="n"/>
      <c r="B301" s="9" t="n"/>
      <c r="C301" s="9" t="n"/>
      <c r="D301" s="9" t="n"/>
      <c r="E301" s="9" t="n"/>
      <c r="F301" s="9" t="n"/>
      <c r="G301" s="19" t="n"/>
      <c r="H301" s="9" t="n"/>
      <c r="I301" s="9" t="n"/>
      <c r="J301" s="9" t="n"/>
      <c r="K301" s="9" t="n"/>
      <c r="L301">
        <f>IF($A301="","",IF(AND($G301&lt;&gt;"",$G301&lt;TODAY(),$H301&lt;&gt;"Completed"),"⚠ follow-up overdue",""))</f>
        <v/>
      </c>
    </row>
    <row r="302">
      <c r="A302" s="19" t="n"/>
      <c r="B302" s="9" t="n"/>
      <c r="C302" s="9" t="n"/>
      <c r="D302" s="9" t="n"/>
      <c r="E302" s="9" t="n"/>
      <c r="F302" s="9" t="n"/>
      <c r="G302" s="19" t="n"/>
      <c r="H302" s="9" t="n"/>
      <c r="I302" s="9" t="n"/>
      <c r="J302" s="9" t="n"/>
      <c r="K302" s="9" t="n"/>
      <c r="L302">
        <f>IF($A302="","",IF(AND($G302&lt;&gt;"",$G302&lt;TODAY(),$H302&lt;&gt;"Completed"),"⚠ follow-up overdue",""))</f>
        <v/>
      </c>
    </row>
    <row r="303">
      <c r="A303" s="19" t="n"/>
      <c r="B303" s="9" t="n"/>
      <c r="C303" s="9" t="n"/>
      <c r="D303" s="9" t="n"/>
      <c r="E303" s="9" t="n"/>
      <c r="F303" s="9" t="n"/>
      <c r="G303" s="19" t="n"/>
      <c r="H303" s="9" t="n"/>
      <c r="I303" s="9" t="n"/>
      <c r="J303" s="9" t="n"/>
      <c r="K303" s="9" t="n"/>
      <c r="L303">
        <f>IF($A303="","",IF(AND($G303&lt;&gt;"",$G303&lt;TODAY(),$H303&lt;&gt;"Completed"),"⚠ follow-up overdue",""))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H4:H303">
    <cfRule type="cellIs" priority="1" operator="equal" dxfId="1">
      <formula>"Open"</formula>
    </cfRule>
    <cfRule type="cellIs" priority="2" operator="equal" dxfId="0">
      <formula>"Review Needed"</formula>
    </cfRule>
  </conditionalFormatting>
  <dataValidations count="2">
    <dataValidation sqref="C4:C303" showDropDown="0" showInputMessage="0" showErrorMessage="0" allowBlank="1" type="list">
      <formula1>"Reimbursement,Care Services,Subscriptions,Documents,Bills,Other"</formula1>
    </dataValidation>
    <dataValidation sqref="H4:H303" showDropDown="0" showInputMessage="0" showErrorMessage="0" allowBlank="1" type="list">
      <formula1>"Open,Waiting,Completed,Review Needed"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6" customWidth="1" min="3" max="3"/>
    <col width="14" customWidth="1" min="4" max="4"/>
  </cols>
  <sheetData>
    <row r="1">
      <c r="A1" s="8" t="inlineStr">
        <is>
          <t>MONTHLY FAMILY HANDOFF</t>
        </is>
      </c>
    </row>
    <row r="2">
      <c r="A2" s="14" t="inlineStr">
        <is>
          <t>Printable monthly summary -- another sibling can take over without a long explanation.</t>
        </is>
      </c>
    </row>
    <row r="4">
      <c r="A4" t="inlineStr">
        <is>
          <t>Bills Due Next 30 Days (count)</t>
        </is>
      </c>
      <c r="B4" s="15">
        <f>SUMPRODUCT(('Bills &amp; Recurring Payments'!$K$4:$K$303="Yes")*('Bills &amp; Recurring Payments'!$G$4:$G$303&lt;&gt;"")*('Bills &amp; Recurring Payments'!$G$4:$G$303&gt;=TODAY())*('Bills &amp; Recurring Payments'!$G$4:$G$303-TODAY()&lt;=30))</f>
        <v/>
      </c>
    </row>
    <row r="5">
      <c r="A5" t="inlineStr">
        <is>
          <t>Outstanding Reimbursements ($)</t>
        </is>
      </c>
      <c r="B5" s="12">
        <f>SUMPRODUCT((('Expenses &amp; Receipts'!$L$4:$L$1003="Pending")+('Expenses &amp; Receipts'!$L$4:$L$1003="Partially Reimbursed"))*'Expenses &amp; Receipts'!$N$4:$N$1003)</f>
        <v/>
      </c>
    </row>
    <row r="6">
      <c r="A6" t="inlineStr">
        <is>
          <t>Expenses This Month ($)</t>
        </is>
      </c>
      <c r="B6" s="12">
        <f>SUMIFS('Expenses &amp; Receipts'!$G$4:$G$1003,'Expenses &amp; Receipts'!$B$4:$B$1003,"&gt;="&amp;DATE(YEAR(TODAY()),MONTH(TODAY()),1),'Expenses &amp; Receipts'!$B$4:$B$1003,"&lt;"&amp;EDATE(DATE(YEAR(TODAY()),MONTH(TODAY()),1),1))</f>
        <v/>
      </c>
    </row>
    <row r="7">
      <c r="A7" t="inlineStr">
        <is>
          <t>Family Contributions This Month ($)</t>
        </is>
      </c>
      <c r="B7" s="12">
        <f>SUMPRODUCT((TEXT('Family Contributions'!$B$4:$B$1003,"yyyy-mm")=TEXT(TODAY(),"yyyy-mm"))*'Family Contributions'!$G$4:$G$1003)</f>
        <v/>
      </c>
    </row>
    <row r="8">
      <c r="A8" t="inlineStr">
        <is>
          <t>Subscriptions/Items Needing Review (count)</t>
        </is>
      </c>
      <c r="B8" s="15">
        <f>COUNTIF('Subscriptions Review'!$H$4:$H$303,"Yes")+COUNTIF('Accounts &amp; Important Documents'!$N$4:$N$303,"⚠ review overdue")</f>
        <v/>
      </c>
    </row>
    <row r="9">
      <c r="A9" t="inlineStr">
        <is>
          <t>Open Decisions (count)</t>
        </is>
      </c>
      <c r="B9" s="15">
        <f>COUNTIF('Decisions &amp; Handoff Log'!$H$4:$H$303,"Open")+COUNTIF('Decisions &amp; Handoff Log'!$H$4:$H$303,"Waiting")+COUNTIF('Decisions &amp; Handoff Log'!$H$4:$H$303,"Review Needed")</f>
        <v/>
      </c>
    </row>
    <row r="10">
      <c r="A10" t="inlineStr">
        <is>
          <t>Documents/Accounts Needing Update (count)</t>
        </is>
      </c>
      <c r="B10" s="15">
        <f>COUNTIF('Accounts &amp; Important Documents'!$N$4:$N$303,"⚠ review overdue")</f>
        <v/>
      </c>
    </row>
    <row r="13">
      <c r="A13" s="16" t="inlineStr">
        <is>
          <t>THIS MONTH'S OPEN ITEMS (from Decisions &amp; Handoff Log)</t>
        </is>
      </c>
    </row>
    <row r="14">
      <c r="A14" s="1" t="inlineStr">
        <is>
          <t>Decision / Issue</t>
        </is>
      </c>
      <c r="B14" s="1" t="inlineStr">
        <is>
          <t>Who Is Responsible</t>
        </is>
      </c>
      <c r="C14" s="1" t="inlineStr">
        <is>
          <t>Status</t>
        </is>
      </c>
    </row>
    <row r="15">
      <c r="A15">
        <f>'Decisions &amp; Handoff Log'!B4</f>
        <v/>
      </c>
      <c r="B15">
        <f>'Decisions &amp; Handoff Log'!F4</f>
        <v/>
      </c>
      <c r="C15">
        <f>'Decisions &amp; Handoff Log'!H4</f>
        <v/>
      </c>
    </row>
    <row r="16">
      <c r="A16">
        <f>'Decisions &amp; Handoff Log'!B5</f>
        <v/>
      </c>
      <c r="B16">
        <f>'Decisions &amp; Handoff Log'!F5</f>
        <v/>
      </c>
      <c r="C16">
        <f>'Decisions &amp; Handoff Log'!H5</f>
        <v/>
      </c>
    </row>
    <row r="17">
      <c r="A17">
        <f>'Decisions &amp; Handoff Log'!B6</f>
        <v/>
      </c>
      <c r="B17">
        <f>'Decisions &amp; Handoff Log'!F6</f>
        <v/>
      </c>
      <c r="C17">
        <f>'Decisions &amp; Handoff Log'!H6</f>
        <v/>
      </c>
    </row>
    <row r="18">
      <c r="A18">
        <f>'Decisions &amp; Handoff Log'!B7</f>
        <v/>
      </c>
      <c r="B18">
        <f>'Decisions &amp; Handoff Log'!F7</f>
        <v/>
      </c>
      <c r="C18">
        <f>'Decisions &amp; Handoff Log'!H7</f>
        <v/>
      </c>
    </row>
    <row r="19">
      <c r="A19">
        <f>'Decisions &amp; Handoff Log'!B8</f>
        <v/>
      </c>
      <c r="B19">
        <f>'Decisions &amp; Handoff Log'!F8</f>
        <v/>
      </c>
      <c r="C19">
        <f>'Decisions &amp; Handoff Log'!H8</f>
        <v/>
      </c>
    </row>
    <row r="20">
      <c r="A20">
        <f>'Decisions &amp; Handoff Log'!B9</f>
        <v/>
      </c>
      <c r="B20">
        <f>'Decisions &amp; Handoff Log'!F9</f>
        <v/>
      </c>
      <c r="C20">
        <f>'Decisions &amp; Handoff Log'!H9</f>
        <v/>
      </c>
    </row>
    <row r="22">
      <c r="A22" s="14" t="inlineStr">
        <is>
          <t>For full detail on every expense, bill, and decision, see the individual tabs above.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22:C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C146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</cols>
  <sheetData>
    <row r="1">
      <c r="A1" s="21" t="inlineStr">
        <is>
          <t>FAMILY FINANCIAL DASHBOARD</t>
        </is>
      </c>
    </row>
    <row r="2"/>
    <row r="3">
      <c r="A3" t="inlineStr">
        <is>
          <t>Monthly Bills ($, Active + Monthly frequency)</t>
        </is>
      </c>
      <c r="B3" s="12">
        <f>SUMPRODUCT(('Bills &amp; Recurring Payments'!$K$4:$K$303="Yes")*('Bills &amp; Recurring Payments'!$F$4:$F$303="Monthly")*'Bills &amp; Recurring Payments'!$E$4:$E$303)</f>
        <v/>
      </c>
    </row>
    <row r="4">
      <c r="A4" t="inlineStr">
        <is>
          <t>Expenses YTD ($)</t>
        </is>
      </c>
      <c r="B4" s="12">
        <f>SUM('Expenses &amp; Receipts'!$G$4:$G$1003)</f>
        <v/>
      </c>
    </row>
    <row r="5">
      <c r="A5" t="inlineStr">
        <is>
          <t>Reimbursements Pending (count)</t>
        </is>
      </c>
      <c r="B5" s="15">
        <f>COUNTIF('Expenses &amp; Receipts'!$L$4:$L$1003,"Pending")+COUNTIF('Expenses &amp; Receipts'!$L$4:$L$1003,"Partially Reimbursed")</f>
        <v/>
      </c>
    </row>
    <row r="6">
      <c r="A6" t="inlineStr">
        <is>
          <t>Family Contributions ($, total applied)</t>
        </is>
      </c>
      <c r="B6" s="12">
        <f>SUM('Family Contributions'!$G$4:$G$1003)</f>
        <v/>
      </c>
    </row>
    <row r="7">
      <c r="A7" t="inlineStr">
        <is>
          <t>Outstanding Reimbursement ($)</t>
        </is>
      </c>
      <c r="B7" s="12">
        <f>SUMPRODUCT((('Expenses &amp; Receipts'!$L$4:$L$1003="Pending")+('Expenses &amp; Receipts'!$L$4:$L$1003="Partially Reimbursed"))*'Expenses &amp; Receipts'!$N$4:$N$1003)</f>
        <v/>
      </c>
    </row>
    <row r="8">
      <c r="A8" t="inlineStr">
        <is>
          <t>Active Recurring Payments (count)</t>
        </is>
      </c>
      <c r="B8" s="15">
        <f>COUNTIF('Bills &amp; Recurring Payments'!$K$4:$K$303,"Yes")</f>
        <v/>
      </c>
    </row>
    <row r="9">
      <c r="A9" t="inlineStr">
        <is>
          <t>Review/Cancellation Candidates (count)</t>
        </is>
      </c>
      <c r="B9" s="15">
        <f>COUNTIF('Subscriptions Review'!$H$4:$H$303,"Yes")</f>
        <v/>
      </c>
    </row>
    <row r="10">
      <c r="A10" t="inlineStr">
        <is>
          <t>Open Financial Tasks (count)</t>
        </is>
      </c>
      <c r="B10" s="15">
        <f>COUNTIF('Decisions &amp; Handoff Log'!$H$4:$H$303,"Open")+COUNTIF('Decisions &amp; Handoff Log'!$H$4:$H$303,"Waiting")+COUNTIF('Decisions &amp; Handoff Log'!$H$4:$H$303,"Review Needed")</f>
        <v/>
      </c>
    </row>
    <row r="12">
      <c r="A12" s="3" t="inlineStr">
        <is>
          <t>NEEDS ATTENTION</t>
        </is>
      </c>
    </row>
    <row r="13">
      <c r="A13" t="inlineStr">
        <is>
          <t>Overdue Bills (count)</t>
        </is>
      </c>
      <c r="B13" s="15">
        <f>COUNTIF('Bills &amp; Recurring Payments'!$O$4:$O$303,"⚠ overdue")</f>
        <v/>
      </c>
    </row>
    <row r="14">
      <c r="A14" t="inlineStr">
        <is>
          <t>Pending Reimbursements (count)</t>
        </is>
      </c>
      <c r="B14" s="15">
        <f>B5</f>
        <v/>
      </c>
    </row>
    <row r="15">
      <c r="A15" t="inlineStr">
        <is>
          <t>Disputed/Review Expenses (count)</t>
        </is>
      </c>
      <c r="B15" s="15">
        <f>COUNTIF('Expenses &amp; Receipts'!$L$4:$L$1003,"Disputed / Review")</f>
        <v/>
      </c>
    </row>
    <row r="16">
      <c r="A16" t="inlineStr">
        <is>
          <t>Recurring Charges Needing Review (count)</t>
        </is>
      </c>
      <c r="B16" s="15">
        <f>B9</f>
        <v/>
      </c>
    </row>
    <row r="17">
      <c r="A17" t="inlineStr">
        <is>
          <t>Open Decisions/Tasks (count)</t>
        </is>
      </c>
      <c r="B17" s="15">
        <f>B10</f>
        <v/>
      </c>
    </row>
    <row r="18">
      <c r="A18" t="inlineStr">
        <is>
          <t>Stale Document/Account Records (count)</t>
        </is>
      </c>
      <c r="B18" s="15">
        <f>COUNTIF('Accounts &amp; Important Documents'!$N$4:$N$303,"⚠ review overdue")</f>
        <v/>
      </c>
    </row>
    <row r="90">
      <c r="A90" s="17" t="inlineStr">
        <is>
          <t>CHART DATA (auto-calculated from the sheets above — do not edit)</t>
        </is>
      </c>
    </row>
    <row r="92">
      <c r="A92" s="1" t="inlineStr">
        <is>
          <t>Month</t>
        </is>
      </c>
      <c r="B92" s="1" t="inlineStr">
        <is>
          <t>Expenses</t>
        </is>
      </c>
    </row>
    <row r="93">
      <c r="A93" s="22" t="n">
        <v>46266</v>
      </c>
      <c r="B93" s="12">
        <f>SUMIFS('Expenses &amp; Receipts'!$G$4:$G$1003,'Expenses &amp; Receipts'!$B$4:$B$1003,"&gt;="&amp;DATE(2026,9,1),'Expenses &amp; Receipts'!$B$4:$B$1003,"&lt;"&amp;DATE(2026,10,1))</f>
        <v/>
      </c>
    </row>
    <row r="96">
      <c r="A96" s="1" t="inlineStr">
        <is>
          <t>Category</t>
        </is>
      </c>
      <c r="B96" s="1" t="inlineStr">
        <is>
          <t>Amount</t>
        </is>
      </c>
    </row>
    <row r="97">
      <c r="A97" t="inlineStr">
        <is>
          <t>Home Repair</t>
        </is>
      </c>
      <c r="B97" s="12">
        <f>SUMIF('Expenses &amp; Receipts'!$C$4:$C$1003,"Home Repair",'Expenses &amp; Receipts'!$G$4:$G$1003)</f>
        <v/>
      </c>
    </row>
    <row r="98">
      <c r="A98" t="inlineStr">
        <is>
          <t>Pharmacy</t>
        </is>
      </c>
      <c r="B98" s="12">
        <f>SUMIF('Expenses &amp; Receipts'!$C$4:$C$1003,"Pharmacy",'Expenses &amp; Receipts'!$G$4:$G$1003)</f>
        <v/>
      </c>
    </row>
    <row r="99">
      <c r="A99" t="inlineStr">
        <is>
          <t>Medical</t>
        </is>
      </c>
      <c r="B99" s="12">
        <f>SUMIF('Expenses &amp; Receipts'!$C$4:$C$1003,"Medical",'Expenses &amp; Receipts'!$G$4:$G$1003)</f>
        <v/>
      </c>
    </row>
    <row r="100">
      <c r="A100" t="inlineStr">
        <is>
          <t>Care Services</t>
        </is>
      </c>
      <c r="B100" s="12">
        <f>SUMIF('Expenses &amp; Receipts'!$C$4:$C$1003,"Care Services",'Expenses &amp; Receipts'!$G$4:$G$1003)</f>
        <v/>
      </c>
    </row>
    <row r="101">
      <c r="A101" t="inlineStr">
        <is>
          <t>Transportation</t>
        </is>
      </c>
      <c r="B101" s="12">
        <f>SUMIF('Expenses &amp; Receipts'!$C$4:$C$1003,"Transportation",'Expenses &amp; Receipts'!$G$4:$G$1003)</f>
        <v/>
      </c>
    </row>
    <row r="102">
      <c r="A102" t="inlineStr">
        <is>
          <t>Groceries</t>
        </is>
      </c>
      <c r="B102" s="12">
        <f>SUMIF('Expenses &amp; Receipts'!$C$4:$C$1003,"Groceries",'Expenses &amp; Receipts'!$G$4:$G$1003)</f>
        <v/>
      </c>
    </row>
    <row r="103">
      <c r="A103" t="inlineStr">
        <is>
          <t>Utilities</t>
        </is>
      </c>
      <c r="B103" s="12">
        <f>SUMIF('Expenses &amp; Receipts'!$C$4:$C$1003,"Utilities",'Expenses &amp; Receipts'!$G$4:$G$1003)</f>
        <v/>
      </c>
    </row>
    <row r="104">
      <c r="A104" t="inlineStr">
        <is>
          <t>Insurance</t>
        </is>
      </c>
      <c r="B104" s="12">
        <f>SUMIF('Expenses &amp; Receipts'!$C$4:$C$1003,"Insurance",'Expenses &amp; Receipts'!$G$4:$G$1003)</f>
        <v/>
      </c>
    </row>
    <row r="105">
      <c r="A105" t="inlineStr">
        <is>
          <t>Other</t>
        </is>
      </c>
      <c r="B105" s="12">
        <f>SUMIF('Expenses &amp; Receipts'!$C$4:$C$1003,"Other",'Expenses &amp; Receipts'!$G$4:$G$1003)</f>
        <v/>
      </c>
    </row>
    <row r="108">
      <c r="A108" s="1" t="inlineStr">
        <is>
          <t>Family Member</t>
        </is>
      </c>
      <c r="B108" s="1" t="inlineStr">
        <is>
          <t>Total Paid</t>
        </is>
      </c>
    </row>
    <row r="109">
      <c r="A109" t="inlineStr">
        <is>
          <t>Sarah Chen</t>
        </is>
      </c>
      <c r="B109" s="12">
        <f>SUMIF('Expenses &amp; Receipts'!$E$4:$E$1003,"Sarah Chen",'Expenses &amp; Receipts'!$G$4:$G$1003)</f>
        <v/>
      </c>
    </row>
    <row r="110">
      <c r="A110" t="inlineStr">
        <is>
          <t>Michael Brooks</t>
        </is>
      </c>
      <c r="B110" s="12">
        <f>SUMIF('Expenses &amp; Receipts'!$E$4:$E$1003,"Michael Brooks",'Expenses &amp; Receipts'!$G$4:$G$1003)</f>
        <v/>
      </c>
    </row>
    <row r="111">
      <c r="A111" t="inlineStr">
        <is>
          <t>Rachel Brooks</t>
        </is>
      </c>
      <c r="B111" s="12">
        <f>SUMIF('Expenses &amp; Receipts'!$E$4:$E$1003,"Rachel Brooks",'Expenses &amp; Receipts'!$G$4:$G$1003)</f>
        <v/>
      </c>
    </row>
    <row r="112">
      <c r="A112" t="inlineStr">
        <is>
          <t>Parent Account</t>
        </is>
      </c>
      <c r="B112" s="12">
        <f>SUMIF('Expenses &amp; Receipts'!$E$4:$E$1003,"Parent Account",'Expenses &amp; Receipts'!$G$4:$G$1003)</f>
        <v/>
      </c>
    </row>
    <row r="113">
      <c r="A113" t="inlineStr">
        <is>
          <t>Daniel Kim</t>
        </is>
      </c>
      <c r="B113" s="12">
        <f>SUMIF('Expenses &amp; Receipts'!$E$4:$E$1003,"Daniel Kim",'Expenses &amp; Receipts'!$G$4:$G$1003)</f>
        <v/>
      </c>
    </row>
    <row r="114">
      <c r="A114" t="inlineStr">
        <is>
          <t>Robert Brooks</t>
        </is>
      </c>
      <c r="B114" s="12">
        <f>SUMIF('Expenses &amp; Receipts'!$E$4:$E$1003,"Robert Brooks",'Expenses &amp; Receipts'!$G$4:$G$1003)</f>
        <v/>
      </c>
    </row>
    <row r="117">
      <c r="A117" s="1" t="inlineStr">
        <is>
          <t>Status</t>
        </is>
      </c>
      <c r="B117" s="1" t="inlineStr">
        <is>
          <t>Count</t>
        </is>
      </c>
    </row>
    <row r="118">
      <c r="A118" t="inlineStr">
        <is>
          <t>Not Reimbursable</t>
        </is>
      </c>
      <c r="B118">
        <f>COUNTIF('Expenses &amp; Receipts'!$L$4:$L$1003,"Not Reimbursable")</f>
        <v/>
      </c>
    </row>
    <row r="119">
      <c r="A119" t="inlineStr">
        <is>
          <t>Pending</t>
        </is>
      </c>
      <c r="B119">
        <f>COUNTIF('Expenses &amp; Receipts'!$L$4:$L$1003,"Pending")</f>
        <v/>
      </c>
    </row>
    <row r="120">
      <c r="A120" t="inlineStr">
        <is>
          <t>Partially Reimbursed</t>
        </is>
      </c>
      <c r="B120">
        <f>COUNTIF('Expenses &amp; Receipts'!$L$4:$L$1003,"Partially Reimbursed")</f>
        <v/>
      </c>
    </row>
    <row r="121">
      <c r="A121" t="inlineStr">
        <is>
          <t>Reimbursed</t>
        </is>
      </c>
      <c r="B121">
        <f>COUNTIF('Expenses &amp; Receipts'!$L$4:$L$1003,"Reimbursed")</f>
        <v/>
      </c>
    </row>
    <row r="122">
      <c r="A122" t="inlineStr">
        <is>
          <t>Disputed / Review</t>
        </is>
      </c>
      <c r="B122">
        <f>COUNTIF('Expenses &amp; Receipts'!$L$4:$L$1003,"Disputed / Review")</f>
        <v/>
      </c>
    </row>
    <row r="125">
      <c r="A125" s="1" t="inlineStr">
        <is>
          <t>Bill Category</t>
        </is>
      </c>
      <c r="B125" s="1" t="inlineStr">
        <is>
          <t>Monthly Amount</t>
        </is>
      </c>
    </row>
    <row r="126">
      <c r="A126" t="inlineStr">
        <is>
          <t>Housing</t>
        </is>
      </c>
      <c r="B126" s="12">
        <f>SUMIFS('Bills &amp; Recurring Payments'!$E$4:$E$303,'Bills &amp; Recurring Payments'!$B$4:$B$303,"Housing",'Bills &amp; Recurring Payments'!$K$4:$K$303,"Yes")</f>
        <v/>
      </c>
    </row>
    <row r="127">
      <c r="A127" t="inlineStr">
        <is>
          <t>Utilities</t>
        </is>
      </c>
      <c r="B127" s="12">
        <f>SUMIFS('Bills &amp; Recurring Payments'!$E$4:$E$303,'Bills &amp; Recurring Payments'!$B$4:$B$303,"Utilities",'Bills &amp; Recurring Payments'!$K$4:$K$303,"Yes")</f>
        <v/>
      </c>
    </row>
    <row r="128">
      <c r="A128" t="inlineStr">
        <is>
          <t>Insurance</t>
        </is>
      </c>
      <c r="B128" s="12">
        <f>SUMIFS('Bills &amp; Recurring Payments'!$E$4:$E$303,'Bills &amp; Recurring Payments'!$B$4:$B$303,"Insurance",'Bills &amp; Recurring Payments'!$K$4:$K$303,"Yes")</f>
        <v/>
      </c>
    </row>
    <row r="129">
      <c r="A129" t="inlineStr">
        <is>
          <t>Medical</t>
        </is>
      </c>
      <c r="B129" s="12">
        <f>SUMIFS('Bills &amp; Recurring Payments'!$E$4:$E$303,'Bills &amp; Recurring Payments'!$B$4:$B$303,"Medical",'Bills &amp; Recurring Payments'!$K$4:$K$303,"Yes")</f>
        <v/>
      </c>
    </row>
    <row r="130">
      <c r="A130" t="inlineStr">
        <is>
          <t>Pharmacy</t>
        </is>
      </c>
      <c r="B130" s="12">
        <f>SUMIFS('Bills &amp; Recurring Payments'!$E$4:$E$303,'Bills &amp; Recurring Payments'!$B$4:$B$303,"Pharmacy",'Bills &amp; Recurring Payments'!$K$4:$K$303,"Yes")</f>
        <v/>
      </c>
    </row>
    <row r="131">
      <c r="A131" t="inlineStr">
        <is>
          <t>Care Services</t>
        </is>
      </c>
      <c r="B131" s="12">
        <f>SUMIFS('Bills &amp; Recurring Payments'!$E$4:$E$303,'Bills &amp; Recurring Payments'!$B$4:$B$303,"Care Services",'Bills &amp; Recurring Payments'!$K$4:$K$303,"Yes")</f>
        <v/>
      </c>
    </row>
    <row r="132">
      <c r="A132" t="inlineStr">
        <is>
          <t>Transportation</t>
        </is>
      </c>
      <c r="B132" s="12">
        <f>SUMIFS('Bills &amp; Recurring Payments'!$E$4:$E$303,'Bills &amp; Recurring Payments'!$B$4:$B$303,"Transportation",'Bills &amp; Recurring Payments'!$K$4:$K$303,"Yes")</f>
        <v/>
      </c>
    </row>
    <row r="133">
      <c r="A133" t="inlineStr">
        <is>
          <t>Phone/Internet</t>
        </is>
      </c>
      <c r="B133" s="12">
        <f>SUMIFS('Bills &amp; Recurring Payments'!$E$4:$E$303,'Bills &amp; Recurring Payments'!$B$4:$B$303,"Phone/Internet",'Bills &amp; Recurring Payments'!$K$4:$K$303,"Yes")</f>
        <v/>
      </c>
    </row>
    <row r="134">
      <c r="A134" t="inlineStr">
        <is>
          <t>Subscriptions</t>
        </is>
      </c>
      <c r="B134" s="12">
        <f>SUMIFS('Bills &amp; Recurring Payments'!$E$4:$E$303,'Bills &amp; Recurring Payments'!$B$4:$B$303,"Subscriptions",'Bills &amp; Recurring Payments'!$K$4:$K$303,"Yes")</f>
        <v/>
      </c>
    </row>
    <row r="135">
      <c r="A135" t="inlineStr">
        <is>
          <t>Debt</t>
        </is>
      </c>
      <c r="B135" s="12">
        <f>SUMIFS('Bills &amp; Recurring Payments'!$E$4:$E$303,'Bills &amp; Recurring Payments'!$B$4:$B$303,"Debt",'Bills &amp; Recurring Payments'!$K$4:$K$303,"Yes")</f>
        <v/>
      </c>
    </row>
    <row r="136">
      <c r="A136" t="inlineStr">
        <is>
          <t>Taxes/Fees</t>
        </is>
      </c>
      <c r="B136" s="12">
        <f>SUMIFS('Bills &amp; Recurring Payments'!$E$4:$E$303,'Bills &amp; Recurring Payments'!$B$4:$B$303,"Taxes/Fees",'Bills &amp; Recurring Payments'!$K$4:$K$303,"Yes")</f>
        <v/>
      </c>
    </row>
    <row r="137">
      <c r="A137" t="inlineStr">
        <is>
          <t>Other</t>
        </is>
      </c>
      <c r="B137" s="12">
        <f>SUMIFS('Bills &amp; Recurring Payments'!$E$4:$E$303,'Bills &amp; Recurring Payments'!$B$4:$B$303,"Other",'Bills &amp; Recurring Payments'!$K$4:$K$303,"Yes")</f>
        <v/>
      </c>
    </row>
    <row r="140">
      <c r="A140" s="1" t="inlineStr">
        <is>
          <t>Family Member</t>
        </is>
      </c>
      <c r="B140" s="1" t="inlineStr">
        <is>
          <t>Expenses Paid</t>
        </is>
      </c>
      <c r="C140" s="1" t="inlineStr">
        <is>
          <t>Contributions Given</t>
        </is>
      </c>
    </row>
    <row r="141">
      <c r="A141" t="inlineStr">
        <is>
          <t>Sarah Chen</t>
        </is>
      </c>
      <c r="B141" s="12">
        <f>SUMIF('Expenses &amp; Receipts'!$E$4:$E$1003,"Sarah Chen",'Expenses &amp; Receipts'!$G$4:$G$1003)</f>
        <v/>
      </c>
      <c r="C141" s="12">
        <f>SUMIF('Family Contributions'!$C$4:$C$1003,"Sarah Chen",'Family Contributions'!$G$4:$G$1003)</f>
        <v/>
      </c>
    </row>
    <row r="142">
      <c r="A142" t="inlineStr">
        <is>
          <t>Michael Brooks</t>
        </is>
      </c>
      <c r="B142" s="12">
        <f>SUMIF('Expenses &amp; Receipts'!$E$4:$E$1003,"Michael Brooks",'Expenses &amp; Receipts'!$G$4:$G$1003)</f>
        <v/>
      </c>
      <c r="C142" s="12">
        <f>SUMIF('Family Contributions'!$C$4:$C$1003,"Michael Brooks",'Family Contributions'!$G$4:$G$1003)</f>
        <v/>
      </c>
    </row>
    <row r="143">
      <c r="A143" t="inlineStr">
        <is>
          <t>Rachel Brooks</t>
        </is>
      </c>
      <c r="B143" s="12">
        <f>SUMIF('Expenses &amp; Receipts'!$E$4:$E$1003,"Rachel Brooks",'Expenses &amp; Receipts'!$G$4:$G$1003)</f>
        <v/>
      </c>
      <c r="C143" s="12">
        <f>SUMIF('Family Contributions'!$C$4:$C$1003,"Rachel Brooks",'Family Contributions'!$G$4:$G$1003)</f>
        <v/>
      </c>
    </row>
    <row r="144">
      <c r="A144" t="inlineStr">
        <is>
          <t>Parent Account</t>
        </is>
      </c>
      <c r="B144" s="12">
        <f>SUMIF('Expenses &amp; Receipts'!$E$4:$E$1003,"Parent Account",'Expenses &amp; Receipts'!$G$4:$G$1003)</f>
        <v/>
      </c>
      <c r="C144" s="12">
        <f>SUMIF('Family Contributions'!$C$4:$C$1003,"Parent Account",'Family Contributions'!$G$4:$G$1003)</f>
        <v/>
      </c>
    </row>
    <row r="145">
      <c r="A145" t="inlineStr">
        <is>
          <t>Daniel Kim</t>
        </is>
      </c>
      <c r="B145" s="12">
        <f>SUMIF('Expenses &amp; Receipts'!$E$4:$E$1003,"Daniel Kim",'Expenses &amp; Receipts'!$G$4:$G$1003)</f>
        <v/>
      </c>
      <c r="C145" s="12">
        <f>SUMIF('Family Contributions'!$C$4:$C$1003,"Daniel Kim",'Family Contributions'!$G$4:$G$1003)</f>
        <v/>
      </c>
    </row>
    <row r="146">
      <c r="A146" t="inlineStr">
        <is>
          <t>Robert Brooks</t>
        </is>
      </c>
      <c r="B146" s="12">
        <f>SUMIF('Expenses &amp; Receipts'!$E$4:$E$1003,"Robert Brooks",'Expenses &amp; Receipts'!$G$4:$G$1003)</f>
        <v/>
      </c>
      <c r="C146" s="12">
        <f>SUMIF('Family Contributions'!$C$4:$C$1003,"Robert Brooks",'Family Contributions'!$G$4:$G$1003)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B15">
    <cfRule type="cellIs" priority="1" operator="greaterThan" dxfId="0">
      <formula>0</formula>
    </cfRule>
  </conditionalFormatting>
  <printOptions gridLines="1"/>
  <pageMargins left="0.75" right="0.75" top="1" bottom="1" header="0.5" footer="0.5"/>
  <pageSetup orientation="portrait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2026-09-21T04:33:50Z</dcterms:created>
  <dcterms:modified xsi:type="dcterms:W3CDTF">2026-09-29T14:59:59Z</dcterms:modified>
</cp:coreProperties>
</file>